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a\Google Drive\CUSG\Finance Board\Report Generators - VBA &amp; Python Integration\"/>
    </mc:Choice>
  </mc:AlternateContent>
  <xr:revisionPtr revIDLastSave="0" documentId="13_ncr:1_{C54FAC90-D6B0-429D-B560-AC7220FB7D08}" xr6:coauthVersionLast="45" xr6:coauthVersionMax="45" xr10:uidLastSave="{00000000-0000-0000-0000-000000000000}"/>
  <bookViews>
    <workbookView xWindow="-108" yWindow="-108" windowWidth="23256" windowHeight="13176" tabRatio="883" xr2:uid="{AC79CEBD-3970-4D95-8EA9-D087E24ACAC4}"/>
  </bookViews>
  <sheets>
    <sheet name="Create Report" sheetId="4" r:id="rId1"/>
    <sheet name="Data" sheetId="1" r:id="rId2"/>
    <sheet name="Account Codes" sheetId="5" state="hidden" r:id="rId3"/>
    <sheet name="Consolidation Lists" sheetId="6" state="hidden" r:id="rId4"/>
    <sheet name="QR Draft" sheetId="2" state="hidden" r:id="rId5"/>
    <sheet name="SB Draft" sheetId="3" state="hidden" r:id="rId6"/>
    <sheet name="Fund Balance" sheetId="7" state="hidden" r:id="rId7"/>
    <sheet name="Rev.Exp All Pgms" sheetId="8" state="hidden" r:id="rId8"/>
    <sheet name="Roll Up" sheetId="9" r:id="rId9"/>
    <sheet name="Appellate Court" sheetId="767" r:id="rId10"/>
    <sheet name="CCS - Leg" sheetId="768" r:id="rId11"/>
    <sheet name="CCS Fund Balance" sheetId="769" r:id="rId12"/>
    <sheet name="CUSG Elections" sheetId="770" r:id="rId13"/>
    <sheet name="CUSG Fund Balance" sheetId="771" r:id="rId14"/>
    <sheet name="CUSG Travel" sheetId="772" r:id="rId15"/>
    <sheet name="Finance Board" sheetId="773" r:id="rId16"/>
    <sheet name="Homecoming" sheetId="774" r:id="rId17"/>
    <sheet name="Incident Response" sheetId="775" r:id="rId18"/>
    <sheet name="Intern Program" sheetId="776" r:id="rId19"/>
    <sheet name="LAC" sheetId="777" r:id="rId20"/>
    <sheet name="Leg Cncl Staff" sheetId="778" r:id="rId21"/>
    <sheet name="Leg Council Disc " sheetId="779" r:id="rId22"/>
    <sheet name="Operations" sheetId="780" r:id="rId23"/>
    <sheet name="Payroll" sheetId="781" r:id="rId24"/>
    <sheet name="Payroll Suspense" sheetId="782" r:id="rId25"/>
    <sheet name="Programming" sheetId="783" r:id="rId26"/>
    <sheet name="Public Relations" sheetId="784" r:id="rId27"/>
    <sheet name="Rep Council" sheetId="785" r:id="rId28"/>
    <sheet name="Rep Council Fund Balance" sheetId="786" r:id="rId29"/>
    <sheet name="Staff Support" sheetId="787" r:id="rId30"/>
  </sheets>
  <functionGroups builtInGroupCount="19"/>
  <externalReferences>
    <externalReference r:id="rId31"/>
  </externalReferences>
  <definedNames>
    <definedName name="rngACCTs">'Create Report'!$S$3</definedName>
    <definedName name="rngArray">'Create Report'!$H$8</definedName>
    <definedName name="rngCC">'[1]Create Report'!$F$3</definedName>
    <definedName name="rngFBs">'Create Report'!$U$3</definedName>
    <definedName name="rngFY">'[1]Create Report'!$F$5</definedName>
    <definedName name="rngQ">'[1]Create Report'!$F$4</definedName>
    <definedName name="rngSKIP">'Consolidation Lists'!$H$1</definedName>
    <definedName name="rngWeights">'Create Report'!$H$9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9" l="1"/>
  <c r="U47" i="787"/>
  <c r="T47" i="787"/>
  <c r="S47" i="787"/>
  <c r="R47" i="787"/>
  <c r="Q47" i="787"/>
  <c r="P47" i="787"/>
  <c r="O47" i="787"/>
  <c r="N47" i="787"/>
  <c r="M47" i="787"/>
  <c r="L47" i="787"/>
  <c r="K47" i="787"/>
  <c r="J47" i="787"/>
  <c r="I47" i="787"/>
  <c r="H47" i="787"/>
  <c r="G47" i="787"/>
  <c r="F47" i="787"/>
  <c r="E47" i="787"/>
  <c r="D47" i="787"/>
  <c r="C47" i="787"/>
  <c r="B47" i="787"/>
  <c r="Y46" i="787"/>
  <c r="X46" i="787"/>
  <c r="W46" i="787"/>
  <c r="V46" i="787"/>
  <c r="Y45" i="787"/>
  <c r="X45" i="787"/>
  <c r="W45" i="787"/>
  <c r="V45" i="787"/>
  <c r="U42" i="787"/>
  <c r="T42" i="787"/>
  <c r="S42" i="787"/>
  <c r="R42" i="787"/>
  <c r="Q42" i="787"/>
  <c r="P42" i="787"/>
  <c r="O42" i="787"/>
  <c r="N42" i="787"/>
  <c r="M42" i="787"/>
  <c r="L42" i="787"/>
  <c r="K42" i="787"/>
  <c r="J42" i="787"/>
  <c r="I42" i="787"/>
  <c r="H42" i="787"/>
  <c r="G42" i="787"/>
  <c r="F42" i="787"/>
  <c r="E42" i="787"/>
  <c r="D42" i="787"/>
  <c r="C42" i="787"/>
  <c r="B42" i="787"/>
  <c r="Y41" i="787"/>
  <c r="X41" i="787"/>
  <c r="W41" i="787"/>
  <c r="V41" i="787"/>
  <c r="Y40" i="787"/>
  <c r="X40" i="787"/>
  <c r="W40" i="787"/>
  <c r="V40" i="787"/>
  <c r="Y39" i="787"/>
  <c r="X39" i="787"/>
  <c r="W39" i="787"/>
  <c r="V39" i="787"/>
  <c r="Y38" i="787"/>
  <c r="X38" i="787"/>
  <c r="W38" i="787"/>
  <c r="V38" i="787"/>
  <c r="Y37" i="787"/>
  <c r="X37" i="787"/>
  <c r="W37" i="787"/>
  <c r="V37" i="787"/>
  <c r="Y36" i="787"/>
  <c r="Y42" i="787" s="1"/>
  <c r="X36" i="787"/>
  <c r="X42" i="787" s="1"/>
  <c r="W36" i="787"/>
  <c r="V36" i="787"/>
  <c r="U34" i="787"/>
  <c r="T34" i="787"/>
  <c r="S34" i="787"/>
  <c r="R34" i="787"/>
  <c r="Q34" i="787"/>
  <c r="P34" i="787"/>
  <c r="O34" i="787"/>
  <c r="N34" i="787"/>
  <c r="M34" i="787"/>
  <c r="L34" i="787"/>
  <c r="K34" i="787"/>
  <c r="J34" i="787"/>
  <c r="I34" i="787"/>
  <c r="H34" i="787"/>
  <c r="G34" i="787"/>
  <c r="F34" i="787"/>
  <c r="E34" i="787"/>
  <c r="D34" i="787"/>
  <c r="C34" i="787"/>
  <c r="B34" i="787"/>
  <c r="Y33" i="787"/>
  <c r="X33" i="787"/>
  <c r="W33" i="787"/>
  <c r="V33" i="787"/>
  <c r="Y32" i="787"/>
  <c r="X32" i="787"/>
  <c r="W32" i="787"/>
  <c r="V32" i="787"/>
  <c r="U30" i="787"/>
  <c r="T30" i="787"/>
  <c r="S30" i="787"/>
  <c r="R30" i="787"/>
  <c r="Q30" i="787"/>
  <c r="P30" i="787"/>
  <c r="O30" i="787"/>
  <c r="N30" i="787"/>
  <c r="M30" i="787"/>
  <c r="L30" i="787"/>
  <c r="K30" i="787"/>
  <c r="J30" i="787"/>
  <c r="I30" i="787"/>
  <c r="H30" i="787"/>
  <c r="G30" i="787"/>
  <c r="F30" i="787"/>
  <c r="E30" i="787"/>
  <c r="D30" i="787"/>
  <c r="C30" i="787"/>
  <c r="B30" i="787"/>
  <c r="Y29" i="787"/>
  <c r="X29" i="787"/>
  <c r="W29" i="787"/>
  <c r="V29" i="787"/>
  <c r="Y28" i="787"/>
  <c r="X28" i="787"/>
  <c r="W28" i="787"/>
  <c r="V28" i="787"/>
  <c r="Y27" i="787"/>
  <c r="X27" i="787"/>
  <c r="W27" i="787"/>
  <c r="V27" i="787"/>
  <c r="Y26" i="787"/>
  <c r="X26" i="787"/>
  <c r="W26" i="787"/>
  <c r="V26" i="787"/>
  <c r="Y25" i="787"/>
  <c r="X25" i="787"/>
  <c r="W25" i="787"/>
  <c r="V25" i="787"/>
  <c r="Y24" i="787"/>
  <c r="X24" i="787"/>
  <c r="W24" i="787"/>
  <c r="V24" i="787"/>
  <c r="Y23" i="787"/>
  <c r="X23" i="787"/>
  <c r="W23" i="787"/>
  <c r="V23" i="787"/>
  <c r="U21" i="787"/>
  <c r="U43" i="787" s="1"/>
  <c r="T21" i="787"/>
  <c r="T43" i="787" s="1"/>
  <c r="S21" i="787"/>
  <c r="S43" i="787" s="1"/>
  <c r="R21" i="787"/>
  <c r="Q21" i="787"/>
  <c r="P21" i="787"/>
  <c r="P43" i="787" s="1"/>
  <c r="O21" i="787"/>
  <c r="O43" i="787" s="1"/>
  <c r="N21" i="787"/>
  <c r="N43" i="787" s="1"/>
  <c r="M21" i="787"/>
  <c r="M43" i="787" s="1"/>
  <c r="L21" i="787"/>
  <c r="L43" i="787" s="1"/>
  <c r="K21" i="787"/>
  <c r="K43" i="787" s="1"/>
  <c r="J21" i="787"/>
  <c r="I21" i="787"/>
  <c r="H21" i="787"/>
  <c r="G21" i="787"/>
  <c r="F21" i="787"/>
  <c r="F43" i="787" s="1"/>
  <c r="E21" i="787"/>
  <c r="E43" i="787" s="1"/>
  <c r="D21" i="787"/>
  <c r="D43" i="787" s="1"/>
  <c r="C21" i="787"/>
  <c r="B21" i="787"/>
  <c r="Y20" i="787"/>
  <c r="X20" i="787"/>
  <c r="W20" i="787"/>
  <c r="V20" i="787"/>
  <c r="Y19" i="787"/>
  <c r="X19" i="787"/>
  <c r="W19" i="787"/>
  <c r="V19" i="787"/>
  <c r="Y18" i="787"/>
  <c r="X18" i="787"/>
  <c r="W18" i="787"/>
  <c r="V18" i="787"/>
  <c r="Y17" i="787"/>
  <c r="X17" i="787"/>
  <c r="W17" i="787"/>
  <c r="V17" i="787"/>
  <c r="Y16" i="787"/>
  <c r="X16" i="787"/>
  <c r="W16" i="787"/>
  <c r="V16" i="787"/>
  <c r="Y15" i="787"/>
  <c r="X15" i="787"/>
  <c r="X21" i="787" s="1"/>
  <c r="W15" i="787"/>
  <c r="V15" i="787"/>
  <c r="U12" i="787"/>
  <c r="T12" i="787"/>
  <c r="S12" i="787"/>
  <c r="R12" i="787"/>
  <c r="Q12" i="787"/>
  <c r="P12" i="787"/>
  <c r="P48" i="787" s="1"/>
  <c r="O12" i="787"/>
  <c r="O48" i="787" s="1"/>
  <c r="N12" i="787"/>
  <c r="M12" i="787"/>
  <c r="L12" i="787"/>
  <c r="K12" i="787"/>
  <c r="J12" i="787"/>
  <c r="I12" i="787"/>
  <c r="H12" i="787"/>
  <c r="G12" i="787"/>
  <c r="F12" i="787"/>
  <c r="E12" i="787"/>
  <c r="D12" i="787"/>
  <c r="C12" i="787"/>
  <c r="B12" i="787"/>
  <c r="Y11" i="787"/>
  <c r="X11" i="787"/>
  <c r="W11" i="787"/>
  <c r="V11" i="787"/>
  <c r="Y10" i="787"/>
  <c r="X10" i="787"/>
  <c r="W10" i="787"/>
  <c r="V10" i="787"/>
  <c r="Y9" i="787"/>
  <c r="X9" i="787"/>
  <c r="W9" i="787"/>
  <c r="V9" i="787"/>
  <c r="Y8" i="787"/>
  <c r="X8" i="787"/>
  <c r="W8" i="787"/>
  <c r="V8" i="787"/>
  <c r="B4" i="787"/>
  <c r="U47" i="786"/>
  <c r="T47" i="786"/>
  <c r="S47" i="786"/>
  <c r="R47" i="786"/>
  <c r="Q47" i="786"/>
  <c r="P47" i="786"/>
  <c r="O47" i="786"/>
  <c r="N47" i="786"/>
  <c r="M47" i="786"/>
  <c r="L47" i="786"/>
  <c r="K47" i="786"/>
  <c r="J47" i="786"/>
  <c r="I47" i="786"/>
  <c r="H47" i="786"/>
  <c r="G47" i="786"/>
  <c r="F47" i="786"/>
  <c r="E47" i="786"/>
  <c r="D47" i="786"/>
  <c r="C47" i="786"/>
  <c r="B47" i="786"/>
  <c r="Y46" i="786"/>
  <c r="X46" i="786"/>
  <c r="W46" i="786"/>
  <c r="V46" i="786"/>
  <c r="Y45" i="786"/>
  <c r="Y47" i="786" s="1"/>
  <c r="X45" i="786"/>
  <c r="X47" i="786" s="1"/>
  <c r="W45" i="786"/>
  <c r="V45" i="786"/>
  <c r="U42" i="786"/>
  <c r="T42" i="786"/>
  <c r="S42" i="786"/>
  <c r="R42" i="786"/>
  <c r="Q42" i="786"/>
  <c r="P42" i="786"/>
  <c r="O42" i="786"/>
  <c r="N42" i="786"/>
  <c r="M42" i="786"/>
  <c r="L42" i="786"/>
  <c r="K42" i="786"/>
  <c r="J42" i="786"/>
  <c r="I42" i="786"/>
  <c r="H42" i="786"/>
  <c r="G42" i="786"/>
  <c r="F42" i="786"/>
  <c r="E42" i="786"/>
  <c r="D42" i="786"/>
  <c r="C42" i="786"/>
  <c r="B42" i="786"/>
  <c r="Y41" i="786"/>
  <c r="X41" i="786"/>
  <c r="W41" i="786"/>
  <c r="V41" i="786"/>
  <c r="Y40" i="786"/>
  <c r="X40" i="786"/>
  <c r="W40" i="786"/>
  <c r="V40" i="786"/>
  <c r="Y39" i="786"/>
  <c r="X39" i="786"/>
  <c r="W39" i="786"/>
  <c r="V39" i="786"/>
  <c r="Y38" i="786"/>
  <c r="X38" i="786"/>
  <c r="W38" i="786"/>
  <c r="V38" i="786"/>
  <c r="Y37" i="786"/>
  <c r="X37" i="786"/>
  <c r="W37" i="786"/>
  <c r="V37" i="786"/>
  <c r="Y36" i="786"/>
  <c r="Y42" i="786" s="1"/>
  <c r="X36" i="786"/>
  <c r="W36" i="786"/>
  <c r="W42" i="786" s="1"/>
  <c r="V36" i="786"/>
  <c r="U34" i="786"/>
  <c r="T34" i="786"/>
  <c r="S34" i="786"/>
  <c r="R34" i="786"/>
  <c r="Q34" i="786"/>
  <c r="P34" i="786"/>
  <c r="O34" i="786"/>
  <c r="N34" i="786"/>
  <c r="M34" i="786"/>
  <c r="L34" i="786"/>
  <c r="K34" i="786"/>
  <c r="J34" i="786"/>
  <c r="I34" i="786"/>
  <c r="H34" i="786"/>
  <c r="G34" i="786"/>
  <c r="F34" i="786"/>
  <c r="E34" i="786"/>
  <c r="D34" i="786"/>
  <c r="C34" i="786"/>
  <c r="B34" i="786"/>
  <c r="Y33" i="786"/>
  <c r="X33" i="786"/>
  <c r="W33" i="786"/>
  <c r="V33" i="786"/>
  <c r="Y32" i="786"/>
  <c r="X32" i="786"/>
  <c r="X34" i="786" s="1"/>
  <c r="W32" i="786"/>
  <c r="V32" i="786"/>
  <c r="U30" i="786"/>
  <c r="T30" i="786"/>
  <c r="S30" i="786"/>
  <c r="R30" i="786"/>
  <c r="Q30" i="786"/>
  <c r="P30" i="786"/>
  <c r="O30" i="786"/>
  <c r="N30" i="786"/>
  <c r="M30" i="786"/>
  <c r="L30" i="786"/>
  <c r="K30" i="786"/>
  <c r="J30" i="786"/>
  <c r="I30" i="786"/>
  <c r="H30" i="786"/>
  <c r="G30" i="786"/>
  <c r="F30" i="786"/>
  <c r="E30" i="786"/>
  <c r="D30" i="786"/>
  <c r="C30" i="786"/>
  <c r="B30" i="786"/>
  <c r="Y29" i="786"/>
  <c r="X29" i="786"/>
  <c r="W29" i="786"/>
  <c r="V29" i="786"/>
  <c r="Y28" i="786"/>
  <c r="X28" i="786"/>
  <c r="W28" i="786"/>
  <c r="V28" i="786"/>
  <c r="Y27" i="786"/>
  <c r="X27" i="786"/>
  <c r="W27" i="786"/>
  <c r="V27" i="786"/>
  <c r="Y26" i="786"/>
  <c r="X26" i="786"/>
  <c r="W26" i="786"/>
  <c r="V26" i="786"/>
  <c r="Y25" i="786"/>
  <c r="X25" i="786"/>
  <c r="W25" i="786"/>
  <c r="V25" i="786"/>
  <c r="Y24" i="786"/>
  <c r="X24" i="786"/>
  <c r="W24" i="786"/>
  <c r="V24" i="786"/>
  <c r="Y23" i="786"/>
  <c r="Y30" i="786" s="1"/>
  <c r="X23" i="786"/>
  <c r="X30" i="786" s="1"/>
  <c r="W23" i="786"/>
  <c r="V23" i="786"/>
  <c r="U21" i="786"/>
  <c r="U43" i="786" s="1"/>
  <c r="T21" i="786"/>
  <c r="S21" i="786"/>
  <c r="S43" i="786" s="1"/>
  <c r="R21" i="786"/>
  <c r="R43" i="786" s="1"/>
  <c r="Q21" i="786"/>
  <c r="Q43" i="786" s="1"/>
  <c r="P21" i="786"/>
  <c r="P43" i="786" s="1"/>
  <c r="O21" i="786"/>
  <c r="N21" i="786"/>
  <c r="M21" i="786"/>
  <c r="M43" i="786" s="1"/>
  <c r="L21" i="786"/>
  <c r="K21" i="786"/>
  <c r="K43" i="786" s="1"/>
  <c r="J21" i="786"/>
  <c r="J43" i="786" s="1"/>
  <c r="I21" i="786"/>
  <c r="I43" i="786" s="1"/>
  <c r="H21" i="786"/>
  <c r="H43" i="786" s="1"/>
  <c r="G21" i="786"/>
  <c r="F21" i="786"/>
  <c r="E21" i="786"/>
  <c r="E43" i="786" s="1"/>
  <c r="D21" i="786"/>
  <c r="C21" i="786"/>
  <c r="C43" i="786" s="1"/>
  <c r="B21" i="786"/>
  <c r="B43" i="786" s="1"/>
  <c r="Y20" i="786"/>
  <c r="X20" i="786"/>
  <c r="W20" i="786"/>
  <c r="V20" i="786"/>
  <c r="Y19" i="786"/>
  <c r="X19" i="786"/>
  <c r="W19" i="786"/>
  <c r="V19" i="786"/>
  <c r="Y18" i="786"/>
  <c r="X18" i="786"/>
  <c r="W18" i="786"/>
  <c r="V18" i="786"/>
  <c r="Y17" i="786"/>
  <c r="X17" i="786"/>
  <c r="W17" i="786"/>
  <c r="V17" i="786"/>
  <c r="Y16" i="786"/>
  <c r="X16" i="786"/>
  <c r="W16" i="786"/>
  <c r="V16" i="786"/>
  <c r="Y15" i="786"/>
  <c r="Y21" i="786" s="1"/>
  <c r="X15" i="786"/>
  <c r="W15" i="786"/>
  <c r="W21" i="786" s="1"/>
  <c r="V15" i="786"/>
  <c r="U12" i="786"/>
  <c r="U48" i="786" s="1"/>
  <c r="T12" i="786"/>
  <c r="S12" i="786"/>
  <c r="R12" i="786"/>
  <c r="Q12" i="786"/>
  <c r="Q48" i="786" s="1"/>
  <c r="P12" i="786"/>
  <c r="O12" i="786"/>
  <c r="N12" i="786"/>
  <c r="M12" i="786"/>
  <c r="M48" i="786" s="1"/>
  <c r="L12" i="786"/>
  <c r="K12" i="786"/>
  <c r="J12" i="786"/>
  <c r="I12" i="786"/>
  <c r="I48" i="786" s="1"/>
  <c r="H12" i="786"/>
  <c r="G12" i="786"/>
  <c r="F12" i="786"/>
  <c r="E12" i="786"/>
  <c r="E48" i="786" s="1"/>
  <c r="D12" i="786"/>
  <c r="C12" i="786"/>
  <c r="B12" i="786"/>
  <c r="Y11" i="786"/>
  <c r="X11" i="786"/>
  <c r="W11" i="786"/>
  <c r="V11" i="786"/>
  <c r="Y10" i="786"/>
  <c r="X10" i="786"/>
  <c r="W10" i="786"/>
  <c r="V10" i="786"/>
  <c r="Y9" i="786"/>
  <c r="X9" i="786"/>
  <c r="W9" i="786"/>
  <c r="V9" i="786"/>
  <c r="Y8" i="786"/>
  <c r="X8" i="786"/>
  <c r="X12" i="786" s="1"/>
  <c r="W8" i="786"/>
  <c r="V8" i="786"/>
  <c r="B4" i="786"/>
  <c r="U47" i="785"/>
  <c r="T47" i="785"/>
  <c r="S47" i="785"/>
  <c r="R47" i="785"/>
  <c r="Q47" i="785"/>
  <c r="P47" i="785"/>
  <c r="O47" i="785"/>
  <c r="N47" i="785"/>
  <c r="M47" i="785"/>
  <c r="L47" i="785"/>
  <c r="K47" i="785"/>
  <c r="J47" i="785"/>
  <c r="I47" i="785"/>
  <c r="H47" i="785"/>
  <c r="G47" i="785"/>
  <c r="F47" i="785"/>
  <c r="E47" i="785"/>
  <c r="D47" i="785"/>
  <c r="C47" i="785"/>
  <c r="B47" i="785"/>
  <c r="Y46" i="785"/>
  <c r="X46" i="785"/>
  <c r="W46" i="785"/>
  <c r="V46" i="785"/>
  <c r="Y45" i="785"/>
  <c r="X45" i="785"/>
  <c r="X47" i="785" s="1"/>
  <c r="W45" i="785"/>
  <c r="W47" i="785" s="1"/>
  <c r="V45" i="785"/>
  <c r="U42" i="785"/>
  <c r="T42" i="785"/>
  <c r="S42" i="785"/>
  <c r="R42" i="785"/>
  <c r="Q42" i="785"/>
  <c r="P42" i="785"/>
  <c r="O42" i="785"/>
  <c r="N42" i="785"/>
  <c r="M42" i="785"/>
  <c r="L42" i="785"/>
  <c r="K42" i="785"/>
  <c r="J42" i="785"/>
  <c r="I42" i="785"/>
  <c r="H42" i="785"/>
  <c r="G42" i="785"/>
  <c r="F42" i="785"/>
  <c r="E42" i="785"/>
  <c r="D42" i="785"/>
  <c r="C42" i="785"/>
  <c r="B42" i="785"/>
  <c r="Y41" i="785"/>
  <c r="X41" i="785"/>
  <c r="W41" i="785"/>
  <c r="V41" i="785"/>
  <c r="Y40" i="785"/>
  <c r="X40" i="785"/>
  <c r="W40" i="785"/>
  <c r="V40" i="785"/>
  <c r="Y39" i="785"/>
  <c r="X39" i="785"/>
  <c r="W39" i="785"/>
  <c r="V39" i="785"/>
  <c r="Y38" i="785"/>
  <c r="X38" i="785"/>
  <c r="W38" i="785"/>
  <c r="V38" i="785"/>
  <c r="Y37" i="785"/>
  <c r="X37" i="785"/>
  <c r="W37" i="785"/>
  <c r="V37" i="785"/>
  <c r="Y36" i="785"/>
  <c r="X36" i="785"/>
  <c r="W36" i="785"/>
  <c r="V36" i="785"/>
  <c r="U34" i="785"/>
  <c r="T34" i="785"/>
  <c r="S34" i="785"/>
  <c r="R34" i="785"/>
  <c r="Q34" i="785"/>
  <c r="P34" i="785"/>
  <c r="O34" i="785"/>
  <c r="N34" i="785"/>
  <c r="M34" i="785"/>
  <c r="L34" i="785"/>
  <c r="K34" i="785"/>
  <c r="J34" i="785"/>
  <c r="I34" i="785"/>
  <c r="H34" i="785"/>
  <c r="G34" i="785"/>
  <c r="F34" i="785"/>
  <c r="E34" i="785"/>
  <c r="D34" i="785"/>
  <c r="C34" i="785"/>
  <c r="B34" i="785"/>
  <c r="Y33" i="785"/>
  <c r="X33" i="785"/>
  <c r="W33" i="785"/>
  <c r="V33" i="785"/>
  <c r="Y32" i="785"/>
  <c r="X32" i="785"/>
  <c r="X34" i="785" s="1"/>
  <c r="W32" i="785"/>
  <c r="W34" i="785" s="1"/>
  <c r="V32" i="785"/>
  <c r="U30" i="785"/>
  <c r="T30" i="785"/>
  <c r="S30" i="785"/>
  <c r="R30" i="785"/>
  <c r="Q30" i="785"/>
  <c r="P30" i="785"/>
  <c r="O30" i="785"/>
  <c r="N30" i="785"/>
  <c r="M30" i="785"/>
  <c r="L30" i="785"/>
  <c r="K30" i="785"/>
  <c r="J30" i="785"/>
  <c r="I30" i="785"/>
  <c r="H30" i="785"/>
  <c r="G30" i="785"/>
  <c r="F30" i="785"/>
  <c r="E30" i="785"/>
  <c r="D30" i="785"/>
  <c r="C30" i="785"/>
  <c r="B30" i="785"/>
  <c r="Y29" i="785"/>
  <c r="X29" i="785"/>
  <c r="W29" i="785"/>
  <c r="V29" i="785"/>
  <c r="Y28" i="785"/>
  <c r="X28" i="785"/>
  <c r="W28" i="785"/>
  <c r="V28" i="785"/>
  <c r="Y27" i="785"/>
  <c r="X27" i="785"/>
  <c r="W27" i="785"/>
  <c r="V27" i="785"/>
  <c r="Y26" i="785"/>
  <c r="X26" i="785"/>
  <c r="W26" i="785"/>
  <c r="V26" i="785"/>
  <c r="Y25" i="785"/>
  <c r="X25" i="785"/>
  <c r="W25" i="785"/>
  <c r="V25" i="785"/>
  <c r="Y24" i="785"/>
  <c r="X24" i="785"/>
  <c r="W24" i="785"/>
  <c r="V24" i="785"/>
  <c r="Y23" i="785"/>
  <c r="X23" i="785"/>
  <c r="X30" i="785" s="1"/>
  <c r="W23" i="785"/>
  <c r="W30" i="785" s="1"/>
  <c r="V23" i="785"/>
  <c r="U21" i="785"/>
  <c r="U43" i="785" s="1"/>
  <c r="T21" i="785"/>
  <c r="T43" i="785" s="1"/>
  <c r="S21" i="785"/>
  <c r="S43" i="785" s="1"/>
  <c r="R21" i="785"/>
  <c r="Q21" i="785"/>
  <c r="P21" i="785"/>
  <c r="P43" i="785" s="1"/>
  <c r="O21" i="785"/>
  <c r="O43" i="785" s="1"/>
  <c r="N21" i="785"/>
  <c r="N43" i="785" s="1"/>
  <c r="M21" i="785"/>
  <c r="M43" i="785" s="1"/>
  <c r="L21" i="785"/>
  <c r="L43" i="785" s="1"/>
  <c r="K21" i="785"/>
  <c r="K43" i="785" s="1"/>
  <c r="J21" i="785"/>
  <c r="I21" i="785"/>
  <c r="H21" i="785"/>
  <c r="H43" i="785" s="1"/>
  <c r="G21" i="785"/>
  <c r="G43" i="785" s="1"/>
  <c r="F21" i="785"/>
  <c r="F43" i="785" s="1"/>
  <c r="E21" i="785"/>
  <c r="D21" i="785"/>
  <c r="D43" i="785" s="1"/>
  <c r="C21" i="785"/>
  <c r="C43" i="785" s="1"/>
  <c r="B21" i="785"/>
  <c r="B43" i="785" s="1"/>
  <c r="Y20" i="785"/>
  <c r="X20" i="785"/>
  <c r="W20" i="785"/>
  <c r="V20" i="785"/>
  <c r="Y19" i="785"/>
  <c r="X19" i="785"/>
  <c r="W19" i="785"/>
  <c r="V19" i="785"/>
  <c r="Y18" i="785"/>
  <c r="X18" i="785"/>
  <c r="W18" i="785"/>
  <c r="V18" i="785"/>
  <c r="Y17" i="785"/>
  <c r="X17" i="785"/>
  <c r="W17" i="785"/>
  <c r="V17" i="785"/>
  <c r="Y16" i="785"/>
  <c r="X16" i="785"/>
  <c r="W16" i="785"/>
  <c r="V16" i="785"/>
  <c r="Y15" i="785"/>
  <c r="X15" i="785"/>
  <c r="X21" i="785" s="1"/>
  <c r="W15" i="785"/>
  <c r="W21" i="785" s="1"/>
  <c r="V15" i="785"/>
  <c r="U12" i="785"/>
  <c r="T12" i="785"/>
  <c r="T48" i="785" s="1"/>
  <c r="S12" i="785"/>
  <c r="R12" i="785"/>
  <c r="Q12" i="785"/>
  <c r="P12" i="785"/>
  <c r="P48" i="785" s="1"/>
  <c r="O12" i="785"/>
  <c r="O48" i="785" s="1"/>
  <c r="N12" i="785"/>
  <c r="M12" i="785"/>
  <c r="L12" i="785"/>
  <c r="L48" i="785" s="1"/>
  <c r="K12" i="785"/>
  <c r="J12" i="785"/>
  <c r="I12" i="785"/>
  <c r="H12" i="785"/>
  <c r="G12" i="785"/>
  <c r="G48" i="785" s="1"/>
  <c r="F12" i="785"/>
  <c r="E12" i="785"/>
  <c r="D12" i="785"/>
  <c r="D48" i="785" s="1"/>
  <c r="C12" i="785"/>
  <c r="B12" i="785"/>
  <c r="Y11" i="785"/>
  <c r="X11" i="785"/>
  <c r="W11" i="785"/>
  <c r="V11" i="785"/>
  <c r="Y10" i="785"/>
  <c r="X10" i="785"/>
  <c r="W10" i="785"/>
  <c r="V10" i="785"/>
  <c r="Y9" i="785"/>
  <c r="X9" i="785"/>
  <c r="W9" i="785"/>
  <c r="V9" i="785"/>
  <c r="Y8" i="785"/>
  <c r="X8" i="785"/>
  <c r="X12" i="785" s="1"/>
  <c r="W8" i="785"/>
  <c r="V8" i="785"/>
  <c r="B4" i="785"/>
  <c r="U47" i="784"/>
  <c r="T47" i="784"/>
  <c r="S47" i="784"/>
  <c r="R47" i="784"/>
  <c r="Q47" i="784"/>
  <c r="P47" i="784"/>
  <c r="O47" i="784"/>
  <c r="N47" i="784"/>
  <c r="M47" i="784"/>
  <c r="L47" i="784"/>
  <c r="K47" i="784"/>
  <c r="J47" i="784"/>
  <c r="I47" i="784"/>
  <c r="H47" i="784"/>
  <c r="G47" i="784"/>
  <c r="F47" i="784"/>
  <c r="E47" i="784"/>
  <c r="D47" i="784"/>
  <c r="C47" i="784"/>
  <c r="B47" i="784"/>
  <c r="Y46" i="784"/>
  <c r="X46" i="784"/>
  <c r="W46" i="784"/>
  <c r="V46" i="784"/>
  <c r="Y45" i="784"/>
  <c r="X45" i="784"/>
  <c r="W45" i="784"/>
  <c r="W47" i="784" s="1"/>
  <c r="V45" i="784"/>
  <c r="U42" i="784"/>
  <c r="T42" i="784"/>
  <c r="S42" i="784"/>
  <c r="R42" i="784"/>
  <c r="Q42" i="784"/>
  <c r="P42" i="784"/>
  <c r="O42" i="784"/>
  <c r="N42" i="784"/>
  <c r="M42" i="784"/>
  <c r="L42" i="784"/>
  <c r="K42" i="784"/>
  <c r="J42" i="784"/>
  <c r="I42" i="784"/>
  <c r="H42" i="784"/>
  <c r="G42" i="784"/>
  <c r="F42" i="784"/>
  <c r="E42" i="784"/>
  <c r="D42" i="784"/>
  <c r="C42" i="784"/>
  <c r="B42" i="784"/>
  <c r="Y41" i="784"/>
  <c r="X41" i="784"/>
  <c r="W41" i="784"/>
  <c r="V41" i="784"/>
  <c r="Y40" i="784"/>
  <c r="X40" i="784"/>
  <c r="W40" i="784"/>
  <c r="V40" i="784"/>
  <c r="Y39" i="784"/>
  <c r="X39" i="784"/>
  <c r="W39" i="784"/>
  <c r="V39" i="784"/>
  <c r="Y38" i="784"/>
  <c r="X38" i="784"/>
  <c r="W38" i="784"/>
  <c r="V38" i="784"/>
  <c r="Y37" i="784"/>
  <c r="X37" i="784"/>
  <c r="W37" i="784"/>
  <c r="V37" i="784"/>
  <c r="Y36" i="784"/>
  <c r="Y42" i="784" s="1"/>
  <c r="X36" i="784"/>
  <c r="W36" i="784"/>
  <c r="W42" i="784" s="1"/>
  <c r="V36" i="784"/>
  <c r="V42" i="784" s="1"/>
  <c r="U34" i="784"/>
  <c r="T34" i="784"/>
  <c r="S34" i="784"/>
  <c r="R34" i="784"/>
  <c r="Q34" i="784"/>
  <c r="P34" i="784"/>
  <c r="O34" i="784"/>
  <c r="N34" i="784"/>
  <c r="M34" i="784"/>
  <c r="L34" i="784"/>
  <c r="K34" i="784"/>
  <c r="J34" i="784"/>
  <c r="I34" i="784"/>
  <c r="H34" i="784"/>
  <c r="G34" i="784"/>
  <c r="F34" i="784"/>
  <c r="E34" i="784"/>
  <c r="D34" i="784"/>
  <c r="C34" i="784"/>
  <c r="B34" i="784"/>
  <c r="Y33" i="784"/>
  <c r="X33" i="784"/>
  <c r="W33" i="784"/>
  <c r="V33" i="784"/>
  <c r="Y32" i="784"/>
  <c r="X32" i="784"/>
  <c r="W32" i="784"/>
  <c r="W34" i="784" s="1"/>
  <c r="V32" i="784"/>
  <c r="U30" i="784"/>
  <c r="T30" i="784"/>
  <c r="S30" i="784"/>
  <c r="R30" i="784"/>
  <c r="Q30" i="784"/>
  <c r="P30" i="784"/>
  <c r="O30" i="784"/>
  <c r="N30" i="784"/>
  <c r="M30" i="784"/>
  <c r="L30" i="784"/>
  <c r="K30" i="784"/>
  <c r="J30" i="784"/>
  <c r="I30" i="784"/>
  <c r="H30" i="784"/>
  <c r="G30" i="784"/>
  <c r="F30" i="784"/>
  <c r="E30" i="784"/>
  <c r="D30" i="784"/>
  <c r="C30" i="784"/>
  <c r="B30" i="784"/>
  <c r="Y29" i="784"/>
  <c r="X29" i="784"/>
  <c r="W29" i="784"/>
  <c r="V29" i="784"/>
  <c r="Y28" i="784"/>
  <c r="X28" i="784"/>
  <c r="W28" i="784"/>
  <c r="V28" i="784"/>
  <c r="Y27" i="784"/>
  <c r="X27" i="784"/>
  <c r="W27" i="784"/>
  <c r="V27" i="784"/>
  <c r="Y26" i="784"/>
  <c r="X26" i="784"/>
  <c r="W26" i="784"/>
  <c r="V26" i="784"/>
  <c r="Y25" i="784"/>
  <c r="X25" i="784"/>
  <c r="W25" i="784"/>
  <c r="V25" i="784"/>
  <c r="Y24" i="784"/>
  <c r="X24" i="784"/>
  <c r="W24" i="784"/>
  <c r="V24" i="784"/>
  <c r="Y23" i="784"/>
  <c r="X23" i="784"/>
  <c r="W23" i="784"/>
  <c r="V23" i="784"/>
  <c r="U21" i="784"/>
  <c r="U43" i="784" s="1"/>
  <c r="T21" i="784"/>
  <c r="T43" i="784" s="1"/>
  <c r="S21" i="784"/>
  <c r="R21" i="784"/>
  <c r="R43" i="784" s="1"/>
  <c r="Q21" i="784"/>
  <c r="Q43" i="784" s="1"/>
  <c r="P21" i="784"/>
  <c r="O21" i="784"/>
  <c r="O43" i="784" s="1"/>
  <c r="N21" i="784"/>
  <c r="M21" i="784"/>
  <c r="M43" i="784" s="1"/>
  <c r="L21" i="784"/>
  <c r="L43" i="784" s="1"/>
  <c r="K21" i="784"/>
  <c r="J21" i="784"/>
  <c r="J43" i="784" s="1"/>
  <c r="I21" i="784"/>
  <c r="I43" i="784" s="1"/>
  <c r="H21" i="784"/>
  <c r="G21" i="784"/>
  <c r="G43" i="784" s="1"/>
  <c r="F21" i="784"/>
  <c r="E21" i="784"/>
  <c r="E43" i="784" s="1"/>
  <c r="D21" i="784"/>
  <c r="D43" i="784" s="1"/>
  <c r="C21" i="784"/>
  <c r="B21" i="784"/>
  <c r="B43" i="784" s="1"/>
  <c r="Y20" i="784"/>
  <c r="X20" i="784"/>
  <c r="W20" i="784"/>
  <c r="V20" i="784"/>
  <c r="Y19" i="784"/>
  <c r="X19" i="784"/>
  <c r="W19" i="784"/>
  <c r="V19" i="784"/>
  <c r="Y18" i="784"/>
  <c r="X18" i="784"/>
  <c r="W18" i="784"/>
  <c r="V18" i="784"/>
  <c r="Y17" i="784"/>
  <c r="X17" i="784"/>
  <c r="W17" i="784"/>
  <c r="V17" i="784"/>
  <c r="Y16" i="784"/>
  <c r="X16" i="784"/>
  <c r="W16" i="784"/>
  <c r="V16" i="784"/>
  <c r="Y15" i="784"/>
  <c r="Y21" i="784" s="1"/>
  <c r="X15" i="784"/>
  <c r="X21" i="784" s="1"/>
  <c r="W15" i="784"/>
  <c r="V15" i="784"/>
  <c r="U12" i="784"/>
  <c r="T12" i="784"/>
  <c r="S12" i="784"/>
  <c r="R12" i="784"/>
  <c r="Q12" i="784"/>
  <c r="Q48" i="784" s="1"/>
  <c r="P12" i="784"/>
  <c r="O12" i="784"/>
  <c r="O48" i="784" s="1"/>
  <c r="N12" i="784"/>
  <c r="M12" i="784"/>
  <c r="L12" i="784"/>
  <c r="K12" i="784"/>
  <c r="J12" i="784"/>
  <c r="I12" i="784"/>
  <c r="I48" i="784" s="1"/>
  <c r="H12" i="784"/>
  <c r="G12" i="784"/>
  <c r="F12" i="784"/>
  <c r="E12" i="784"/>
  <c r="D12" i="784"/>
  <c r="C12" i="784"/>
  <c r="B12" i="784"/>
  <c r="Y11" i="784"/>
  <c r="X11" i="784"/>
  <c r="W11" i="784"/>
  <c r="V11" i="784"/>
  <c r="Y10" i="784"/>
  <c r="X10" i="784"/>
  <c r="W10" i="784"/>
  <c r="V10" i="784"/>
  <c r="Y9" i="784"/>
  <c r="X9" i="784"/>
  <c r="W9" i="784"/>
  <c r="V9" i="784"/>
  <c r="V12" i="784" s="1"/>
  <c r="Y8" i="784"/>
  <c r="X8" i="784"/>
  <c r="W8" i="784"/>
  <c r="V8" i="784"/>
  <c r="B4" i="784"/>
  <c r="U47" i="783"/>
  <c r="T47" i="783"/>
  <c r="S47" i="783"/>
  <c r="R47" i="783"/>
  <c r="Q47" i="783"/>
  <c r="P47" i="783"/>
  <c r="O47" i="783"/>
  <c r="N47" i="783"/>
  <c r="M47" i="783"/>
  <c r="L47" i="783"/>
  <c r="K47" i="783"/>
  <c r="J47" i="783"/>
  <c r="I47" i="783"/>
  <c r="H47" i="783"/>
  <c r="G47" i="783"/>
  <c r="F47" i="783"/>
  <c r="E47" i="783"/>
  <c r="D47" i="783"/>
  <c r="C47" i="783"/>
  <c r="B47" i="783"/>
  <c r="Y46" i="783"/>
  <c r="X46" i="783"/>
  <c r="W46" i="783"/>
  <c r="V46" i="783"/>
  <c r="Y45" i="783"/>
  <c r="Y47" i="783" s="1"/>
  <c r="X45" i="783"/>
  <c r="X47" i="783" s="1"/>
  <c r="W45" i="783"/>
  <c r="W47" i="783" s="1"/>
  <c r="V45" i="783"/>
  <c r="U42" i="783"/>
  <c r="T42" i="783"/>
  <c r="S42" i="783"/>
  <c r="R42" i="783"/>
  <c r="Q42" i="783"/>
  <c r="P42" i="783"/>
  <c r="O42" i="783"/>
  <c r="N42" i="783"/>
  <c r="M42" i="783"/>
  <c r="L42" i="783"/>
  <c r="K42" i="783"/>
  <c r="J42" i="783"/>
  <c r="I42" i="783"/>
  <c r="H42" i="783"/>
  <c r="G42" i="783"/>
  <c r="F42" i="783"/>
  <c r="E42" i="783"/>
  <c r="D42" i="783"/>
  <c r="C42" i="783"/>
  <c r="B42" i="783"/>
  <c r="Y41" i="783"/>
  <c r="X41" i="783"/>
  <c r="W41" i="783"/>
  <c r="V41" i="783"/>
  <c r="Y40" i="783"/>
  <c r="X40" i="783"/>
  <c r="W40" i="783"/>
  <c r="V40" i="783"/>
  <c r="Y39" i="783"/>
  <c r="X39" i="783"/>
  <c r="W39" i="783"/>
  <c r="V39" i="783"/>
  <c r="Y38" i="783"/>
  <c r="X38" i="783"/>
  <c r="W38" i="783"/>
  <c r="V38" i="783"/>
  <c r="Y37" i="783"/>
  <c r="X37" i="783"/>
  <c r="W37" i="783"/>
  <c r="V37" i="783"/>
  <c r="Y36" i="783"/>
  <c r="X36" i="783"/>
  <c r="W36" i="783"/>
  <c r="V36" i="783"/>
  <c r="U34" i="783"/>
  <c r="T34" i="783"/>
  <c r="S34" i="783"/>
  <c r="R34" i="783"/>
  <c r="Q34" i="783"/>
  <c r="P34" i="783"/>
  <c r="O34" i="783"/>
  <c r="N34" i="783"/>
  <c r="M34" i="783"/>
  <c r="L34" i="783"/>
  <c r="K34" i="783"/>
  <c r="J34" i="783"/>
  <c r="I34" i="783"/>
  <c r="H34" i="783"/>
  <c r="G34" i="783"/>
  <c r="F34" i="783"/>
  <c r="E34" i="783"/>
  <c r="D34" i="783"/>
  <c r="C34" i="783"/>
  <c r="B34" i="783"/>
  <c r="Y33" i="783"/>
  <c r="X33" i="783"/>
  <c r="W33" i="783"/>
  <c r="V33" i="783"/>
  <c r="Y32" i="783"/>
  <c r="X32" i="783"/>
  <c r="W32" i="783"/>
  <c r="W34" i="783" s="1"/>
  <c r="V32" i="783"/>
  <c r="U30" i="783"/>
  <c r="T30" i="783"/>
  <c r="S30" i="783"/>
  <c r="R30" i="783"/>
  <c r="Q30" i="783"/>
  <c r="P30" i="783"/>
  <c r="O30" i="783"/>
  <c r="N30" i="783"/>
  <c r="M30" i="783"/>
  <c r="L30" i="783"/>
  <c r="K30" i="783"/>
  <c r="J30" i="783"/>
  <c r="I30" i="783"/>
  <c r="H30" i="783"/>
  <c r="G30" i="783"/>
  <c r="F30" i="783"/>
  <c r="E30" i="783"/>
  <c r="D30" i="783"/>
  <c r="C30" i="783"/>
  <c r="B30" i="783"/>
  <c r="Y29" i="783"/>
  <c r="X29" i="783"/>
  <c r="W29" i="783"/>
  <c r="V29" i="783"/>
  <c r="Y28" i="783"/>
  <c r="X28" i="783"/>
  <c r="W28" i="783"/>
  <c r="V28" i="783"/>
  <c r="Y27" i="783"/>
  <c r="X27" i="783"/>
  <c r="W27" i="783"/>
  <c r="V27" i="783"/>
  <c r="Y26" i="783"/>
  <c r="X26" i="783"/>
  <c r="W26" i="783"/>
  <c r="V26" i="783"/>
  <c r="Y25" i="783"/>
  <c r="X25" i="783"/>
  <c r="W25" i="783"/>
  <c r="V25" i="783"/>
  <c r="Y24" i="783"/>
  <c r="X24" i="783"/>
  <c r="W24" i="783"/>
  <c r="V24" i="783"/>
  <c r="Y23" i="783"/>
  <c r="Y30" i="783" s="1"/>
  <c r="X23" i="783"/>
  <c r="W23" i="783"/>
  <c r="W30" i="783" s="1"/>
  <c r="V23" i="783"/>
  <c r="U21" i="783"/>
  <c r="U43" i="783" s="1"/>
  <c r="T21" i="783"/>
  <c r="S21" i="783"/>
  <c r="R21" i="783"/>
  <c r="Q21" i="783"/>
  <c r="Q43" i="783" s="1"/>
  <c r="P21" i="783"/>
  <c r="P43" i="783" s="1"/>
  <c r="O21" i="783"/>
  <c r="O43" i="783" s="1"/>
  <c r="N21" i="783"/>
  <c r="M21" i="783"/>
  <c r="L21" i="783"/>
  <c r="K21" i="783"/>
  <c r="J21" i="783"/>
  <c r="I21" i="783"/>
  <c r="I43" i="783" s="1"/>
  <c r="H21" i="783"/>
  <c r="H43" i="783" s="1"/>
  <c r="G21" i="783"/>
  <c r="G43" i="783" s="1"/>
  <c r="F21" i="783"/>
  <c r="E21" i="783"/>
  <c r="D21" i="783"/>
  <c r="C21" i="783"/>
  <c r="B21" i="783"/>
  <c r="Y20" i="783"/>
  <c r="X20" i="783"/>
  <c r="W20" i="783"/>
  <c r="V20" i="783"/>
  <c r="Y19" i="783"/>
  <c r="X19" i="783"/>
  <c r="W19" i="783"/>
  <c r="V19" i="783"/>
  <c r="Y18" i="783"/>
  <c r="X18" i="783"/>
  <c r="W18" i="783"/>
  <c r="V18" i="783"/>
  <c r="Y17" i="783"/>
  <c r="X17" i="783"/>
  <c r="W17" i="783"/>
  <c r="V17" i="783"/>
  <c r="Y16" i="783"/>
  <c r="X16" i="783"/>
  <c r="W16" i="783"/>
  <c r="V16" i="783"/>
  <c r="Y15" i="783"/>
  <c r="X15" i="783"/>
  <c r="W15" i="783"/>
  <c r="V15" i="783"/>
  <c r="U12" i="783"/>
  <c r="T12" i="783"/>
  <c r="S12" i="783"/>
  <c r="R12" i="783"/>
  <c r="Q12" i="783"/>
  <c r="P12" i="783"/>
  <c r="O12" i="783"/>
  <c r="N12" i="783"/>
  <c r="M12" i="783"/>
  <c r="L12" i="783"/>
  <c r="K12" i="783"/>
  <c r="J12" i="783"/>
  <c r="I12" i="783"/>
  <c r="H12" i="783"/>
  <c r="G12" i="783"/>
  <c r="F12" i="783"/>
  <c r="E12" i="783"/>
  <c r="D12" i="783"/>
  <c r="C12" i="783"/>
  <c r="B12" i="783"/>
  <c r="Y11" i="783"/>
  <c r="X11" i="783"/>
  <c r="W11" i="783"/>
  <c r="V11" i="783"/>
  <c r="Y10" i="783"/>
  <c r="X10" i="783"/>
  <c r="W10" i="783"/>
  <c r="V10" i="783"/>
  <c r="Y9" i="783"/>
  <c r="X9" i="783"/>
  <c r="W9" i="783"/>
  <c r="V9" i="783"/>
  <c r="Y8" i="783"/>
  <c r="Y12" i="783" s="1"/>
  <c r="X8" i="783"/>
  <c r="W8" i="783"/>
  <c r="W12" i="783" s="1"/>
  <c r="V8" i="783"/>
  <c r="B4" i="783"/>
  <c r="U47" i="782"/>
  <c r="T47" i="782"/>
  <c r="S47" i="782"/>
  <c r="R47" i="782"/>
  <c r="Q47" i="782"/>
  <c r="P47" i="782"/>
  <c r="O47" i="782"/>
  <c r="N47" i="782"/>
  <c r="M47" i="782"/>
  <c r="L47" i="782"/>
  <c r="K47" i="782"/>
  <c r="J47" i="782"/>
  <c r="I47" i="782"/>
  <c r="H47" i="782"/>
  <c r="G47" i="782"/>
  <c r="F47" i="782"/>
  <c r="E47" i="782"/>
  <c r="D47" i="782"/>
  <c r="C47" i="782"/>
  <c r="B47" i="782"/>
  <c r="Y46" i="782"/>
  <c r="X46" i="782"/>
  <c r="W46" i="782"/>
  <c r="V46" i="782"/>
  <c r="Y45" i="782"/>
  <c r="Y47" i="782" s="1"/>
  <c r="X45" i="782"/>
  <c r="W45" i="782"/>
  <c r="W47" i="782" s="1"/>
  <c r="V45" i="782"/>
  <c r="U42" i="782"/>
  <c r="T42" i="782"/>
  <c r="S42" i="782"/>
  <c r="R42" i="782"/>
  <c r="Q42" i="782"/>
  <c r="P42" i="782"/>
  <c r="O42" i="782"/>
  <c r="N42" i="782"/>
  <c r="M42" i="782"/>
  <c r="L42" i="782"/>
  <c r="K42" i="782"/>
  <c r="J42" i="782"/>
  <c r="I42" i="782"/>
  <c r="H42" i="782"/>
  <c r="G42" i="782"/>
  <c r="F42" i="782"/>
  <c r="E42" i="782"/>
  <c r="D42" i="782"/>
  <c r="C42" i="782"/>
  <c r="B42" i="782"/>
  <c r="Y41" i="782"/>
  <c r="X41" i="782"/>
  <c r="W41" i="782"/>
  <c r="V41" i="782"/>
  <c r="Y40" i="782"/>
  <c r="X40" i="782"/>
  <c r="W40" i="782"/>
  <c r="V40" i="782"/>
  <c r="Y39" i="782"/>
  <c r="X39" i="782"/>
  <c r="W39" i="782"/>
  <c r="V39" i="782"/>
  <c r="Y38" i="782"/>
  <c r="X38" i="782"/>
  <c r="W38" i="782"/>
  <c r="V38" i="782"/>
  <c r="Y37" i="782"/>
  <c r="X37" i="782"/>
  <c r="W37" i="782"/>
  <c r="V37" i="782"/>
  <c r="Y36" i="782"/>
  <c r="Y42" i="782" s="1"/>
  <c r="X36" i="782"/>
  <c r="X42" i="782" s="1"/>
  <c r="W36" i="782"/>
  <c r="V36" i="782"/>
  <c r="U34" i="782"/>
  <c r="T34" i="782"/>
  <c r="S34" i="782"/>
  <c r="R34" i="782"/>
  <c r="Q34" i="782"/>
  <c r="P34" i="782"/>
  <c r="O34" i="782"/>
  <c r="N34" i="782"/>
  <c r="M34" i="782"/>
  <c r="L34" i="782"/>
  <c r="K34" i="782"/>
  <c r="J34" i="782"/>
  <c r="I34" i="782"/>
  <c r="H34" i="782"/>
  <c r="G34" i="782"/>
  <c r="F34" i="782"/>
  <c r="E34" i="782"/>
  <c r="D34" i="782"/>
  <c r="C34" i="782"/>
  <c r="B34" i="782"/>
  <c r="Y33" i="782"/>
  <c r="X33" i="782"/>
  <c r="W33" i="782"/>
  <c r="V33" i="782"/>
  <c r="Y32" i="782"/>
  <c r="X32" i="782"/>
  <c r="W32" i="782"/>
  <c r="V32" i="782"/>
  <c r="U30" i="782"/>
  <c r="T30" i="782"/>
  <c r="S30" i="782"/>
  <c r="R30" i="782"/>
  <c r="Q30" i="782"/>
  <c r="P30" i="782"/>
  <c r="O30" i="782"/>
  <c r="N30" i="782"/>
  <c r="M30" i="782"/>
  <c r="L30" i="782"/>
  <c r="K30" i="782"/>
  <c r="J30" i="782"/>
  <c r="I30" i="782"/>
  <c r="H30" i="782"/>
  <c r="G30" i="782"/>
  <c r="F30" i="782"/>
  <c r="E30" i="782"/>
  <c r="D30" i="782"/>
  <c r="C30" i="782"/>
  <c r="B30" i="782"/>
  <c r="Y29" i="782"/>
  <c r="X29" i="782"/>
  <c r="W29" i="782"/>
  <c r="V29" i="782"/>
  <c r="Y28" i="782"/>
  <c r="X28" i="782"/>
  <c r="W28" i="782"/>
  <c r="V28" i="782"/>
  <c r="Y27" i="782"/>
  <c r="X27" i="782"/>
  <c r="W27" i="782"/>
  <c r="V27" i="782"/>
  <c r="Y26" i="782"/>
  <c r="X26" i="782"/>
  <c r="W26" i="782"/>
  <c r="V26" i="782"/>
  <c r="Y25" i="782"/>
  <c r="X25" i="782"/>
  <c r="W25" i="782"/>
  <c r="V25" i="782"/>
  <c r="Y24" i="782"/>
  <c r="X24" i="782"/>
  <c r="W24" i="782"/>
  <c r="V24" i="782"/>
  <c r="Y23" i="782"/>
  <c r="Y30" i="782" s="1"/>
  <c r="X23" i="782"/>
  <c r="W23" i="782"/>
  <c r="V23" i="782"/>
  <c r="V30" i="782" s="1"/>
  <c r="U21" i="782"/>
  <c r="U43" i="782" s="1"/>
  <c r="T21" i="782"/>
  <c r="T43" i="782" s="1"/>
  <c r="S21" i="782"/>
  <c r="S43" i="782" s="1"/>
  <c r="R21" i="782"/>
  <c r="Q21" i="782"/>
  <c r="Q43" i="782" s="1"/>
  <c r="P21" i="782"/>
  <c r="O21" i="782"/>
  <c r="O43" i="782" s="1"/>
  <c r="N21" i="782"/>
  <c r="N43" i="782" s="1"/>
  <c r="M21" i="782"/>
  <c r="M43" i="782" s="1"/>
  <c r="L21" i="782"/>
  <c r="L43" i="782" s="1"/>
  <c r="K21" i="782"/>
  <c r="K43" i="782" s="1"/>
  <c r="J21" i="782"/>
  <c r="I21" i="782"/>
  <c r="I43" i="782" s="1"/>
  <c r="H21" i="782"/>
  <c r="G21" i="782"/>
  <c r="G43" i="782" s="1"/>
  <c r="F21" i="782"/>
  <c r="F43" i="782" s="1"/>
  <c r="E21" i="782"/>
  <c r="E43" i="782" s="1"/>
  <c r="D21" i="782"/>
  <c r="D43" i="782" s="1"/>
  <c r="C21" i="782"/>
  <c r="C43" i="782" s="1"/>
  <c r="B21" i="782"/>
  <c r="Y20" i="782"/>
  <c r="X20" i="782"/>
  <c r="W20" i="782"/>
  <c r="V20" i="782"/>
  <c r="Y19" i="782"/>
  <c r="X19" i="782"/>
  <c r="W19" i="782"/>
  <c r="V19" i="782"/>
  <c r="Y18" i="782"/>
  <c r="X18" i="782"/>
  <c r="W18" i="782"/>
  <c r="V18" i="782"/>
  <c r="Y17" i="782"/>
  <c r="X17" i="782"/>
  <c r="W17" i="782"/>
  <c r="V17" i="782"/>
  <c r="Y16" i="782"/>
  <c r="X16" i="782"/>
  <c r="W16" i="782"/>
  <c r="V16" i="782"/>
  <c r="Y15" i="782"/>
  <c r="X15" i="782"/>
  <c r="X21" i="782" s="1"/>
  <c r="W15" i="782"/>
  <c r="V15" i="782"/>
  <c r="U12" i="782"/>
  <c r="U48" i="782" s="1"/>
  <c r="T12" i="782"/>
  <c r="S12" i="782"/>
  <c r="S48" i="782" s="1"/>
  <c r="R12" i="782"/>
  <c r="Q12" i="782"/>
  <c r="Q48" i="782" s="1"/>
  <c r="P12" i="782"/>
  <c r="O12" i="782"/>
  <c r="N12" i="782"/>
  <c r="M12" i="782"/>
  <c r="M48" i="782" s="1"/>
  <c r="L12" i="782"/>
  <c r="K12" i="782"/>
  <c r="K48" i="782" s="1"/>
  <c r="J12" i="782"/>
  <c r="I12" i="782"/>
  <c r="I48" i="782" s="1"/>
  <c r="H12" i="782"/>
  <c r="G12" i="782"/>
  <c r="F12" i="782"/>
  <c r="E12" i="782"/>
  <c r="E48" i="782" s="1"/>
  <c r="D12" i="782"/>
  <c r="C12" i="782"/>
  <c r="C48" i="782" s="1"/>
  <c r="B12" i="782"/>
  <c r="Y11" i="782"/>
  <c r="X11" i="782"/>
  <c r="W11" i="782"/>
  <c r="V11" i="782"/>
  <c r="Y10" i="782"/>
  <c r="X10" i="782"/>
  <c r="W10" i="782"/>
  <c r="V10" i="782"/>
  <c r="Y9" i="782"/>
  <c r="X9" i="782"/>
  <c r="X12" i="782" s="1"/>
  <c r="W9" i="782"/>
  <c r="V9" i="782"/>
  <c r="Y8" i="782"/>
  <c r="X8" i="782"/>
  <c r="W8" i="782"/>
  <c r="W12" i="782" s="1"/>
  <c r="V8" i="782"/>
  <c r="B4" i="782"/>
  <c r="U47" i="781"/>
  <c r="T47" i="781"/>
  <c r="S47" i="781"/>
  <c r="R47" i="781"/>
  <c r="Q47" i="781"/>
  <c r="P47" i="781"/>
  <c r="O47" i="781"/>
  <c r="N47" i="781"/>
  <c r="M47" i="781"/>
  <c r="L47" i="781"/>
  <c r="K47" i="781"/>
  <c r="J47" i="781"/>
  <c r="I47" i="781"/>
  <c r="H47" i="781"/>
  <c r="G47" i="781"/>
  <c r="F47" i="781"/>
  <c r="E47" i="781"/>
  <c r="D47" i="781"/>
  <c r="C47" i="781"/>
  <c r="B47" i="781"/>
  <c r="Y46" i="781"/>
  <c r="X46" i="781"/>
  <c r="W46" i="781"/>
  <c r="V46" i="781"/>
  <c r="Y45" i="781"/>
  <c r="Y47" i="781" s="1"/>
  <c r="X45" i="781"/>
  <c r="W45" i="781"/>
  <c r="W47" i="781" s="1"/>
  <c r="V45" i="781"/>
  <c r="U42" i="781"/>
  <c r="T42" i="781"/>
  <c r="S42" i="781"/>
  <c r="R42" i="781"/>
  <c r="Q42" i="781"/>
  <c r="P42" i="781"/>
  <c r="O42" i="781"/>
  <c r="N42" i="781"/>
  <c r="M42" i="781"/>
  <c r="L42" i="781"/>
  <c r="K42" i="781"/>
  <c r="J42" i="781"/>
  <c r="I42" i="781"/>
  <c r="H42" i="781"/>
  <c r="G42" i="781"/>
  <c r="F42" i="781"/>
  <c r="E42" i="781"/>
  <c r="D42" i="781"/>
  <c r="C42" i="781"/>
  <c r="B42" i="781"/>
  <c r="Y41" i="781"/>
  <c r="X41" i="781"/>
  <c r="W41" i="781"/>
  <c r="V41" i="781"/>
  <c r="Y40" i="781"/>
  <c r="X40" i="781"/>
  <c r="W40" i="781"/>
  <c r="V40" i="781"/>
  <c r="Y39" i="781"/>
  <c r="X39" i="781"/>
  <c r="W39" i="781"/>
  <c r="V39" i="781"/>
  <c r="Y38" i="781"/>
  <c r="X38" i="781"/>
  <c r="W38" i="781"/>
  <c r="V38" i="781"/>
  <c r="Y37" i="781"/>
  <c r="X37" i="781"/>
  <c r="W37" i="781"/>
  <c r="V37" i="781"/>
  <c r="Y36" i="781"/>
  <c r="X36" i="781"/>
  <c r="W36" i="781"/>
  <c r="W42" i="781" s="1"/>
  <c r="V36" i="781"/>
  <c r="V42" i="781" s="1"/>
  <c r="U34" i="781"/>
  <c r="T34" i="781"/>
  <c r="S34" i="781"/>
  <c r="R34" i="781"/>
  <c r="Q34" i="781"/>
  <c r="P34" i="781"/>
  <c r="O34" i="781"/>
  <c r="N34" i="781"/>
  <c r="M34" i="781"/>
  <c r="L34" i="781"/>
  <c r="K34" i="781"/>
  <c r="J34" i="781"/>
  <c r="I34" i="781"/>
  <c r="H34" i="781"/>
  <c r="G34" i="781"/>
  <c r="F34" i="781"/>
  <c r="E34" i="781"/>
  <c r="D34" i="781"/>
  <c r="C34" i="781"/>
  <c r="B34" i="781"/>
  <c r="Y33" i="781"/>
  <c r="X33" i="781"/>
  <c r="W33" i="781"/>
  <c r="V33" i="781"/>
  <c r="Y32" i="781"/>
  <c r="Y34" i="781" s="1"/>
  <c r="X32" i="781"/>
  <c r="W32" i="781"/>
  <c r="V32" i="781"/>
  <c r="U30" i="781"/>
  <c r="T30" i="781"/>
  <c r="S30" i="781"/>
  <c r="R30" i="781"/>
  <c r="Q30" i="781"/>
  <c r="P30" i="781"/>
  <c r="O30" i="781"/>
  <c r="N30" i="781"/>
  <c r="M30" i="781"/>
  <c r="L30" i="781"/>
  <c r="K30" i="781"/>
  <c r="J30" i="781"/>
  <c r="I30" i="781"/>
  <c r="H30" i="781"/>
  <c r="G30" i="781"/>
  <c r="F30" i="781"/>
  <c r="E30" i="781"/>
  <c r="D30" i="781"/>
  <c r="C30" i="781"/>
  <c r="B30" i="781"/>
  <c r="Y29" i="781"/>
  <c r="X29" i="781"/>
  <c r="W29" i="781"/>
  <c r="V29" i="781"/>
  <c r="Y28" i="781"/>
  <c r="X28" i="781"/>
  <c r="W28" i="781"/>
  <c r="V28" i="781"/>
  <c r="Y27" i="781"/>
  <c r="X27" i="781"/>
  <c r="W27" i="781"/>
  <c r="V27" i="781"/>
  <c r="Y26" i="781"/>
  <c r="X26" i="781"/>
  <c r="W26" i="781"/>
  <c r="V26" i="781"/>
  <c r="Y25" i="781"/>
  <c r="X25" i="781"/>
  <c r="W25" i="781"/>
  <c r="V25" i="781"/>
  <c r="Y24" i="781"/>
  <c r="X24" i="781"/>
  <c r="W24" i="781"/>
  <c r="V24" i="781"/>
  <c r="Y23" i="781"/>
  <c r="X23" i="781"/>
  <c r="X30" i="781" s="1"/>
  <c r="W23" i="781"/>
  <c r="W30" i="781" s="1"/>
  <c r="V23" i="781"/>
  <c r="U21" i="781"/>
  <c r="T21" i="781"/>
  <c r="T43" i="781" s="1"/>
  <c r="S21" i="781"/>
  <c r="S43" i="781" s="1"/>
  <c r="R21" i="781"/>
  <c r="R43" i="781" s="1"/>
  <c r="Q21" i="781"/>
  <c r="Q43" i="781" s="1"/>
  <c r="P21" i="781"/>
  <c r="P43" i="781" s="1"/>
  <c r="O21" i="781"/>
  <c r="O43" i="781" s="1"/>
  <c r="N21" i="781"/>
  <c r="M21" i="781"/>
  <c r="L21" i="781"/>
  <c r="L43" i="781" s="1"/>
  <c r="K21" i="781"/>
  <c r="K43" i="781" s="1"/>
  <c r="J21" i="781"/>
  <c r="J43" i="781" s="1"/>
  <c r="I21" i="781"/>
  <c r="I43" i="781" s="1"/>
  <c r="H21" i="781"/>
  <c r="H43" i="781" s="1"/>
  <c r="G21" i="781"/>
  <c r="G43" i="781" s="1"/>
  <c r="F21" i="781"/>
  <c r="E21" i="781"/>
  <c r="D21" i="781"/>
  <c r="D43" i="781" s="1"/>
  <c r="C21" i="781"/>
  <c r="C43" i="781" s="1"/>
  <c r="B21" i="781"/>
  <c r="B43" i="781" s="1"/>
  <c r="Y20" i="781"/>
  <c r="X20" i="781"/>
  <c r="W20" i="781"/>
  <c r="V20" i="781"/>
  <c r="Y19" i="781"/>
  <c r="X19" i="781"/>
  <c r="W19" i="781"/>
  <c r="V19" i="781"/>
  <c r="Y18" i="781"/>
  <c r="X18" i="781"/>
  <c r="W18" i="781"/>
  <c r="V18" i="781"/>
  <c r="Y17" i="781"/>
  <c r="X17" i="781"/>
  <c r="W17" i="781"/>
  <c r="V17" i="781"/>
  <c r="Y16" i="781"/>
  <c r="X16" i="781"/>
  <c r="W16" i="781"/>
  <c r="V16" i="781"/>
  <c r="Y15" i="781"/>
  <c r="X15" i="781"/>
  <c r="W15" i="781"/>
  <c r="V15" i="781"/>
  <c r="U12" i="781"/>
  <c r="T12" i="781"/>
  <c r="S12" i="781"/>
  <c r="R12" i="781"/>
  <c r="Q12" i="781"/>
  <c r="P12" i="781"/>
  <c r="O12" i="781"/>
  <c r="O48" i="781" s="1"/>
  <c r="N12" i="781"/>
  <c r="M12" i="781"/>
  <c r="L12" i="781"/>
  <c r="K12" i="781"/>
  <c r="J12" i="781"/>
  <c r="I12" i="781"/>
  <c r="H12" i="781"/>
  <c r="H48" i="781" s="1"/>
  <c r="G12" i="781"/>
  <c r="G48" i="781" s="1"/>
  <c r="F12" i="781"/>
  <c r="E12" i="781"/>
  <c r="D12" i="781"/>
  <c r="C12" i="781"/>
  <c r="B12" i="781"/>
  <c r="Y11" i="781"/>
  <c r="X11" i="781"/>
  <c r="W11" i="781"/>
  <c r="V11" i="781"/>
  <c r="Y10" i="781"/>
  <c r="X10" i="781"/>
  <c r="W10" i="781"/>
  <c r="V10" i="781"/>
  <c r="Y9" i="781"/>
  <c r="X9" i="781"/>
  <c r="W9" i="781"/>
  <c r="V9" i="781"/>
  <c r="Y8" i="781"/>
  <c r="Y12" i="781" s="1"/>
  <c r="X8" i="781"/>
  <c r="W8" i="781"/>
  <c r="V8" i="781"/>
  <c r="B4" i="781"/>
  <c r="U47" i="780"/>
  <c r="T47" i="780"/>
  <c r="S47" i="780"/>
  <c r="R47" i="780"/>
  <c r="Q47" i="780"/>
  <c r="P47" i="780"/>
  <c r="O47" i="780"/>
  <c r="N47" i="780"/>
  <c r="M47" i="780"/>
  <c r="L47" i="780"/>
  <c r="K47" i="780"/>
  <c r="J47" i="780"/>
  <c r="I47" i="780"/>
  <c r="H47" i="780"/>
  <c r="G47" i="780"/>
  <c r="F47" i="780"/>
  <c r="E47" i="780"/>
  <c r="D47" i="780"/>
  <c r="C47" i="780"/>
  <c r="B47" i="780"/>
  <c r="Y46" i="780"/>
  <c r="X46" i="780"/>
  <c r="W46" i="780"/>
  <c r="V46" i="780"/>
  <c r="Y45" i="780"/>
  <c r="Y47" i="780" s="1"/>
  <c r="X45" i="780"/>
  <c r="X47" i="780" s="1"/>
  <c r="W45" i="780"/>
  <c r="W47" i="780" s="1"/>
  <c r="V45" i="780"/>
  <c r="U42" i="780"/>
  <c r="T42" i="780"/>
  <c r="S42" i="780"/>
  <c r="R42" i="780"/>
  <c r="Q42" i="780"/>
  <c r="P42" i="780"/>
  <c r="O42" i="780"/>
  <c r="N42" i="780"/>
  <c r="M42" i="780"/>
  <c r="L42" i="780"/>
  <c r="K42" i="780"/>
  <c r="J42" i="780"/>
  <c r="I42" i="780"/>
  <c r="H42" i="780"/>
  <c r="G42" i="780"/>
  <c r="F42" i="780"/>
  <c r="E42" i="780"/>
  <c r="D42" i="780"/>
  <c r="C42" i="780"/>
  <c r="B42" i="780"/>
  <c r="Y41" i="780"/>
  <c r="X41" i="780"/>
  <c r="W41" i="780"/>
  <c r="V41" i="780"/>
  <c r="Y40" i="780"/>
  <c r="X40" i="780"/>
  <c r="W40" i="780"/>
  <c r="V40" i="780"/>
  <c r="Y39" i="780"/>
  <c r="X39" i="780"/>
  <c r="W39" i="780"/>
  <c r="V39" i="780"/>
  <c r="Y38" i="780"/>
  <c r="X38" i="780"/>
  <c r="W38" i="780"/>
  <c r="V38" i="780"/>
  <c r="Y37" i="780"/>
  <c r="X37" i="780"/>
  <c r="W37" i="780"/>
  <c r="V37" i="780"/>
  <c r="Y36" i="780"/>
  <c r="X36" i="780"/>
  <c r="W36" i="780"/>
  <c r="V36" i="780"/>
  <c r="U34" i="780"/>
  <c r="T34" i="780"/>
  <c r="S34" i="780"/>
  <c r="R34" i="780"/>
  <c r="Q34" i="780"/>
  <c r="P34" i="780"/>
  <c r="O34" i="780"/>
  <c r="N34" i="780"/>
  <c r="M34" i="780"/>
  <c r="L34" i="780"/>
  <c r="K34" i="780"/>
  <c r="J34" i="780"/>
  <c r="I34" i="780"/>
  <c r="H34" i="780"/>
  <c r="G34" i="780"/>
  <c r="F34" i="780"/>
  <c r="E34" i="780"/>
  <c r="D34" i="780"/>
  <c r="C34" i="780"/>
  <c r="B34" i="780"/>
  <c r="Y33" i="780"/>
  <c r="X33" i="780"/>
  <c r="W33" i="780"/>
  <c r="V33" i="780"/>
  <c r="Y32" i="780"/>
  <c r="Y34" i="780" s="1"/>
  <c r="X32" i="780"/>
  <c r="W32" i="780"/>
  <c r="V32" i="780"/>
  <c r="U30" i="780"/>
  <c r="T30" i="780"/>
  <c r="S30" i="780"/>
  <c r="R30" i="780"/>
  <c r="Q30" i="780"/>
  <c r="P30" i="780"/>
  <c r="O30" i="780"/>
  <c r="N30" i="780"/>
  <c r="M30" i="780"/>
  <c r="L30" i="780"/>
  <c r="K30" i="780"/>
  <c r="J30" i="780"/>
  <c r="I30" i="780"/>
  <c r="H30" i="780"/>
  <c r="G30" i="780"/>
  <c r="F30" i="780"/>
  <c r="E30" i="780"/>
  <c r="D30" i="780"/>
  <c r="C30" i="780"/>
  <c r="B30" i="780"/>
  <c r="Y29" i="780"/>
  <c r="X29" i="780"/>
  <c r="W29" i="780"/>
  <c r="V29" i="780"/>
  <c r="Y28" i="780"/>
  <c r="X28" i="780"/>
  <c r="W28" i="780"/>
  <c r="V28" i="780"/>
  <c r="Y27" i="780"/>
  <c r="X27" i="780"/>
  <c r="W27" i="780"/>
  <c r="V27" i="780"/>
  <c r="Y26" i="780"/>
  <c r="X26" i="780"/>
  <c r="W26" i="780"/>
  <c r="V26" i="780"/>
  <c r="Y25" i="780"/>
  <c r="X25" i="780"/>
  <c r="W25" i="780"/>
  <c r="V25" i="780"/>
  <c r="Y24" i="780"/>
  <c r="X24" i="780"/>
  <c r="W24" i="780"/>
  <c r="V24" i="780"/>
  <c r="Y23" i="780"/>
  <c r="X23" i="780"/>
  <c r="W23" i="780"/>
  <c r="W30" i="780" s="1"/>
  <c r="V23" i="780"/>
  <c r="U21" i="780"/>
  <c r="T21" i="780"/>
  <c r="S21" i="780"/>
  <c r="S43" i="780" s="1"/>
  <c r="R21" i="780"/>
  <c r="Q21" i="780"/>
  <c r="Q43" i="780" s="1"/>
  <c r="P21" i="780"/>
  <c r="P43" i="780" s="1"/>
  <c r="O21" i="780"/>
  <c r="O43" i="780" s="1"/>
  <c r="N21" i="780"/>
  <c r="N43" i="780" s="1"/>
  <c r="M21" i="780"/>
  <c r="L21" i="780"/>
  <c r="K21" i="780"/>
  <c r="J21" i="780"/>
  <c r="I21" i="780"/>
  <c r="I43" i="780" s="1"/>
  <c r="H21" i="780"/>
  <c r="H43" i="780" s="1"/>
  <c r="G21" i="780"/>
  <c r="G43" i="780" s="1"/>
  <c r="F21" i="780"/>
  <c r="F43" i="780" s="1"/>
  <c r="E21" i="780"/>
  <c r="D21" i="780"/>
  <c r="C21" i="780"/>
  <c r="B21" i="780"/>
  <c r="Y20" i="780"/>
  <c r="X20" i="780"/>
  <c r="W20" i="780"/>
  <c r="V20" i="780"/>
  <c r="Y19" i="780"/>
  <c r="X19" i="780"/>
  <c r="W19" i="780"/>
  <c r="V19" i="780"/>
  <c r="Y18" i="780"/>
  <c r="X18" i="780"/>
  <c r="W18" i="780"/>
  <c r="V18" i="780"/>
  <c r="Y17" i="780"/>
  <c r="X17" i="780"/>
  <c r="W17" i="780"/>
  <c r="V17" i="780"/>
  <c r="Y16" i="780"/>
  <c r="Y21" i="780" s="1"/>
  <c r="X16" i="780"/>
  <c r="W16" i="780"/>
  <c r="V16" i="780"/>
  <c r="Y15" i="780"/>
  <c r="X15" i="780"/>
  <c r="W15" i="780"/>
  <c r="V15" i="780"/>
  <c r="U12" i="780"/>
  <c r="T12" i="780"/>
  <c r="S12" i="780"/>
  <c r="S48" i="780" s="1"/>
  <c r="R12" i="780"/>
  <c r="Q12" i="780"/>
  <c r="P12" i="780"/>
  <c r="O12" i="780"/>
  <c r="N12" i="780"/>
  <c r="M12" i="780"/>
  <c r="L12" i="780"/>
  <c r="K12" i="780"/>
  <c r="J12" i="780"/>
  <c r="I12" i="780"/>
  <c r="H12" i="780"/>
  <c r="G12" i="780"/>
  <c r="F12" i="780"/>
  <c r="E12" i="780"/>
  <c r="D12" i="780"/>
  <c r="C12" i="780"/>
  <c r="B12" i="780"/>
  <c r="Y11" i="780"/>
  <c r="X11" i="780"/>
  <c r="W11" i="780"/>
  <c r="V11" i="780"/>
  <c r="Y10" i="780"/>
  <c r="X10" i="780"/>
  <c r="W10" i="780"/>
  <c r="V10" i="780"/>
  <c r="Y9" i="780"/>
  <c r="X9" i="780"/>
  <c r="W9" i="780"/>
  <c r="V9" i="780"/>
  <c r="Y8" i="780"/>
  <c r="X8" i="780"/>
  <c r="X12" i="780" s="1"/>
  <c r="W8" i="780"/>
  <c r="W12" i="780" s="1"/>
  <c r="V8" i="780"/>
  <c r="B4" i="780"/>
  <c r="U47" i="779"/>
  <c r="T47" i="779"/>
  <c r="S47" i="779"/>
  <c r="R47" i="779"/>
  <c r="Q47" i="779"/>
  <c r="P47" i="779"/>
  <c r="O47" i="779"/>
  <c r="N47" i="779"/>
  <c r="M47" i="779"/>
  <c r="L47" i="779"/>
  <c r="K47" i="779"/>
  <c r="J47" i="779"/>
  <c r="I47" i="779"/>
  <c r="H47" i="779"/>
  <c r="G47" i="779"/>
  <c r="F47" i="779"/>
  <c r="E47" i="779"/>
  <c r="D47" i="779"/>
  <c r="C47" i="779"/>
  <c r="B47" i="779"/>
  <c r="Y46" i="779"/>
  <c r="X46" i="779"/>
  <c r="W46" i="779"/>
  <c r="V46" i="779"/>
  <c r="Y45" i="779"/>
  <c r="X45" i="779"/>
  <c r="X47" i="779" s="1"/>
  <c r="W45" i="779"/>
  <c r="V45" i="779"/>
  <c r="U42" i="779"/>
  <c r="T42" i="779"/>
  <c r="S42" i="779"/>
  <c r="R42" i="779"/>
  <c r="Q42" i="779"/>
  <c r="P42" i="779"/>
  <c r="O42" i="779"/>
  <c r="N42" i="779"/>
  <c r="M42" i="779"/>
  <c r="L42" i="779"/>
  <c r="K42" i="779"/>
  <c r="J42" i="779"/>
  <c r="I42" i="779"/>
  <c r="H42" i="779"/>
  <c r="G42" i="779"/>
  <c r="F42" i="779"/>
  <c r="E42" i="779"/>
  <c r="D42" i="779"/>
  <c r="C42" i="779"/>
  <c r="B42" i="779"/>
  <c r="Y41" i="779"/>
  <c r="X41" i="779"/>
  <c r="W41" i="779"/>
  <c r="V41" i="779"/>
  <c r="Y40" i="779"/>
  <c r="X40" i="779"/>
  <c r="W40" i="779"/>
  <c r="V40" i="779"/>
  <c r="Y39" i="779"/>
  <c r="X39" i="779"/>
  <c r="W39" i="779"/>
  <c r="V39" i="779"/>
  <c r="Y38" i="779"/>
  <c r="X38" i="779"/>
  <c r="W38" i="779"/>
  <c r="V38" i="779"/>
  <c r="Y37" i="779"/>
  <c r="X37" i="779"/>
  <c r="W37" i="779"/>
  <c r="V37" i="779"/>
  <c r="Y36" i="779"/>
  <c r="X36" i="779"/>
  <c r="X42" i="779" s="1"/>
  <c r="W36" i="779"/>
  <c r="V36" i="779"/>
  <c r="U34" i="779"/>
  <c r="T34" i="779"/>
  <c r="S34" i="779"/>
  <c r="R34" i="779"/>
  <c r="Q34" i="779"/>
  <c r="P34" i="779"/>
  <c r="O34" i="779"/>
  <c r="N34" i="779"/>
  <c r="M34" i="779"/>
  <c r="L34" i="779"/>
  <c r="K34" i="779"/>
  <c r="J34" i="779"/>
  <c r="I34" i="779"/>
  <c r="H34" i="779"/>
  <c r="G34" i="779"/>
  <c r="F34" i="779"/>
  <c r="E34" i="779"/>
  <c r="D34" i="779"/>
  <c r="C34" i="779"/>
  <c r="B34" i="779"/>
  <c r="Y33" i="779"/>
  <c r="X33" i="779"/>
  <c r="W33" i="779"/>
  <c r="V33" i="779"/>
  <c r="Y32" i="779"/>
  <c r="X32" i="779"/>
  <c r="W32" i="779"/>
  <c r="V32" i="779"/>
  <c r="U30" i="779"/>
  <c r="T30" i="779"/>
  <c r="S30" i="779"/>
  <c r="R30" i="779"/>
  <c r="Q30" i="779"/>
  <c r="P30" i="779"/>
  <c r="O30" i="779"/>
  <c r="N30" i="779"/>
  <c r="M30" i="779"/>
  <c r="L30" i="779"/>
  <c r="K30" i="779"/>
  <c r="J30" i="779"/>
  <c r="I30" i="779"/>
  <c r="H30" i="779"/>
  <c r="G30" i="779"/>
  <c r="F30" i="779"/>
  <c r="E30" i="779"/>
  <c r="D30" i="779"/>
  <c r="C30" i="779"/>
  <c r="B30" i="779"/>
  <c r="Y29" i="779"/>
  <c r="X29" i="779"/>
  <c r="W29" i="779"/>
  <c r="V29" i="779"/>
  <c r="Y28" i="779"/>
  <c r="X28" i="779"/>
  <c r="W28" i="779"/>
  <c r="V28" i="779"/>
  <c r="Y27" i="779"/>
  <c r="X27" i="779"/>
  <c r="W27" i="779"/>
  <c r="V27" i="779"/>
  <c r="Y26" i="779"/>
  <c r="X26" i="779"/>
  <c r="W26" i="779"/>
  <c r="V26" i="779"/>
  <c r="Y25" i="779"/>
  <c r="X25" i="779"/>
  <c r="W25" i="779"/>
  <c r="V25" i="779"/>
  <c r="Y24" i="779"/>
  <c r="X24" i="779"/>
  <c r="W24" i="779"/>
  <c r="V24" i="779"/>
  <c r="Y23" i="779"/>
  <c r="X23" i="779"/>
  <c r="W23" i="779"/>
  <c r="V23" i="779"/>
  <c r="V30" i="779" s="1"/>
  <c r="U21" i="779"/>
  <c r="U43" i="779" s="1"/>
  <c r="T21" i="779"/>
  <c r="T43" i="779" s="1"/>
  <c r="S21" i="779"/>
  <c r="R21" i="779"/>
  <c r="Q21" i="779"/>
  <c r="P21" i="779"/>
  <c r="P43" i="779" s="1"/>
  <c r="O21" i="779"/>
  <c r="N21" i="779"/>
  <c r="N43" i="779" s="1"/>
  <c r="M21" i="779"/>
  <c r="M43" i="779" s="1"/>
  <c r="L21" i="779"/>
  <c r="L43" i="779" s="1"/>
  <c r="K21" i="779"/>
  <c r="J21" i="779"/>
  <c r="I21" i="779"/>
  <c r="H21" i="779"/>
  <c r="H43" i="779" s="1"/>
  <c r="G21" i="779"/>
  <c r="F21" i="779"/>
  <c r="F43" i="779" s="1"/>
  <c r="E21" i="779"/>
  <c r="E43" i="779" s="1"/>
  <c r="D21" i="779"/>
  <c r="D43" i="779" s="1"/>
  <c r="C21" i="779"/>
  <c r="B21" i="779"/>
  <c r="Y20" i="779"/>
  <c r="X20" i="779"/>
  <c r="W20" i="779"/>
  <c r="V20" i="779"/>
  <c r="Y19" i="779"/>
  <c r="X19" i="779"/>
  <c r="W19" i="779"/>
  <c r="V19" i="779"/>
  <c r="Y18" i="779"/>
  <c r="X18" i="779"/>
  <c r="W18" i="779"/>
  <c r="V18" i="779"/>
  <c r="Y17" i="779"/>
  <c r="X17" i="779"/>
  <c r="W17" i="779"/>
  <c r="V17" i="779"/>
  <c r="Y16" i="779"/>
  <c r="X16" i="779"/>
  <c r="W16" i="779"/>
  <c r="V16" i="779"/>
  <c r="V21" i="779" s="1"/>
  <c r="Y15" i="779"/>
  <c r="Y21" i="779" s="1"/>
  <c r="X15" i="779"/>
  <c r="X21" i="779" s="1"/>
  <c r="W15" i="779"/>
  <c r="V15" i="779"/>
  <c r="U12" i="779"/>
  <c r="T12" i="779"/>
  <c r="S12" i="779"/>
  <c r="R12" i="779"/>
  <c r="Q12" i="779"/>
  <c r="P12" i="779"/>
  <c r="P48" i="779" s="1"/>
  <c r="O12" i="779"/>
  <c r="N12" i="779"/>
  <c r="M12" i="779"/>
  <c r="L12" i="779"/>
  <c r="K12" i="779"/>
  <c r="J12" i="779"/>
  <c r="I12" i="779"/>
  <c r="H12" i="779"/>
  <c r="H48" i="779" s="1"/>
  <c r="G12" i="779"/>
  <c r="F12" i="779"/>
  <c r="E12" i="779"/>
  <c r="D12" i="779"/>
  <c r="C12" i="779"/>
  <c r="B12" i="779"/>
  <c r="Y11" i="779"/>
  <c r="X11" i="779"/>
  <c r="W11" i="779"/>
  <c r="V11" i="779"/>
  <c r="Y10" i="779"/>
  <c r="X10" i="779"/>
  <c r="W10" i="779"/>
  <c r="V10" i="779"/>
  <c r="Y9" i="779"/>
  <c r="X9" i="779"/>
  <c r="W9" i="779"/>
  <c r="V9" i="779"/>
  <c r="Y8" i="779"/>
  <c r="X8" i="779"/>
  <c r="W8" i="779"/>
  <c r="V8" i="779"/>
  <c r="B4" i="779"/>
  <c r="U47" i="778"/>
  <c r="T47" i="778"/>
  <c r="S47" i="778"/>
  <c r="R47" i="778"/>
  <c r="Q47" i="778"/>
  <c r="P47" i="778"/>
  <c r="O47" i="778"/>
  <c r="N47" i="778"/>
  <c r="M47" i="778"/>
  <c r="L47" i="778"/>
  <c r="K47" i="778"/>
  <c r="J47" i="778"/>
  <c r="I47" i="778"/>
  <c r="H47" i="778"/>
  <c r="G47" i="778"/>
  <c r="F47" i="778"/>
  <c r="E47" i="778"/>
  <c r="D47" i="778"/>
  <c r="C47" i="778"/>
  <c r="B47" i="778"/>
  <c r="Y46" i="778"/>
  <c r="X46" i="778"/>
  <c r="W46" i="778"/>
  <c r="V46" i="778"/>
  <c r="Y45" i="778"/>
  <c r="Y47" i="778" s="1"/>
  <c r="X45" i="778"/>
  <c r="X47" i="778" s="1"/>
  <c r="W45" i="778"/>
  <c r="W47" i="778" s="1"/>
  <c r="V45" i="778"/>
  <c r="U42" i="778"/>
  <c r="T42" i="778"/>
  <c r="S42" i="778"/>
  <c r="R42" i="778"/>
  <c r="Q42" i="778"/>
  <c r="P42" i="778"/>
  <c r="O42" i="778"/>
  <c r="N42" i="778"/>
  <c r="M42" i="778"/>
  <c r="L42" i="778"/>
  <c r="K42" i="778"/>
  <c r="J42" i="778"/>
  <c r="I42" i="778"/>
  <c r="H42" i="778"/>
  <c r="G42" i="778"/>
  <c r="F42" i="778"/>
  <c r="E42" i="778"/>
  <c r="D42" i="778"/>
  <c r="C42" i="778"/>
  <c r="B42" i="778"/>
  <c r="Y41" i="778"/>
  <c r="X41" i="778"/>
  <c r="W41" i="778"/>
  <c r="V41" i="778"/>
  <c r="Y40" i="778"/>
  <c r="X40" i="778"/>
  <c r="W40" i="778"/>
  <c r="V40" i="778"/>
  <c r="Y39" i="778"/>
  <c r="X39" i="778"/>
  <c r="W39" i="778"/>
  <c r="V39" i="778"/>
  <c r="Y38" i="778"/>
  <c r="X38" i="778"/>
  <c r="W38" i="778"/>
  <c r="V38" i="778"/>
  <c r="Y37" i="778"/>
  <c r="X37" i="778"/>
  <c r="W37" i="778"/>
  <c r="V37" i="778"/>
  <c r="Y36" i="778"/>
  <c r="X36" i="778"/>
  <c r="W36" i="778"/>
  <c r="V36" i="778"/>
  <c r="V42" i="778" s="1"/>
  <c r="U34" i="778"/>
  <c r="T34" i="778"/>
  <c r="S34" i="778"/>
  <c r="R34" i="778"/>
  <c r="Q34" i="778"/>
  <c r="P34" i="778"/>
  <c r="O34" i="778"/>
  <c r="N34" i="778"/>
  <c r="M34" i="778"/>
  <c r="L34" i="778"/>
  <c r="K34" i="778"/>
  <c r="J34" i="778"/>
  <c r="I34" i="778"/>
  <c r="H34" i="778"/>
  <c r="G34" i="778"/>
  <c r="F34" i="778"/>
  <c r="E34" i="778"/>
  <c r="D34" i="778"/>
  <c r="C34" i="778"/>
  <c r="B34" i="778"/>
  <c r="Y33" i="778"/>
  <c r="X33" i="778"/>
  <c r="W33" i="778"/>
  <c r="V33" i="778"/>
  <c r="Y32" i="778"/>
  <c r="X32" i="778"/>
  <c r="X34" i="778" s="1"/>
  <c r="W32" i="778"/>
  <c r="W34" i="778" s="1"/>
  <c r="V32" i="778"/>
  <c r="U30" i="778"/>
  <c r="T30" i="778"/>
  <c r="S30" i="778"/>
  <c r="R30" i="778"/>
  <c r="Q30" i="778"/>
  <c r="P30" i="778"/>
  <c r="O30" i="778"/>
  <c r="N30" i="778"/>
  <c r="M30" i="778"/>
  <c r="L30" i="778"/>
  <c r="K30" i="778"/>
  <c r="J30" i="778"/>
  <c r="I30" i="778"/>
  <c r="H30" i="778"/>
  <c r="G30" i="778"/>
  <c r="F30" i="778"/>
  <c r="E30" i="778"/>
  <c r="D30" i="778"/>
  <c r="C30" i="778"/>
  <c r="B30" i="778"/>
  <c r="Y29" i="778"/>
  <c r="X29" i="778"/>
  <c r="W29" i="778"/>
  <c r="V29" i="778"/>
  <c r="Y28" i="778"/>
  <c r="X28" i="778"/>
  <c r="W28" i="778"/>
  <c r="V28" i="778"/>
  <c r="Y27" i="778"/>
  <c r="X27" i="778"/>
  <c r="W27" i="778"/>
  <c r="V27" i="778"/>
  <c r="Y26" i="778"/>
  <c r="X26" i="778"/>
  <c r="W26" i="778"/>
  <c r="V26" i="778"/>
  <c r="Y25" i="778"/>
  <c r="X25" i="778"/>
  <c r="W25" i="778"/>
  <c r="V25" i="778"/>
  <c r="Y24" i="778"/>
  <c r="X24" i="778"/>
  <c r="W24" i="778"/>
  <c r="V24" i="778"/>
  <c r="Y23" i="778"/>
  <c r="X23" i="778"/>
  <c r="W23" i="778"/>
  <c r="W30" i="778" s="1"/>
  <c r="V23" i="778"/>
  <c r="U21" i="778"/>
  <c r="U43" i="778" s="1"/>
  <c r="T21" i="778"/>
  <c r="S21" i="778"/>
  <c r="S43" i="778" s="1"/>
  <c r="R21" i="778"/>
  <c r="Q21" i="778"/>
  <c r="Q43" i="778" s="1"/>
  <c r="P21" i="778"/>
  <c r="P43" i="778" s="1"/>
  <c r="O21" i="778"/>
  <c r="O43" i="778" s="1"/>
  <c r="N21" i="778"/>
  <c r="M21" i="778"/>
  <c r="M43" i="778" s="1"/>
  <c r="L21" i="778"/>
  <c r="K21" i="778"/>
  <c r="K43" i="778" s="1"/>
  <c r="J21" i="778"/>
  <c r="I21" i="778"/>
  <c r="I43" i="778" s="1"/>
  <c r="H21" i="778"/>
  <c r="H43" i="778" s="1"/>
  <c r="G21" i="778"/>
  <c r="G43" i="778" s="1"/>
  <c r="F21" i="778"/>
  <c r="E21" i="778"/>
  <c r="E43" i="778" s="1"/>
  <c r="D21" i="778"/>
  <c r="C21" i="778"/>
  <c r="C43" i="778" s="1"/>
  <c r="B21" i="778"/>
  <c r="Y20" i="778"/>
  <c r="X20" i="778"/>
  <c r="W20" i="778"/>
  <c r="V20" i="778"/>
  <c r="Y19" i="778"/>
  <c r="X19" i="778"/>
  <c r="W19" i="778"/>
  <c r="V19" i="778"/>
  <c r="Y18" i="778"/>
  <c r="X18" i="778"/>
  <c r="W18" i="778"/>
  <c r="V18" i="778"/>
  <c r="Y17" i="778"/>
  <c r="X17" i="778"/>
  <c r="W17" i="778"/>
  <c r="V17" i="778"/>
  <c r="Y16" i="778"/>
  <c r="X16" i="778"/>
  <c r="W16" i="778"/>
  <c r="V16" i="778"/>
  <c r="Y15" i="778"/>
  <c r="X15" i="778"/>
  <c r="W15" i="778"/>
  <c r="V15" i="778"/>
  <c r="U12" i="778"/>
  <c r="T12" i="778"/>
  <c r="S12" i="778"/>
  <c r="R12" i="778"/>
  <c r="Q12" i="778"/>
  <c r="P12" i="778"/>
  <c r="O12" i="778"/>
  <c r="O48" i="778" s="1"/>
  <c r="N12" i="778"/>
  <c r="M12" i="778"/>
  <c r="L12" i="778"/>
  <c r="K12" i="778"/>
  <c r="J12" i="778"/>
  <c r="I12" i="778"/>
  <c r="H12" i="778"/>
  <c r="G12" i="778"/>
  <c r="F12" i="778"/>
  <c r="E12" i="778"/>
  <c r="D12" i="778"/>
  <c r="C12" i="778"/>
  <c r="B12" i="778"/>
  <c r="Y11" i="778"/>
  <c r="X11" i="778"/>
  <c r="W11" i="778"/>
  <c r="V11" i="778"/>
  <c r="Y10" i="778"/>
  <c r="X10" i="778"/>
  <c r="W10" i="778"/>
  <c r="V10" i="778"/>
  <c r="Y9" i="778"/>
  <c r="X9" i="778"/>
  <c r="W9" i="778"/>
  <c r="V9" i="778"/>
  <c r="Y8" i="778"/>
  <c r="X8" i="778"/>
  <c r="W8" i="778"/>
  <c r="V8" i="778"/>
  <c r="B4" i="778"/>
  <c r="U47" i="777"/>
  <c r="T47" i="777"/>
  <c r="S47" i="777"/>
  <c r="R47" i="777"/>
  <c r="Q47" i="777"/>
  <c r="P47" i="777"/>
  <c r="O47" i="777"/>
  <c r="N47" i="777"/>
  <c r="M47" i="777"/>
  <c r="L47" i="777"/>
  <c r="K47" i="777"/>
  <c r="J47" i="777"/>
  <c r="I47" i="777"/>
  <c r="H47" i="777"/>
  <c r="G47" i="777"/>
  <c r="F47" i="777"/>
  <c r="E47" i="777"/>
  <c r="D47" i="777"/>
  <c r="C47" i="777"/>
  <c r="B47" i="777"/>
  <c r="Y46" i="777"/>
  <c r="X46" i="777"/>
  <c r="W46" i="777"/>
  <c r="V46" i="777"/>
  <c r="Y45" i="777"/>
  <c r="X45" i="777"/>
  <c r="X47" i="777" s="1"/>
  <c r="W45" i="777"/>
  <c r="W47" i="777" s="1"/>
  <c r="V45" i="777"/>
  <c r="U42" i="777"/>
  <c r="T42" i="777"/>
  <c r="S42" i="777"/>
  <c r="R42" i="777"/>
  <c r="Q42" i="777"/>
  <c r="P42" i="777"/>
  <c r="O42" i="777"/>
  <c r="N42" i="777"/>
  <c r="M42" i="777"/>
  <c r="L42" i="777"/>
  <c r="K42" i="777"/>
  <c r="J42" i="777"/>
  <c r="I42" i="777"/>
  <c r="H42" i="777"/>
  <c r="G42" i="777"/>
  <c r="F42" i="777"/>
  <c r="E42" i="777"/>
  <c r="D42" i="777"/>
  <c r="C42" i="777"/>
  <c r="B42" i="777"/>
  <c r="Y41" i="777"/>
  <c r="X41" i="777"/>
  <c r="W41" i="777"/>
  <c r="V41" i="777"/>
  <c r="Y40" i="777"/>
  <c r="X40" i="777"/>
  <c r="W40" i="777"/>
  <c r="V40" i="777"/>
  <c r="Y39" i="777"/>
  <c r="X39" i="777"/>
  <c r="W39" i="777"/>
  <c r="V39" i="777"/>
  <c r="Y38" i="777"/>
  <c r="X38" i="777"/>
  <c r="W38" i="777"/>
  <c r="V38" i="777"/>
  <c r="Y37" i="777"/>
  <c r="X37" i="777"/>
  <c r="W37" i="777"/>
  <c r="V37" i="777"/>
  <c r="Y36" i="777"/>
  <c r="Y42" i="777" s="1"/>
  <c r="X36" i="777"/>
  <c r="W36" i="777"/>
  <c r="V36" i="777"/>
  <c r="U34" i="777"/>
  <c r="T34" i="777"/>
  <c r="S34" i="777"/>
  <c r="R34" i="777"/>
  <c r="Q34" i="777"/>
  <c r="P34" i="777"/>
  <c r="O34" i="777"/>
  <c r="N34" i="777"/>
  <c r="M34" i="777"/>
  <c r="L34" i="777"/>
  <c r="K34" i="777"/>
  <c r="J34" i="777"/>
  <c r="I34" i="777"/>
  <c r="H34" i="777"/>
  <c r="G34" i="777"/>
  <c r="F34" i="777"/>
  <c r="E34" i="777"/>
  <c r="D34" i="777"/>
  <c r="C34" i="777"/>
  <c r="B34" i="777"/>
  <c r="Y33" i="777"/>
  <c r="X33" i="777"/>
  <c r="W33" i="777"/>
  <c r="V33" i="777"/>
  <c r="Y32" i="777"/>
  <c r="X32" i="777"/>
  <c r="X34" i="777" s="1"/>
  <c r="W32" i="777"/>
  <c r="V32" i="777"/>
  <c r="V34" i="777" s="1"/>
  <c r="U30" i="777"/>
  <c r="T30" i="777"/>
  <c r="S30" i="777"/>
  <c r="R30" i="777"/>
  <c r="Q30" i="777"/>
  <c r="P30" i="777"/>
  <c r="O30" i="777"/>
  <c r="N30" i="777"/>
  <c r="M30" i="777"/>
  <c r="L30" i="777"/>
  <c r="K30" i="777"/>
  <c r="J30" i="777"/>
  <c r="I30" i="777"/>
  <c r="H30" i="777"/>
  <c r="G30" i="777"/>
  <c r="F30" i="777"/>
  <c r="E30" i="777"/>
  <c r="D30" i="777"/>
  <c r="C30" i="777"/>
  <c r="B30" i="777"/>
  <c r="Y29" i="777"/>
  <c r="X29" i="777"/>
  <c r="W29" i="777"/>
  <c r="V29" i="777"/>
  <c r="Y28" i="777"/>
  <c r="X28" i="777"/>
  <c r="W28" i="777"/>
  <c r="V28" i="777"/>
  <c r="Y27" i="777"/>
  <c r="X27" i="777"/>
  <c r="W27" i="777"/>
  <c r="V27" i="777"/>
  <c r="Y26" i="777"/>
  <c r="X26" i="777"/>
  <c r="W26" i="777"/>
  <c r="V26" i="777"/>
  <c r="Y25" i="777"/>
  <c r="X25" i="777"/>
  <c r="W25" i="777"/>
  <c r="V25" i="777"/>
  <c r="Y24" i="777"/>
  <c r="X24" i="777"/>
  <c r="W24" i="777"/>
  <c r="V24" i="777"/>
  <c r="Y23" i="777"/>
  <c r="X23" i="777"/>
  <c r="X30" i="777" s="1"/>
  <c r="W23" i="777"/>
  <c r="V23" i="777"/>
  <c r="U21" i="777"/>
  <c r="U43" i="777" s="1"/>
  <c r="T21" i="777"/>
  <c r="T43" i="777" s="1"/>
  <c r="S21" i="777"/>
  <c r="S43" i="777" s="1"/>
  <c r="R21" i="777"/>
  <c r="Q21" i="777"/>
  <c r="P21" i="777"/>
  <c r="P43" i="777" s="1"/>
  <c r="O21" i="777"/>
  <c r="O43" i="777" s="1"/>
  <c r="N21" i="777"/>
  <c r="N43" i="777" s="1"/>
  <c r="M21" i="777"/>
  <c r="M43" i="777" s="1"/>
  <c r="L21" i="777"/>
  <c r="L43" i="777" s="1"/>
  <c r="K21" i="777"/>
  <c r="K43" i="777" s="1"/>
  <c r="J21" i="777"/>
  <c r="I21" i="777"/>
  <c r="H21" i="777"/>
  <c r="H43" i="777" s="1"/>
  <c r="G21" i="777"/>
  <c r="G43" i="777" s="1"/>
  <c r="F21" i="777"/>
  <c r="F43" i="777" s="1"/>
  <c r="E21" i="777"/>
  <c r="E43" i="777" s="1"/>
  <c r="D21" i="777"/>
  <c r="D43" i="777" s="1"/>
  <c r="C21" i="777"/>
  <c r="C43" i="777" s="1"/>
  <c r="B21" i="777"/>
  <c r="Y20" i="777"/>
  <c r="X20" i="777"/>
  <c r="W20" i="777"/>
  <c r="V20" i="777"/>
  <c r="Y19" i="777"/>
  <c r="X19" i="777"/>
  <c r="W19" i="777"/>
  <c r="V19" i="777"/>
  <c r="Y18" i="777"/>
  <c r="X18" i="777"/>
  <c r="W18" i="777"/>
  <c r="V18" i="777"/>
  <c r="Y17" i="777"/>
  <c r="X17" i="777"/>
  <c r="W17" i="777"/>
  <c r="V17" i="777"/>
  <c r="Y16" i="777"/>
  <c r="X16" i="777"/>
  <c r="W16" i="777"/>
  <c r="V16" i="777"/>
  <c r="Y15" i="777"/>
  <c r="X15" i="777"/>
  <c r="W15" i="777"/>
  <c r="V15" i="777"/>
  <c r="U12" i="777"/>
  <c r="T12" i="777"/>
  <c r="S12" i="777"/>
  <c r="R12" i="777"/>
  <c r="Q12" i="777"/>
  <c r="P12" i="777"/>
  <c r="P48" i="777" s="1"/>
  <c r="O12" i="777"/>
  <c r="O48" i="777" s="1"/>
  <c r="N12" i="777"/>
  <c r="M12" i="777"/>
  <c r="L12" i="777"/>
  <c r="K12" i="777"/>
  <c r="J12" i="777"/>
  <c r="I12" i="777"/>
  <c r="H12" i="777"/>
  <c r="G12" i="777"/>
  <c r="F12" i="777"/>
  <c r="E12" i="777"/>
  <c r="D12" i="777"/>
  <c r="C12" i="777"/>
  <c r="B12" i="777"/>
  <c r="Y11" i="777"/>
  <c r="X11" i="777"/>
  <c r="W11" i="777"/>
  <c r="V11" i="777"/>
  <c r="Y10" i="777"/>
  <c r="X10" i="777"/>
  <c r="W10" i="777"/>
  <c r="V10" i="777"/>
  <c r="Y9" i="777"/>
  <c r="X9" i="777"/>
  <c r="W9" i="777"/>
  <c r="V9" i="777"/>
  <c r="Y8" i="777"/>
  <c r="X8" i="777"/>
  <c r="W8" i="777"/>
  <c r="V8" i="777"/>
  <c r="B4" i="777"/>
  <c r="U47" i="776"/>
  <c r="T47" i="776"/>
  <c r="S47" i="776"/>
  <c r="R47" i="776"/>
  <c r="Q47" i="776"/>
  <c r="P47" i="776"/>
  <c r="O47" i="776"/>
  <c r="N47" i="776"/>
  <c r="M47" i="776"/>
  <c r="L47" i="776"/>
  <c r="K47" i="776"/>
  <c r="J47" i="776"/>
  <c r="I47" i="776"/>
  <c r="H47" i="776"/>
  <c r="G47" i="776"/>
  <c r="F47" i="776"/>
  <c r="E47" i="776"/>
  <c r="D47" i="776"/>
  <c r="C47" i="776"/>
  <c r="B47" i="776"/>
  <c r="Y46" i="776"/>
  <c r="X46" i="776"/>
  <c r="W46" i="776"/>
  <c r="V46" i="776"/>
  <c r="Y45" i="776"/>
  <c r="Y47" i="776" s="1"/>
  <c r="X45" i="776"/>
  <c r="X47" i="776" s="1"/>
  <c r="W45" i="776"/>
  <c r="W47" i="776" s="1"/>
  <c r="V45" i="776"/>
  <c r="U42" i="776"/>
  <c r="T42" i="776"/>
  <c r="S42" i="776"/>
  <c r="R42" i="776"/>
  <c r="Q42" i="776"/>
  <c r="P42" i="776"/>
  <c r="O42" i="776"/>
  <c r="N42" i="776"/>
  <c r="M42" i="776"/>
  <c r="L42" i="776"/>
  <c r="K42" i="776"/>
  <c r="J42" i="776"/>
  <c r="I42" i="776"/>
  <c r="H42" i="776"/>
  <c r="G42" i="776"/>
  <c r="F42" i="776"/>
  <c r="E42" i="776"/>
  <c r="D42" i="776"/>
  <c r="C42" i="776"/>
  <c r="B42" i="776"/>
  <c r="Y41" i="776"/>
  <c r="X41" i="776"/>
  <c r="W41" i="776"/>
  <c r="V41" i="776"/>
  <c r="Y40" i="776"/>
  <c r="X40" i="776"/>
  <c r="W40" i="776"/>
  <c r="V40" i="776"/>
  <c r="Y39" i="776"/>
  <c r="X39" i="776"/>
  <c r="W39" i="776"/>
  <c r="V39" i="776"/>
  <c r="Y38" i="776"/>
  <c r="X38" i="776"/>
  <c r="W38" i="776"/>
  <c r="V38" i="776"/>
  <c r="Y37" i="776"/>
  <c r="X37" i="776"/>
  <c r="W37" i="776"/>
  <c r="V37" i="776"/>
  <c r="Y36" i="776"/>
  <c r="X36" i="776"/>
  <c r="X42" i="776" s="1"/>
  <c r="W36" i="776"/>
  <c r="V36" i="776"/>
  <c r="U34" i="776"/>
  <c r="T34" i="776"/>
  <c r="S34" i="776"/>
  <c r="R34" i="776"/>
  <c r="Q34" i="776"/>
  <c r="P34" i="776"/>
  <c r="O34" i="776"/>
  <c r="N34" i="776"/>
  <c r="M34" i="776"/>
  <c r="L34" i="776"/>
  <c r="K34" i="776"/>
  <c r="J34" i="776"/>
  <c r="I34" i="776"/>
  <c r="H34" i="776"/>
  <c r="G34" i="776"/>
  <c r="F34" i="776"/>
  <c r="E34" i="776"/>
  <c r="D34" i="776"/>
  <c r="C34" i="776"/>
  <c r="B34" i="776"/>
  <c r="Y33" i="776"/>
  <c r="X33" i="776"/>
  <c r="W33" i="776"/>
  <c r="V33" i="776"/>
  <c r="Y32" i="776"/>
  <c r="Y34" i="776" s="1"/>
  <c r="X32" i="776"/>
  <c r="X34" i="776" s="1"/>
  <c r="W32" i="776"/>
  <c r="V32" i="776"/>
  <c r="U30" i="776"/>
  <c r="T30" i="776"/>
  <c r="S30" i="776"/>
  <c r="R30" i="776"/>
  <c r="Q30" i="776"/>
  <c r="P30" i="776"/>
  <c r="O30" i="776"/>
  <c r="N30" i="776"/>
  <c r="M30" i="776"/>
  <c r="L30" i="776"/>
  <c r="K30" i="776"/>
  <c r="J30" i="776"/>
  <c r="I30" i="776"/>
  <c r="H30" i="776"/>
  <c r="G30" i="776"/>
  <c r="F30" i="776"/>
  <c r="E30" i="776"/>
  <c r="D30" i="776"/>
  <c r="C30" i="776"/>
  <c r="B30" i="776"/>
  <c r="Y29" i="776"/>
  <c r="X29" i="776"/>
  <c r="W29" i="776"/>
  <c r="V29" i="776"/>
  <c r="Y28" i="776"/>
  <c r="X28" i="776"/>
  <c r="W28" i="776"/>
  <c r="V28" i="776"/>
  <c r="Y27" i="776"/>
  <c r="X27" i="776"/>
  <c r="W27" i="776"/>
  <c r="V27" i="776"/>
  <c r="Y26" i="776"/>
  <c r="X26" i="776"/>
  <c r="W26" i="776"/>
  <c r="V26" i="776"/>
  <c r="Y25" i="776"/>
  <c r="X25" i="776"/>
  <c r="W25" i="776"/>
  <c r="V25" i="776"/>
  <c r="Y24" i="776"/>
  <c r="X24" i="776"/>
  <c r="W24" i="776"/>
  <c r="V24" i="776"/>
  <c r="Y23" i="776"/>
  <c r="X23" i="776"/>
  <c r="W23" i="776"/>
  <c r="W30" i="776" s="1"/>
  <c r="V23" i="776"/>
  <c r="U21" i="776"/>
  <c r="U43" i="776" s="1"/>
  <c r="T21" i="776"/>
  <c r="T43" i="776" s="1"/>
  <c r="S21" i="776"/>
  <c r="S43" i="776" s="1"/>
  <c r="R21" i="776"/>
  <c r="Q21" i="776"/>
  <c r="Q43" i="776" s="1"/>
  <c r="P21" i="776"/>
  <c r="P43" i="776" s="1"/>
  <c r="O21" i="776"/>
  <c r="O43" i="776" s="1"/>
  <c r="N21" i="776"/>
  <c r="M21" i="776"/>
  <c r="M43" i="776" s="1"/>
  <c r="L21" i="776"/>
  <c r="L43" i="776" s="1"/>
  <c r="K21" i="776"/>
  <c r="K43" i="776" s="1"/>
  <c r="J21" i="776"/>
  <c r="I21" i="776"/>
  <c r="I43" i="776" s="1"/>
  <c r="H21" i="776"/>
  <c r="H43" i="776" s="1"/>
  <c r="G21" i="776"/>
  <c r="G43" i="776" s="1"/>
  <c r="F21" i="776"/>
  <c r="E21" i="776"/>
  <c r="E43" i="776" s="1"/>
  <c r="D21" i="776"/>
  <c r="D43" i="776" s="1"/>
  <c r="C21" i="776"/>
  <c r="C43" i="776" s="1"/>
  <c r="B21" i="776"/>
  <c r="Y20" i="776"/>
  <c r="X20" i="776"/>
  <c r="W20" i="776"/>
  <c r="V20" i="776"/>
  <c r="Y19" i="776"/>
  <c r="X19" i="776"/>
  <c r="W19" i="776"/>
  <c r="V19" i="776"/>
  <c r="Y18" i="776"/>
  <c r="X18" i="776"/>
  <c r="W18" i="776"/>
  <c r="V18" i="776"/>
  <c r="Y17" i="776"/>
  <c r="X17" i="776"/>
  <c r="W17" i="776"/>
  <c r="V17" i="776"/>
  <c r="Y16" i="776"/>
  <c r="X16" i="776"/>
  <c r="W16" i="776"/>
  <c r="V16" i="776"/>
  <c r="Y15" i="776"/>
  <c r="Y21" i="776" s="1"/>
  <c r="X15" i="776"/>
  <c r="W15" i="776"/>
  <c r="V15" i="776"/>
  <c r="U12" i="776"/>
  <c r="T12" i="776"/>
  <c r="S12" i="776"/>
  <c r="R12" i="776"/>
  <c r="Q12" i="776"/>
  <c r="Q48" i="776" s="1"/>
  <c r="P12" i="776"/>
  <c r="P48" i="776" s="1"/>
  <c r="O12" i="776"/>
  <c r="O48" i="776" s="1"/>
  <c r="N12" i="776"/>
  <c r="M12" i="776"/>
  <c r="L12" i="776"/>
  <c r="K12" i="776"/>
  <c r="J12" i="776"/>
  <c r="I12" i="776"/>
  <c r="I48" i="776" s="1"/>
  <c r="H12" i="776"/>
  <c r="G12" i="776"/>
  <c r="G48" i="776" s="1"/>
  <c r="F12" i="776"/>
  <c r="E12" i="776"/>
  <c r="D12" i="776"/>
  <c r="C12" i="776"/>
  <c r="B12" i="776"/>
  <c r="Y11" i="776"/>
  <c r="X11" i="776"/>
  <c r="W11" i="776"/>
  <c r="V11" i="776"/>
  <c r="Y10" i="776"/>
  <c r="X10" i="776"/>
  <c r="W10" i="776"/>
  <c r="V10" i="776"/>
  <c r="Y9" i="776"/>
  <c r="X9" i="776"/>
  <c r="X12" i="776" s="1"/>
  <c r="W9" i="776"/>
  <c r="V9" i="776"/>
  <c r="Y8" i="776"/>
  <c r="X8" i="776"/>
  <c r="W8" i="776"/>
  <c r="V8" i="776"/>
  <c r="B4" i="776"/>
  <c r="U47" i="775"/>
  <c r="T47" i="775"/>
  <c r="S47" i="775"/>
  <c r="R47" i="775"/>
  <c r="Q47" i="775"/>
  <c r="P47" i="775"/>
  <c r="O47" i="775"/>
  <c r="N47" i="775"/>
  <c r="M47" i="775"/>
  <c r="L47" i="775"/>
  <c r="K47" i="775"/>
  <c r="J47" i="775"/>
  <c r="I47" i="775"/>
  <c r="H47" i="775"/>
  <c r="G47" i="775"/>
  <c r="F47" i="775"/>
  <c r="E47" i="775"/>
  <c r="D47" i="775"/>
  <c r="C47" i="775"/>
  <c r="B47" i="775"/>
  <c r="Y46" i="775"/>
  <c r="X46" i="775"/>
  <c r="W46" i="775"/>
  <c r="V46" i="775"/>
  <c r="Y45" i="775"/>
  <c r="Y47" i="775" s="1"/>
  <c r="X45" i="775"/>
  <c r="X47" i="775" s="1"/>
  <c r="W45" i="775"/>
  <c r="W47" i="775" s="1"/>
  <c r="V45" i="775"/>
  <c r="U42" i="775"/>
  <c r="T42" i="775"/>
  <c r="S42" i="775"/>
  <c r="R42" i="775"/>
  <c r="Q42" i="775"/>
  <c r="P42" i="775"/>
  <c r="O42" i="775"/>
  <c r="N42" i="775"/>
  <c r="M42" i="775"/>
  <c r="L42" i="775"/>
  <c r="K42" i="775"/>
  <c r="J42" i="775"/>
  <c r="I42" i="775"/>
  <c r="H42" i="775"/>
  <c r="G42" i="775"/>
  <c r="F42" i="775"/>
  <c r="E42" i="775"/>
  <c r="D42" i="775"/>
  <c r="C42" i="775"/>
  <c r="B42" i="775"/>
  <c r="Y41" i="775"/>
  <c r="X41" i="775"/>
  <c r="W41" i="775"/>
  <c r="V41" i="775"/>
  <c r="Y40" i="775"/>
  <c r="X40" i="775"/>
  <c r="W40" i="775"/>
  <c r="V40" i="775"/>
  <c r="Y39" i="775"/>
  <c r="X39" i="775"/>
  <c r="W39" i="775"/>
  <c r="V39" i="775"/>
  <c r="Y38" i="775"/>
  <c r="X38" i="775"/>
  <c r="W38" i="775"/>
  <c r="V38" i="775"/>
  <c r="Y37" i="775"/>
  <c r="X37" i="775"/>
  <c r="W37" i="775"/>
  <c r="V37" i="775"/>
  <c r="Y36" i="775"/>
  <c r="Y42" i="775" s="1"/>
  <c r="X36" i="775"/>
  <c r="W36" i="775"/>
  <c r="V36" i="775"/>
  <c r="U34" i="775"/>
  <c r="T34" i="775"/>
  <c r="S34" i="775"/>
  <c r="R34" i="775"/>
  <c r="Q34" i="775"/>
  <c r="P34" i="775"/>
  <c r="O34" i="775"/>
  <c r="N34" i="775"/>
  <c r="M34" i="775"/>
  <c r="L34" i="775"/>
  <c r="K34" i="775"/>
  <c r="J34" i="775"/>
  <c r="I34" i="775"/>
  <c r="H34" i="775"/>
  <c r="G34" i="775"/>
  <c r="F34" i="775"/>
  <c r="E34" i="775"/>
  <c r="D34" i="775"/>
  <c r="C34" i="775"/>
  <c r="B34" i="775"/>
  <c r="Y33" i="775"/>
  <c r="X33" i="775"/>
  <c r="W33" i="775"/>
  <c r="V33" i="775"/>
  <c r="Y32" i="775"/>
  <c r="X32" i="775"/>
  <c r="W32" i="775"/>
  <c r="V32" i="775"/>
  <c r="U30" i="775"/>
  <c r="T30" i="775"/>
  <c r="S30" i="775"/>
  <c r="R30" i="775"/>
  <c r="Q30" i="775"/>
  <c r="P30" i="775"/>
  <c r="O30" i="775"/>
  <c r="N30" i="775"/>
  <c r="M30" i="775"/>
  <c r="L30" i="775"/>
  <c r="K30" i="775"/>
  <c r="J30" i="775"/>
  <c r="I30" i="775"/>
  <c r="H30" i="775"/>
  <c r="G30" i="775"/>
  <c r="F30" i="775"/>
  <c r="E30" i="775"/>
  <c r="D30" i="775"/>
  <c r="C30" i="775"/>
  <c r="B30" i="775"/>
  <c r="Y29" i="775"/>
  <c r="X29" i="775"/>
  <c r="W29" i="775"/>
  <c r="V29" i="775"/>
  <c r="Y28" i="775"/>
  <c r="X28" i="775"/>
  <c r="W28" i="775"/>
  <c r="V28" i="775"/>
  <c r="Y27" i="775"/>
  <c r="X27" i="775"/>
  <c r="W27" i="775"/>
  <c r="V27" i="775"/>
  <c r="Y26" i="775"/>
  <c r="X26" i="775"/>
  <c r="W26" i="775"/>
  <c r="V26" i="775"/>
  <c r="Y25" i="775"/>
  <c r="X25" i="775"/>
  <c r="W25" i="775"/>
  <c r="V25" i="775"/>
  <c r="Y24" i="775"/>
  <c r="X24" i="775"/>
  <c r="W24" i="775"/>
  <c r="V24" i="775"/>
  <c r="Y23" i="775"/>
  <c r="Y30" i="775" s="1"/>
  <c r="X23" i="775"/>
  <c r="W23" i="775"/>
  <c r="V23" i="775"/>
  <c r="U21" i="775"/>
  <c r="U43" i="775" s="1"/>
  <c r="T21" i="775"/>
  <c r="S21" i="775"/>
  <c r="R21" i="775"/>
  <c r="R43" i="775" s="1"/>
  <c r="Q21" i="775"/>
  <c r="Q43" i="775" s="1"/>
  <c r="P21" i="775"/>
  <c r="P43" i="775" s="1"/>
  <c r="O21" i="775"/>
  <c r="O43" i="775" s="1"/>
  <c r="N21" i="775"/>
  <c r="N43" i="775" s="1"/>
  <c r="M21" i="775"/>
  <c r="M43" i="775" s="1"/>
  <c r="L21" i="775"/>
  <c r="K21" i="775"/>
  <c r="J21" i="775"/>
  <c r="J43" i="775" s="1"/>
  <c r="I21" i="775"/>
  <c r="I43" i="775" s="1"/>
  <c r="H21" i="775"/>
  <c r="H43" i="775" s="1"/>
  <c r="G21" i="775"/>
  <c r="G43" i="775" s="1"/>
  <c r="F21" i="775"/>
  <c r="E21" i="775"/>
  <c r="E43" i="775" s="1"/>
  <c r="D21" i="775"/>
  <c r="C21" i="775"/>
  <c r="B21" i="775"/>
  <c r="B43" i="775" s="1"/>
  <c r="Y20" i="775"/>
  <c r="X20" i="775"/>
  <c r="W20" i="775"/>
  <c r="V20" i="775"/>
  <c r="Y19" i="775"/>
  <c r="X19" i="775"/>
  <c r="W19" i="775"/>
  <c r="V19" i="775"/>
  <c r="Y18" i="775"/>
  <c r="X18" i="775"/>
  <c r="W18" i="775"/>
  <c r="V18" i="775"/>
  <c r="Y17" i="775"/>
  <c r="X17" i="775"/>
  <c r="W17" i="775"/>
  <c r="V17" i="775"/>
  <c r="Y16" i="775"/>
  <c r="X16" i="775"/>
  <c r="W16" i="775"/>
  <c r="V16" i="775"/>
  <c r="Y15" i="775"/>
  <c r="Y21" i="775" s="1"/>
  <c r="X15" i="775"/>
  <c r="W15" i="775"/>
  <c r="V15" i="775"/>
  <c r="U12" i="775"/>
  <c r="T12" i="775"/>
  <c r="S12" i="775"/>
  <c r="R12" i="775"/>
  <c r="Q12" i="775"/>
  <c r="Q48" i="775" s="1"/>
  <c r="P12" i="775"/>
  <c r="O12" i="775"/>
  <c r="N12" i="775"/>
  <c r="M12" i="775"/>
  <c r="L12" i="775"/>
  <c r="K12" i="775"/>
  <c r="J12" i="775"/>
  <c r="I12" i="775"/>
  <c r="I48" i="775" s="1"/>
  <c r="H12" i="775"/>
  <c r="G12" i="775"/>
  <c r="F12" i="775"/>
  <c r="E12" i="775"/>
  <c r="D12" i="775"/>
  <c r="C12" i="775"/>
  <c r="B12" i="775"/>
  <c r="Y11" i="775"/>
  <c r="X11" i="775"/>
  <c r="W11" i="775"/>
  <c r="V11" i="775"/>
  <c r="Y10" i="775"/>
  <c r="X10" i="775"/>
  <c r="W10" i="775"/>
  <c r="V10" i="775"/>
  <c r="Y9" i="775"/>
  <c r="X9" i="775"/>
  <c r="W9" i="775"/>
  <c r="V9" i="775"/>
  <c r="Y8" i="775"/>
  <c r="X8" i="775"/>
  <c r="W8" i="775"/>
  <c r="V8" i="775"/>
  <c r="B4" i="775"/>
  <c r="U47" i="774"/>
  <c r="T47" i="774"/>
  <c r="S47" i="774"/>
  <c r="R47" i="774"/>
  <c r="Q47" i="774"/>
  <c r="P47" i="774"/>
  <c r="O47" i="774"/>
  <c r="N47" i="774"/>
  <c r="M47" i="774"/>
  <c r="L47" i="774"/>
  <c r="K47" i="774"/>
  <c r="J47" i="774"/>
  <c r="I47" i="774"/>
  <c r="H47" i="774"/>
  <c r="G47" i="774"/>
  <c r="F47" i="774"/>
  <c r="E47" i="774"/>
  <c r="D47" i="774"/>
  <c r="C47" i="774"/>
  <c r="B47" i="774"/>
  <c r="Y46" i="774"/>
  <c r="X46" i="774"/>
  <c r="W46" i="774"/>
  <c r="V46" i="774"/>
  <c r="Y45" i="774"/>
  <c r="X45" i="774"/>
  <c r="W45" i="774"/>
  <c r="W47" i="774" s="1"/>
  <c r="V45" i="774"/>
  <c r="U42" i="774"/>
  <c r="T42" i="774"/>
  <c r="S42" i="774"/>
  <c r="R42" i="774"/>
  <c r="Q42" i="774"/>
  <c r="P42" i="774"/>
  <c r="O42" i="774"/>
  <c r="N42" i="774"/>
  <c r="M42" i="774"/>
  <c r="L42" i="774"/>
  <c r="K42" i="774"/>
  <c r="J42" i="774"/>
  <c r="I42" i="774"/>
  <c r="H42" i="774"/>
  <c r="G42" i="774"/>
  <c r="F42" i="774"/>
  <c r="E42" i="774"/>
  <c r="D42" i="774"/>
  <c r="C42" i="774"/>
  <c r="B42" i="774"/>
  <c r="Y41" i="774"/>
  <c r="X41" i="774"/>
  <c r="W41" i="774"/>
  <c r="V41" i="774"/>
  <c r="Y40" i="774"/>
  <c r="X40" i="774"/>
  <c r="W40" i="774"/>
  <c r="V40" i="774"/>
  <c r="Y39" i="774"/>
  <c r="X39" i="774"/>
  <c r="W39" i="774"/>
  <c r="V39" i="774"/>
  <c r="Y38" i="774"/>
  <c r="X38" i="774"/>
  <c r="W38" i="774"/>
  <c r="V38" i="774"/>
  <c r="Y37" i="774"/>
  <c r="X37" i="774"/>
  <c r="W37" i="774"/>
  <c r="V37" i="774"/>
  <c r="Y36" i="774"/>
  <c r="Y42" i="774" s="1"/>
  <c r="X36" i="774"/>
  <c r="W36" i="774"/>
  <c r="V36" i="774"/>
  <c r="U34" i="774"/>
  <c r="T34" i="774"/>
  <c r="S34" i="774"/>
  <c r="R34" i="774"/>
  <c r="Q34" i="774"/>
  <c r="P34" i="774"/>
  <c r="O34" i="774"/>
  <c r="N34" i="774"/>
  <c r="M34" i="774"/>
  <c r="L34" i="774"/>
  <c r="K34" i="774"/>
  <c r="J34" i="774"/>
  <c r="I34" i="774"/>
  <c r="H34" i="774"/>
  <c r="G34" i="774"/>
  <c r="F34" i="774"/>
  <c r="E34" i="774"/>
  <c r="D34" i="774"/>
  <c r="C34" i="774"/>
  <c r="B34" i="774"/>
  <c r="Y33" i="774"/>
  <c r="X33" i="774"/>
  <c r="W33" i="774"/>
  <c r="V33" i="774"/>
  <c r="Y32" i="774"/>
  <c r="X32" i="774"/>
  <c r="W32" i="774"/>
  <c r="W34" i="774" s="1"/>
  <c r="V32" i="774"/>
  <c r="V34" i="774" s="1"/>
  <c r="U30" i="774"/>
  <c r="T30" i="774"/>
  <c r="S30" i="774"/>
  <c r="R30" i="774"/>
  <c r="Q30" i="774"/>
  <c r="P30" i="774"/>
  <c r="O30" i="774"/>
  <c r="N30" i="774"/>
  <c r="M30" i="774"/>
  <c r="L30" i="774"/>
  <c r="K30" i="774"/>
  <c r="J30" i="774"/>
  <c r="I30" i="774"/>
  <c r="H30" i="774"/>
  <c r="G30" i="774"/>
  <c r="F30" i="774"/>
  <c r="E30" i="774"/>
  <c r="D30" i="774"/>
  <c r="C30" i="774"/>
  <c r="B30" i="774"/>
  <c r="Y29" i="774"/>
  <c r="X29" i="774"/>
  <c r="W29" i="774"/>
  <c r="V29" i="774"/>
  <c r="Y28" i="774"/>
  <c r="X28" i="774"/>
  <c r="W28" i="774"/>
  <c r="V28" i="774"/>
  <c r="Y27" i="774"/>
  <c r="X27" i="774"/>
  <c r="W27" i="774"/>
  <c r="V27" i="774"/>
  <c r="Y26" i="774"/>
  <c r="X26" i="774"/>
  <c r="W26" i="774"/>
  <c r="V26" i="774"/>
  <c r="Y25" i="774"/>
  <c r="X25" i="774"/>
  <c r="W25" i="774"/>
  <c r="V25" i="774"/>
  <c r="Y24" i="774"/>
  <c r="X24" i="774"/>
  <c r="W24" i="774"/>
  <c r="V24" i="774"/>
  <c r="Y23" i="774"/>
  <c r="X23" i="774"/>
  <c r="W23" i="774"/>
  <c r="V23" i="774"/>
  <c r="U21" i="774"/>
  <c r="U43" i="774" s="1"/>
  <c r="T21" i="774"/>
  <c r="T43" i="774" s="1"/>
  <c r="S21" i="774"/>
  <c r="S43" i="774" s="1"/>
  <c r="R21" i="774"/>
  <c r="Q21" i="774"/>
  <c r="P21" i="774"/>
  <c r="O21" i="774"/>
  <c r="O43" i="774" s="1"/>
  <c r="N21" i="774"/>
  <c r="N43" i="774" s="1"/>
  <c r="M21" i="774"/>
  <c r="M43" i="774" s="1"/>
  <c r="L21" i="774"/>
  <c r="L43" i="774" s="1"/>
  <c r="K21" i="774"/>
  <c r="K43" i="774" s="1"/>
  <c r="J21" i="774"/>
  <c r="I21" i="774"/>
  <c r="H21" i="774"/>
  <c r="G21" i="774"/>
  <c r="G43" i="774" s="1"/>
  <c r="F21" i="774"/>
  <c r="F43" i="774" s="1"/>
  <c r="E21" i="774"/>
  <c r="E43" i="774" s="1"/>
  <c r="D21" i="774"/>
  <c r="D43" i="774" s="1"/>
  <c r="C21" i="774"/>
  <c r="C43" i="774" s="1"/>
  <c r="B21" i="774"/>
  <c r="B43" i="774" s="1"/>
  <c r="Y20" i="774"/>
  <c r="X20" i="774"/>
  <c r="W20" i="774"/>
  <c r="V20" i="774"/>
  <c r="Y19" i="774"/>
  <c r="X19" i="774"/>
  <c r="W19" i="774"/>
  <c r="V19" i="774"/>
  <c r="Y18" i="774"/>
  <c r="X18" i="774"/>
  <c r="W18" i="774"/>
  <c r="V18" i="774"/>
  <c r="Y17" i="774"/>
  <c r="X17" i="774"/>
  <c r="W17" i="774"/>
  <c r="V17" i="774"/>
  <c r="Y16" i="774"/>
  <c r="X16" i="774"/>
  <c r="W16" i="774"/>
  <c r="V16" i="774"/>
  <c r="Y15" i="774"/>
  <c r="Y21" i="774" s="1"/>
  <c r="X15" i="774"/>
  <c r="X21" i="774" s="1"/>
  <c r="W15" i="774"/>
  <c r="V15" i="774"/>
  <c r="U12" i="774"/>
  <c r="T12" i="774"/>
  <c r="S12" i="774"/>
  <c r="R12" i="774"/>
  <c r="Q12" i="774"/>
  <c r="P12" i="774"/>
  <c r="O12" i="774"/>
  <c r="N12" i="774"/>
  <c r="M12" i="774"/>
  <c r="L12" i="774"/>
  <c r="K12" i="774"/>
  <c r="J12" i="774"/>
  <c r="I12" i="774"/>
  <c r="H12" i="774"/>
  <c r="G12" i="774"/>
  <c r="F12" i="774"/>
  <c r="E12" i="774"/>
  <c r="D12" i="774"/>
  <c r="C12" i="774"/>
  <c r="B12" i="774"/>
  <c r="Y11" i="774"/>
  <c r="X11" i="774"/>
  <c r="W11" i="774"/>
  <c r="V11" i="774"/>
  <c r="Y10" i="774"/>
  <c r="X10" i="774"/>
  <c r="W10" i="774"/>
  <c r="V10" i="774"/>
  <c r="Y9" i="774"/>
  <c r="X9" i="774"/>
  <c r="W9" i="774"/>
  <c r="V9" i="774"/>
  <c r="Y8" i="774"/>
  <c r="X8" i="774"/>
  <c r="W8" i="774"/>
  <c r="V8" i="774"/>
  <c r="V12" i="774" s="1"/>
  <c r="B4" i="774"/>
  <c r="U47" i="773"/>
  <c r="T47" i="773"/>
  <c r="S47" i="773"/>
  <c r="R47" i="773"/>
  <c r="Q47" i="773"/>
  <c r="P47" i="773"/>
  <c r="O47" i="773"/>
  <c r="N47" i="773"/>
  <c r="M47" i="773"/>
  <c r="L47" i="773"/>
  <c r="K47" i="773"/>
  <c r="J47" i="773"/>
  <c r="I47" i="773"/>
  <c r="H47" i="773"/>
  <c r="G47" i="773"/>
  <c r="F47" i="773"/>
  <c r="E47" i="773"/>
  <c r="D47" i="773"/>
  <c r="C47" i="773"/>
  <c r="B47" i="773"/>
  <c r="Y46" i="773"/>
  <c r="X46" i="773"/>
  <c r="W46" i="773"/>
  <c r="V46" i="773"/>
  <c r="Y45" i="773"/>
  <c r="Y47" i="773" s="1"/>
  <c r="X45" i="773"/>
  <c r="X47" i="773" s="1"/>
  <c r="W45" i="773"/>
  <c r="V45" i="773"/>
  <c r="U42" i="773"/>
  <c r="T42" i="773"/>
  <c r="S42" i="773"/>
  <c r="R42" i="773"/>
  <c r="Q42" i="773"/>
  <c r="P42" i="773"/>
  <c r="O42" i="773"/>
  <c r="N42" i="773"/>
  <c r="M42" i="773"/>
  <c r="L42" i="773"/>
  <c r="K42" i="773"/>
  <c r="J42" i="773"/>
  <c r="I42" i="773"/>
  <c r="H42" i="773"/>
  <c r="G42" i="773"/>
  <c r="F42" i="773"/>
  <c r="E42" i="773"/>
  <c r="D42" i="773"/>
  <c r="C42" i="773"/>
  <c r="B42" i="773"/>
  <c r="Y41" i="773"/>
  <c r="X41" i="773"/>
  <c r="W41" i="773"/>
  <c r="V41" i="773"/>
  <c r="Y40" i="773"/>
  <c r="X40" i="773"/>
  <c r="W40" i="773"/>
  <c r="V40" i="773"/>
  <c r="Y39" i="773"/>
  <c r="X39" i="773"/>
  <c r="W39" i="773"/>
  <c r="V39" i="773"/>
  <c r="Y38" i="773"/>
  <c r="X38" i="773"/>
  <c r="W38" i="773"/>
  <c r="V38" i="773"/>
  <c r="Y37" i="773"/>
  <c r="X37" i="773"/>
  <c r="W37" i="773"/>
  <c r="V37" i="773"/>
  <c r="Y36" i="773"/>
  <c r="X36" i="773"/>
  <c r="W36" i="773"/>
  <c r="W42" i="773" s="1"/>
  <c r="V36" i="773"/>
  <c r="U34" i="773"/>
  <c r="T34" i="773"/>
  <c r="S34" i="773"/>
  <c r="R34" i="773"/>
  <c r="Q34" i="773"/>
  <c r="P34" i="773"/>
  <c r="O34" i="773"/>
  <c r="N34" i="773"/>
  <c r="M34" i="773"/>
  <c r="L34" i="773"/>
  <c r="K34" i="773"/>
  <c r="J34" i="773"/>
  <c r="I34" i="773"/>
  <c r="H34" i="773"/>
  <c r="G34" i="773"/>
  <c r="F34" i="773"/>
  <c r="E34" i="773"/>
  <c r="D34" i="773"/>
  <c r="C34" i="773"/>
  <c r="B34" i="773"/>
  <c r="Y33" i="773"/>
  <c r="X33" i="773"/>
  <c r="W33" i="773"/>
  <c r="V33" i="773"/>
  <c r="Y32" i="773"/>
  <c r="Y34" i="773" s="1"/>
  <c r="X32" i="773"/>
  <c r="X34" i="773" s="1"/>
  <c r="W32" i="773"/>
  <c r="V32" i="773"/>
  <c r="U30" i="773"/>
  <c r="T30" i="773"/>
  <c r="S30" i="773"/>
  <c r="R30" i="773"/>
  <c r="Q30" i="773"/>
  <c r="P30" i="773"/>
  <c r="O30" i="773"/>
  <c r="N30" i="773"/>
  <c r="M30" i="773"/>
  <c r="L30" i="773"/>
  <c r="K30" i="773"/>
  <c r="J30" i="773"/>
  <c r="I30" i="773"/>
  <c r="H30" i="773"/>
  <c r="G30" i="773"/>
  <c r="F30" i="773"/>
  <c r="E30" i="773"/>
  <c r="D30" i="773"/>
  <c r="C30" i="773"/>
  <c r="B30" i="773"/>
  <c r="Y29" i="773"/>
  <c r="X29" i="773"/>
  <c r="W29" i="773"/>
  <c r="V29" i="773"/>
  <c r="Y28" i="773"/>
  <c r="X28" i="773"/>
  <c r="W28" i="773"/>
  <c r="V28" i="773"/>
  <c r="Y27" i="773"/>
  <c r="X27" i="773"/>
  <c r="W27" i="773"/>
  <c r="V27" i="773"/>
  <c r="Y26" i="773"/>
  <c r="X26" i="773"/>
  <c r="W26" i="773"/>
  <c r="V26" i="773"/>
  <c r="Y25" i="773"/>
  <c r="X25" i="773"/>
  <c r="W25" i="773"/>
  <c r="V25" i="773"/>
  <c r="Y24" i="773"/>
  <c r="X24" i="773"/>
  <c r="W24" i="773"/>
  <c r="V24" i="773"/>
  <c r="Y23" i="773"/>
  <c r="Y30" i="773" s="1"/>
  <c r="X23" i="773"/>
  <c r="W23" i="773"/>
  <c r="V23" i="773"/>
  <c r="U21" i="773"/>
  <c r="T21" i="773"/>
  <c r="T43" i="773" s="1"/>
  <c r="S21" i="773"/>
  <c r="R21" i="773"/>
  <c r="Q21" i="773"/>
  <c r="Q43" i="773" s="1"/>
  <c r="P21" i="773"/>
  <c r="P43" i="773" s="1"/>
  <c r="O21" i="773"/>
  <c r="N21" i="773"/>
  <c r="M21" i="773"/>
  <c r="L21" i="773"/>
  <c r="L43" i="773" s="1"/>
  <c r="K21" i="773"/>
  <c r="J21" i="773"/>
  <c r="I21" i="773"/>
  <c r="I43" i="773" s="1"/>
  <c r="H21" i="773"/>
  <c r="H43" i="773" s="1"/>
  <c r="G21" i="773"/>
  <c r="F21" i="773"/>
  <c r="E21" i="773"/>
  <c r="D21" i="773"/>
  <c r="D43" i="773" s="1"/>
  <c r="C21" i="773"/>
  <c r="B21" i="773"/>
  <c r="Y20" i="773"/>
  <c r="X20" i="773"/>
  <c r="W20" i="773"/>
  <c r="V20" i="773"/>
  <c r="Y19" i="773"/>
  <c r="X19" i="773"/>
  <c r="W19" i="773"/>
  <c r="V19" i="773"/>
  <c r="Y18" i="773"/>
  <c r="X18" i="773"/>
  <c r="W18" i="773"/>
  <c r="V18" i="773"/>
  <c r="Y17" i="773"/>
  <c r="X17" i="773"/>
  <c r="W17" i="773"/>
  <c r="V17" i="773"/>
  <c r="Y16" i="773"/>
  <c r="X16" i="773"/>
  <c r="W16" i="773"/>
  <c r="V16" i="773"/>
  <c r="Y15" i="773"/>
  <c r="X15" i="773"/>
  <c r="W15" i="773"/>
  <c r="V15" i="773"/>
  <c r="U12" i="773"/>
  <c r="T12" i="773"/>
  <c r="T48" i="773" s="1"/>
  <c r="S12" i="773"/>
  <c r="R12" i="773"/>
  <c r="Q12" i="773"/>
  <c r="P12" i="773"/>
  <c r="P48" i="773" s="1"/>
  <c r="O12" i="773"/>
  <c r="N12" i="773"/>
  <c r="M12" i="773"/>
  <c r="L12" i="773"/>
  <c r="L48" i="773" s="1"/>
  <c r="K12" i="773"/>
  <c r="J12" i="773"/>
  <c r="I12" i="773"/>
  <c r="H12" i="773"/>
  <c r="H48" i="773" s="1"/>
  <c r="G12" i="773"/>
  <c r="F12" i="773"/>
  <c r="E12" i="773"/>
  <c r="D12" i="773"/>
  <c r="C12" i="773"/>
  <c r="B12" i="773"/>
  <c r="Y11" i="773"/>
  <c r="X11" i="773"/>
  <c r="W11" i="773"/>
  <c r="V11" i="773"/>
  <c r="Y10" i="773"/>
  <c r="X10" i="773"/>
  <c r="W10" i="773"/>
  <c r="V10" i="773"/>
  <c r="Y9" i="773"/>
  <c r="X9" i="773"/>
  <c r="W9" i="773"/>
  <c r="W12" i="773" s="1"/>
  <c r="V9" i="773"/>
  <c r="Y8" i="773"/>
  <c r="Y12" i="773" s="1"/>
  <c r="X8" i="773"/>
  <c r="W8" i="773"/>
  <c r="V8" i="773"/>
  <c r="B4" i="773"/>
  <c r="U47" i="772"/>
  <c r="T47" i="772"/>
  <c r="S47" i="772"/>
  <c r="R47" i="772"/>
  <c r="Q47" i="772"/>
  <c r="P47" i="772"/>
  <c r="O47" i="772"/>
  <c r="N47" i="772"/>
  <c r="M47" i="772"/>
  <c r="L47" i="772"/>
  <c r="K47" i="772"/>
  <c r="J47" i="772"/>
  <c r="I47" i="772"/>
  <c r="H47" i="772"/>
  <c r="G47" i="772"/>
  <c r="F47" i="772"/>
  <c r="E47" i="772"/>
  <c r="D47" i="772"/>
  <c r="C47" i="772"/>
  <c r="B47" i="772"/>
  <c r="Y46" i="772"/>
  <c r="X46" i="772"/>
  <c r="W46" i="772"/>
  <c r="V46" i="772"/>
  <c r="Y45" i="772"/>
  <c r="Y47" i="772" s="1"/>
  <c r="X45" i="772"/>
  <c r="X47" i="772" s="1"/>
  <c r="W45" i="772"/>
  <c r="W47" i="772" s="1"/>
  <c r="V45" i="772"/>
  <c r="U42" i="772"/>
  <c r="T42" i="772"/>
  <c r="S42" i="772"/>
  <c r="R42" i="772"/>
  <c r="Q42" i="772"/>
  <c r="P42" i="772"/>
  <c r="O42" i="772"/>
  <c r="N42" i="772"/>
  <c r="M42" i="772"/>
  <c r="L42" i="772"/>
  <c r="K42" i="772"/>
  <c r="J42" i="772"/>
  <c r="I42" i="772"/>
  <c r="H42" i="772"/>
  <c r="G42" i="772"/>
  <c r="F42" i="772"/>
  <c r="E42" i="772"/>
  <c r="D42" i="772"/>
  <c r="C42" i="772"/>
  <c r="B42" i="772"/>
  <c r="Y41" i="772"/>
  <c r="X41" i="772"/>
  <c r="W41" i="772"/>
  <c r="V41" i="772"/>
  <c r="Y40" i="772"/>
  <c r="X40" i="772"/>
  <c r="W40" i="772"/>
  <c r="V40" i="772"/>
  <c r="Y39" i="772"/>
  <c r="X39" i="772"/>
  <c r="W39" i="772"/>
  <c r="V39" i="772"/>
  <c r="Y38" i="772"/>
  <c r="X38" i="772"/>
  <c r="W38" i="772"/>
  <c r="V38" i="772"/>
  <c r="Y37" i="772"/>
  <c r="X37" i="772"/>
  <c r="W37" i="772"/>
  <c r="V37" i="772"/>
  <c r="Y36" i="772"/>
  <c r="X36" i="772"/>
  <c r="W36" i="772"/>
  <c r="V36" i="772"/>
  <c r="U34" i="772"/>
  <c r="T34" i="772"/>
  <c r="S34" i="772"/>
  <c r="R34" i="772"/>
  <c r="Q34" i="772"/>
  <c r="P34" i="772"/>
  <c r="O34" i="772"/>
  <c r="N34" i="772"/>
  <c r="M34" i="772"/>
  <c r="L34" i="772"/>
  <c r="K34" i="772"/>
  <c r="J34" i="772"/>
  <c r="I34" i="772"/>
  <c r="H34" i="772"/>
  <c r="G34" i="772"/>
  <c r="F34" i="772"/>
  <c r="E34" i="772"/>
  <c r="D34" i="772"/>
  <c r="C34" i="772"/>
  <c r="B34" i="772"/>
  <c r="Y33" i="772"/>
  <c r="X33" i="772"/>
  <c r="W33" i="772"/>
  <c r="V33" i="772"/>
  <c r="Y32" i="772"/>
  <c r="Y34" i="772" s="1"/>
  <c r="X32" i="772"/>
  <c r="X34" i="772" s="1"/>
  <c r="W32" i="772"/>
  <c r="V32" i="772"/>
  <c r="U30" i="772"/>
  <c r="T30" i="772"/>
  <c r="S30" i="772"/>
  <c r="R30" i="772"/>
  <c r="Q30" i="772"/>
  <c r="P30" i="772"/>
  <c r="O30" i="772"/>
  <c r="N30" i="772"/>
  <c r="M30" i="772"/>
  <c r="L30" i="772"/>
  <c r="K30" i="772"/>
  <c r="J30" i="772"/>
  <c r="I30" i="772"/>
  <c r="H30" i="772"/>
  <c r="G30" i="772"/>
  <c r="F30" i="772"/>
  <c r="E30" i="772"/>
  <c r="D30" i="772"/>
  <c r="C30" i="772"/>
  <c r="B30" i="772"/>
  <c r="Y29" i="772"/>
  <c r="X29" i="772"/>
  <c r="W29" i="772"/>
  <c r="V29" i="772"/>
  <c r="Y28" i="772"/>
  <c r="X28" i="772"/>
  <c r="W28" i="772"/>
  <c r="V28" i="772"/>
  <c r="Y27" i="772"/>
  <c r="X27" i="772"/>
  <c r="W27" i="772"/>
  <c r="V27" i="772"/>
  <c r="Y26" i="772"/>
  <c r="X26" i="772"/>
  <c r="W26" i="772"/>
  <c r="V26" i="772"/>
  <c r="Y25" i="772"/>
  <c r="X25" i="772"/>
  <c r="W25" i="772"/>
  <c r="V25" i="772"/>
  <c r="Y24" i="772"/>
  <c r="X24" i="772"/>
  <c r="W24" i="772"/>
  <c r="V24" i="772"/>
  <c r="Y23" i="772"/>
  <c r="Y30" i="772" s="1"/>
  <c r="X23" i="772"/>
  <c r="W23" i="772"/>
  <c r="W30" i="772" s="1"/>
  <c r="V23" i="772"/>
  <c r="U21" i="772"/>
  <c r="U43" i="772" s="1"/>
  <c r="T21" i="772"/>
  <c r="S21" i="772"/>
  <c r="R21" i="772"/>
  <c r="Q21" i="772"/>
  <c r="Q43" i="772" s="1"/>
  <c r="P21" i="772"/>
  <c r="P43" i="772" s="1"/>
  <c r="O21" i="772"/>
  <c r="O43" i="772" s="1"/>
  <c r="N21" i="772"/>
  <c r="M21" i="772"/>
  <c r="L21" i="772"/>
  <c r="K21" i="772"/>
  <c r="K43" i="772" s="1"/>
  <c r="J21" i="772"/>
  <c r="I21" i="772"/>
  <c r="I43" i="772" s="1"/>
  <c r="H21" i="772"/>
  <c r="H43" i="772" s="1"/>
  <c r="G21" i="772"/>
  <c r="F21" i="772"/>
  <c r="F43" i="772" s="1"/>
  <c r="E21" i="772"/>
  <c r="D21" i="772"/>
  <c r="C21" i="772"/>
  <c r="B21" i="772"/>
  <c r="Y20" i="772"/>
  <c r="X20" i="772"/>
  <c r="W20" i="772"/>
  <c r="V20" i="772"/>
  <c r="Y19" i="772"/>
  <c r="X19" i="772"/>
  <c r="W19" i="772"/>
  <c r="V19" i="772"/>
  <c r="Y18" i="772"/>
  <c r="X18" i="772"/>
  <c r="W18" i="772"/>
  <c r="V18" i="772"/>
  <c r="Y17" i="772"/>
  <c r="X17" i="772"/>
  <c r="W17" i="772"/>
  <c r="V17" i="772"/>
  <c r="Y16" i="772"/>
  <c r="X16" i="772"/>
  <c r="W16" i="772"/>
  <c r="V16" i="772"/>
  <c r="Y15" i="772"/>
  <c r="X15" i="772"/>
  <c r="W15" i="772"/>
  <c r="W21" i="772" s="1"/>
  <c r="V15" i="772"/>
  <c r="U12" i="772"/>
  <c r="T12" i="772"/>
  <c r="S12" i="772"/>
  <c r="R12" i="772"/>
  <c r="Q12" i="772"/>
  <c r="Q48" i="772" s="1"/>
  <c r="P12" i="772"/>
  <c r="O12" i="772"/>
  <c r="O48" i="772" s="1"/>
  <c r="N12" i="772"/>
  <c r="M12" i="772"/>
  <c r="L12" i="772"/>
  <c r="K12" i="772"/>
  <c r="J12" i="772"/>
  <c r="I12" i="772"/>
  <c r="H12" i="772"/>
  <c r="G12" i="772"/>
  <c r="F12" i="772"/>
  <c r="E12" i="772"/>
  <c r="D12" i="772"/>
  <c r="C12" i="772"/>
  <c r="B12" i="772"/>
  <c r="Y11" i="772"/>
  <c r="X11" i="772"/>
  <c r="W11" i="772"/>
  <c r="V11" i="772"/>
  <c r="Y10" i="772"/>
  <c r="X10" i="772"/>
  <c r="W10" i="772"/>
  <c r="V10" i="772"/>
  <c r="Y9" i="772"/>
  <c r="X9" i="772"/>
  <c r="W9" i="772"/>
  <c r="V9" i="772"/>
  <c r="Y8" i="772"/>
  <c r="Y12" i="772" s="1"/>
  <c r="X8" i="772"/>
  <c r="W8" i="772"/>
  <c r="V8" i="772"/>
  <c r="B4" i="772"/>
  <c r="U47" i="771"/>
  <c r="T47" i="771"/>
  <c r="S47" i="771"/>
  <c r="R47" i="771"/>
  <c r="Q47" i="771"/>
  <c r="P47" i="771"/>
  <c r="O47" i="771"/>
  <c r="N47" i="771"/>
  <c r="M47" i="771"/>
  <c r="L47" i="771"/>
  <c r="K47" i="771"/>
  <c r="J47" i="771"/>
  <c r="I47" i="771"/>
  <c r="H47" i="771"/>
  <c r="G47" i="771"/>
  <c r="F47" i="771"/>
  <c r="E47" i="771"/>
  <c r="D47" i="771"/>
  <c r="C47" i="771"/>
  <c r="B47" i="771"/>
  <c r="Y46" i="771"/>
  <c r="X46" i="771"/>
  <c r="W46" i="771"/>
  <c r="V46" i="771"/>
  <c r="Y45" i="771"/>
  <c r="Y47" i="771" s="1"/>
  <c r="X45" i="771"/>
  <c r="W45" i="771"/>
  <c r="V45" i="771"/>
  <c r="U42" i="771"/>
  <c r="T42" i="771"/>
  <c r="S42" i="771"/>
  <c r="R42" i="771"/>
  <c r="Q42" i="771"/>
  <c r="P42" i="771"/>
  <c r="O42" i="771"/>
  <c r="N42" i="771"/>
  <c r="M42" i="771"/>
  <c r="L42" i="771"/>
  <c r="K42" i="771"/>
  <c r="J42" i="771"/>
  <c r="I42" i="771"/>
  <c r="H42" i="771"/>
  <c r="G42" i="771"/>
  <c r="F42" i="771"/>
  <c r="E42" i="771"/>
  <c r="D42" i="771"/>
  <c r="C42" i="771"/>
  <c r="B42" i="771"/>
  <c r="Y41" i="771"/>
  <c r="X41" i="771"/>
  <c r="W41" i="771"/>
  <c r="V41" i="771"/>
  <c r="Y40" i="771"/>
  <c r="X40" i="771"/>
  <c r="W40" i="771"/>
  <c r="V40" i="771"/>
  <c r="Y39" i="771"/>
  <c r="X39" i="771"/>
  <c r="W39" i="771"/>
  <c r="V39" i="771"/>
  <c r="Y38" i="771"/>
  <c r="X38" i="771"/>
  <c r="W38" i="771"/>
  <c r="V38" i="771"/>
  <c r="Y37" i="771"/>
  <c r="X37" i="771"/>
  <c r="W37" i="771"/>
  <c r="V37" i="771"/>
  <c r="Y36" i="771"/>
  <c r="Y42" i="771" s="1"/>
  <c r="X36" i="771"/>
  <c r="W36" i="771"/>
  <c r="W42" i="771" s="1"/>
  <c r="V36" i="771"/>
  <c r="U34" i="771"/>
  <c r="T34" i="771"/>
  <c r="S34" i="771"/>
  <c r="R34" i="771"/>
  <c r="Q34" i="771"/>
  <c r="P34" i="771"/>
  <c r="O34" i="771"/>
  <c r="N34" i="771"/>
  <c r="M34" i="771"/>
  <c r="L34" i="771"/>
  <c r="K34" i="771"/>
  <c r="J34" i="771"/>
  <c r="I34" i="771"/>
  <c r="H34" i="771"/>
  <c r="G34" i="771"/>
  <c r="F34" i="771"/>
  <c r="E34" i="771"/>
  <c r="D34" i="771"/>
  <c r="C34" i="771"/>
  <c r="B34" i="771"/>
  <c r="Y33" i="771"/>
  <c r="X33" i="771"/>
  <c r="W33" i="771"/>
  <c r="V33" i="771"/>
  <c r="Y32" i="771"/>
  <c r="X32" i="771"/>
  <c r="W32" i="771"/>
  <c r="V32" i="771"/>
  <c r="V34" i="771" s="1"/>
  <c r="U30" i="771"/>
  <c r="T30" i="771"/>
  <c r="S30" i="771"/>
  <c r="R30" i="771"/>
  <c r="Q30" i="771"/>
  <c r="P30" i="771"/>
  <c r="O30" i="771"/>
  <c r="N30" i="771"/>
  <c r="M30" i="771"/>
  <c r="L30" i="771"/>
  <c r="K30" i="771"/>
  <c r="J30" i="771"/>
  <c r="I30" i="771"/>
  <c r="H30" i="771"/>
  <c r="G30" i="771"/>
  <c r="F30" i="771"/>
  <c r="E30" i="771"/>
  <c r="D30" i="771"/>
  <c r="C30" i="771"/>
  <c r="B30" i="771"/>
  <c r="Y29" i="771"/>
  <c r="X29" i="771"/>
  <c r="W29" i="771"/>
  <c r="V29" i="771"/>
  <c r="Y28" i="771"/>
  <c r="X28" i="771"/>
  <c r="W28" i="771"/>
  <c r="V28" i="771"/>
  <c r="Y27" i="771"/>
  <c r="X27" i="771"/>
  <c r="W27" i="771"/>
  <c r="V27" i="771"/>
  <c r="Y26" i="771"/>
  <c r="X26" i="771"/>
  <c r="W26" i="771"/>
  <c r="V26" i="771"/>
  <c r="Y25" i="771"/>
  <c r="X25" i="771"/>
  <c r="W25" i="771"/>
  <c r="V25" i="771"/>
  <c r="Y24" i="771"/>
  <c r="X24" i="771"/>
  <c r="W24" i="771"/>
  <c r="V24" i="771"/>
  <c r="Y23" i="771"/>
  <c r="Y30" i="771" s="1"/>
  <c r="X23" i="771"/>
  <c r="W23" i="771"/>
  <c r="V23" i="771"/>
  <c r="U21" i="771"/>
  <c r="U43" i="771" s="1"/>
  <c r="T21" i="771"/>
  <c r="T43" i="771" s="1"/>
  <c r="S21" i="771"/>
  <c r="R21" i="771"/>
  <c r="Q21" i="771"/>
  <c r="Q43" i="771" s="1"/>
  <c r="P21" i="771"/>
  <c r="O21" i="771"/>
  <c r="N21" i="771"/>
  <c r="N43" i="771" s="1"/>
  <c r="M21" i="771"/>
  <c r="M43" i="771" s="1"/>
  <c r="L21" i="771"/>
  <c r="L43" i="771" s="1"/>
  <c r="K21" i="771"/>
  <c r="J21" i="771"/>
  <c r="I21" i="771"/>
  <c r="I43" i="771" s="1"/>
  <c r="H21" i="771"/>
  <c r="G21" i="771"/>
  <c r="F21" i="771"/>
  <c r="F43" i="771" s="1"/>
  <c r="E21" i="771"/>
  <c r="E43" i="771" s="1"/>
  <c r="D21" i="771"/>
  <c r="D43" i="771" s="1"/>
  <c r="C21" i="771"/>
  <c r="B21" i="771"/>
  <c r="B43" i="771" s="1"/>
  <c r="Y20" i="771"/>
  <c r="X20" i="771"/>
  <c r="W20" i="771"/>
  <c r="V20" i="771"/>
  <c r="Y19" i="771"/>
  <c r="X19" i="771"/>
  <c r="W19" i="771"/>
  <c r="V19" i="771"/>
  <c r="Y18" i="771"/>
  <c r="X18" i="771"/>
  <c r="W18" i="771"/>
  <c r="V18" i="771"/>
  <c r="Y17" i="771"/>
  <c r="X17" i="771"/>
  <c r="W17" i="771"/>
  <c r="V17" i="771"/>
  <c r="Y16" i="771"/>
  <c r="X16" i="771"/>
  <c r="W16" i="771"/>
  <c r="V16" i="771"/>
  <c r="Y15" i="771"/>
  <c r="Y21" i="771" s="1"/>
  <c r="X15" i="771"/>
  <c r="W15" i="771"/>
  <c r="V15" i="771"/>
  <c r="U12" i="771"/>
  <c r="U48" i="771" s="1"/>
  <c r="T12" i="771"/>
  <c r="S12" i="771"/>
  <c r="R12" i="771"/>
  <c r="Q12" i="771"/>
  <c r="Q48" i="771" s="1"/>
  <c r="P12" i="771"/>
  <c r="O12" i="771"/>
  <c r="N12" i="771"/>
  <c r="M12" i="771"/>
  <c r="M48" i="771" s="1"/>
  <c r="L12" i="771"/>
  <c r="K12" i="771"/>
  <c r="J12" i="771"/>
  <c r="I12" i="771"/>
  <c r="I48" i="771" s="1"/>
  <c r="H12" i="771"/>
  <c r="G12" i="771"/>
  <c r="F12" i="771"/>
  <c r="E12" i="771"/>
  <c r="E48" i="771" s="1"/>
  <c r="D12" i="771"/>
  <c r="C12" i="771"/>
  <c r="B12" i="771"/>
  <c r="Y11" i="771"/>
  <c r="X11" i="771"/>
  <c r="W11" i="771"/>
  <c r="V11" i="771"/>
  <c r="Y10" i="771"/>
  <c r="X10" i="771"/>
  <c r="W10" i="771"/>
  <c r="V10" i="771"/>
  <c r="Y9" i="771"/>
  <c r="X9" i="771"/>
  <c r="W9" i="771"/>
  <c r="V9" i="771"/>
  <c r="Y8" i="771"/>
  <c r="X8" i="771"/>
  <c r="W8" i="771"/>
  <c r="V8" i="771"/>
  <c r="B4" i="771"/>
  <c r="U47" i="770"/>
  <c r="T47" i="770"/>
  <c r="S47" i="770"/>
  <c r="R47" i="770"/>
  <c r="Q47" i="770"/>
  <c r="P47" i="770"/>
  <c r="O47" i="770"/>
  <c r="N47" i="770"/>
  <c r="M47" i="770"/>
  <c r="L47" i="770"/>
  <c r="K47" i="770"/>
  <c r="J47" i="770"/>
  <c r="I47" i="770"/>
  <c r="H47" i="770"/>
  <c r="G47" i="770"/>
  <c r="F47" i="770"/>
  <c r="E47" i="770"/>
  <c r="D47" i="770"/>
  <c r="C47" i="770"/>
  <c r="B47" i="770"/>
  <c r="Y46" i="770"/>
  <c r="X46" i="770"/>
  <c r="W46" i="770"/>
  <c r="V46" i="770"/>
  <c r="Y45" i="770"/>
  <c r="Y47" i="770" s="1"/>
  <c r="X45" i="770"/>
  <c r="X47" i="770" s="1"/>
  <c r="W45" i="770"/>
  <c r="W47" i="770" s="1"/>
  <c r="V45" i="770"/>
  <c r="U42" i="770"/>
  <c r="T42" i="770"/>
  <c r="S42" i="770"/>
  <c r="R42" i="770"/>
  <c r="Q42" i="770"/>
  <c r="P42" i="770"/>
  <c r="O42" i="770"/>
  <c r="N42" i="770"/>
  <c r="M42" i="770"/>
  <c r="L42" i="770"/>
  <c r="K42" i="770"/>
  <c r="J42" i="770"/>
  <c r="I42" i="770"/>
  <c r="H42" i="770"/>
  <c r="G42" i="770"/>
  <c r="F42" i="770"/>
  <c r="E42" i="770"/>
  <c r="D42" i="770"/>
  <c r="C42" i="770"/>
  <c r="B42" i="770"/>
  <c r="Y41" i="770"/>
  <c r="X41" i="770"/>
  <c r="W41" i="770"/>
  <c r="V41" i="770"/>
  <c r="Y40" i="770"/>
  <c r="X40" i="770"/>
  <c r="W40" i="770"/>
  <c r="V40" i="770"/>
  <c r="Y39" i="770"/>
  <c r="X39" i="770"/>
  <c r="W39" i="770"/>
  <c r="V39" i="770"/>
  <c r="Y38" i="770"/>
  <c r="X38" i="770"/>
  <c r="W38" i="770"/>
  <c r="V38" i="770"/>
  <c r="Y37" i="770"/>
  <c r="X37" i="770"/>
  <c r="W37" i="770"/>
  <c r="V37" i="770"/>
  <c r="Y36" i="770"/>
  <c r="X36" i="770"/>
  <c r="W36" i="770"/>
  <c r="V36" i="770"/>
  <c r="U34" i="770"/>
  <c r="T34" i="770"/>
  <c r="S34" i="770"/>
  <c r="R34" i="770"/>
  <c r="Q34" i="770"/>
  <c r="P34" i="770"/>
  <c r="O34" i="770"/>
  <c r="N34" i="770"/>
  <c r="M34" i="770"/>
  <c r="L34" i="770"/>
  <c r="K34" i="770"/>
  <c r="J34" i="770"/>
  <c r="I34" i="770"/>
  <c r="H34" i="770"/>
  <c r="G34" i="770"/>
  <c r="F34" i="770"/>
  <c r="E34" i="770"/>
  <c r="D34" i="770"/>
  <c r="C34" i="770"/>
  <c r="B34" i="770"/>
  <c r="Y33" i="770"/>
  <c r="X33" i="770"/>
  <c r="W33" i="770"/>
  <c r="V33" i="770"/>
  <c r="Y32" i="770"/>
  <c r="Y34" i="770" s="1"/>
  <c r="X32" i="770"/>
  <c r="W32" i="770"/>
  <c r="W34" i="770" s="1"/>
  <c r="V32" i="770"/>
  <c r="U30" i="770"/>
  <c r="T30" i="770"/>
  <c r="S30" i="770"/>
  <c r="R30" i="770"/>
  <c r="Q30" i="770"/>
  <c r="P30" i="770"/>
  <c r="O30" i="770"/>
  <c r="N30" i="770"/>
  <c r="M30" i="770"/>
  <c r="L30" i="770"/>
  <c r="K30" i="770"/>
  <c r="J30" i="770"/>
  <c r="I30" i="770"/>
  <c r="H30" i="770"/>
  <c r="G30" i="770"/>
  <c r="F30" i="770"/>
  <c r="E30" i="770"/>
  <c r="D30" i="770"/>
  <c r="C30" i="770"/>
  <c r="B30" i="770"/>
  <c r="Y29" i="770"/>
  <c r="X29" i="770"/>
  <c r="W29" i="770"/>
  <c r="V29" i="770"/>
  <c r="Y28" i="770"/>
  <c r="X28" i="770"/>
  <c r="W28" i="770"/>
  <c r="V28" i="770"/>
  <c r="Y27" i="770"/>
  <c r="X27" i="770"/>
  <c r="W27" i="770"/>
  <c r="V27" i="770"/>
  <c r="Y26" i="770"/>
  <c r="X26" i="770"/>
  <c r="W26" i="770"/>
  <c r="V26" i="770"/>
  <c r="Y25" i="770"/>
  <c r="X25" i="770"/>
  <c r="W25" i="770"/>
  <c r="V25" i="770"/>
  <c r="Y24" i="770"/>
  <c r="X24" i="770"/>
  <c r="W24" i="770"/>
  <c r="V24" i="770"/>
  <c r="Y23" i="770"/>
  <c r="X23" i="770"/>
  <c r="W23" i="770"/>
  <c r="V23" i="770"/>
  <c r="U21" i="770"/>
  <c r="T21" i="770"/>
  <c r="S21" i="770"/>
  <c r="S43" i="770" s="1"/>
  <c r="R21" i="770"/>
  <c r="Q21" i="770"/>
  <c r="Q43" i="770" s="1"/>
  <c r="P21" i="770"/>
  <c r="P43" i="770" s="1"/>
  <c r="O21" i="770"/>
  <c r="O43" i="770" s="1"/>
  <c r="N21" i="770"/>
  <c r="M21" i="770"/>
  <c r="L21" i="770"/>
  <c r="K21" i="770"/>
  <c r="K43" i="770" s="1"/>
  <c r="J21" i="770"/>
  <c r="I21" i="770"/>
  <c r="I43" i="770" s="1"/>
  <c r="H21" i="770"/>
  <c r="H43" i="770" s="1"/>
  <c r="G21" i="770"/>
  <c r="G43" i="770" s="1"/>
  <c r="F21" i="770"/>
  <c r="E21" i="770"/>
  <c r="D21" i="770"/>
  <c r="C21" i="770"/>
  <c r="C43" i="770" s="1"/>
  <c r="B21" i="770"/>
  <c r="Y20" i="770"/>
  <c r="X20" i="770"/>
  <c r="W20" i="770"/>
  <c r="V20" i="770"/>
  <c r="Y19" i="770"/>
  <c r="X19" i="770"/>
  <c r="W19" i="770"/>
  <c r="V19" i="770"/>
  <c r="Y18" i="770"/>
  <c r="X18" i="770"/>
  <c r="W18" i="770"/>
  <c r="V18" i="770"/>
  <c r="Y17" i="770"/>
  <c r="X17" i="770"/>
  <c r="W17" i="770"/>
  <c r="V17" i="770"/>
  <c r="Y16" i="770"/>
  <c r="Y21" i="770" s="1"/>
  <c r="X16" i="770"/>
  <c r="W16" i="770"/>
  <c r="V16" i="770"/>
  <c r="Y15" i="770"/>
  <c r="X15" i="770"/>
  <c r="W15" i="770"/>
  <c r="V15" i="770"/>
  <c r="U12" i="770"/>
  <c r="T12" i="770"/>
  <c r="S12" i="770"/>
  <c r="R12" i="770"/>
  <c r="Q12" i="770"/>
  <c r="P12" i="770"/>
  <c r="O12" i="770"/>
  <c r="N12" i="770"/>
  <c r="M12" i="770"/>
  <c r="L12" i="770"/>
  <c r="K12" i="770"/>
  <c r="J12" i="770"/>
  <c r="I12" i="770"/>
  <c r="H12" i="770"/>
  <c r="G12" i="770"/>
  <c r="F12" i="770"/>
  <c r="E12" i="770"/>
  <c r="D12" i="770"/>
  <c r="C12" i="770"/>
  <c r="B12" i="770"/>
  <c r="Y11" i="770"/>
  <c r="X11" i="770"/>
  <c r="W11" i="770"/>
  <c r="V11" i="770"/>
  <c r="Y10" i="770"/>
  <c r="X10" i="770"/>
  <c r="W10" i="770"/>
  <c r="V10" i="770"/>
  <c r="Y9" i="770"/>
  <c r="X9" i="770"/>
  <c r="W9" i="770"/>
  <c r="V9" i="770"/>
  <c r="Y8" i="770"/>
  <c r="X8" i="770"/>
  <c r="W8" i="770"/>
  <c r="V8" i="770"/>
  <c r="B4" i="770"/>
  <c r="U47" i="769"/>
  <c r="T47" i="769"/>
  <c r="S47" i="769"/>
  <c r="R47" i="769"/>
  <c r="Q47" i="769"/>
  <c r="P47" i="769"/>
  <c r="O47" i="769"/>
  <c r="N47" i="769"/>
  <c r="M47" i="769"/>
  <c r="L47" i="769"/>
  <c r="K47" i="769"/>
  <c r="J47" i="769"/>
  <c r="I47" i="769"/>
  <c r="H47" i="769"/>
  <c r="G47" i="769"/>
  <c r="F47" i="769"/>
  <c r="E47" i="769"/>
  <c r="D47" i="769"/>
  <c r="C47" i="769"/>
  <c r="B47" i="769"/>
  <c r="Y46" i="769"/>
  <c r="X46" i="769"/>
  <c r="W46" i="769"/>
  <c r="V46" i="769"/>
  <c r="Y45" i="769"/>
  <c r="X45" i="769"/>
  <c r="X47" i="769" s="1"/>
  <c r="W45" i="769"/>
  <c r="W47" i="769" s="1"/>
  <c r="V45" i="769"/>
  <c r="V47" i="769" s="1"/>
  <c r="U42" i="769"/>
  <c r="T42" i="769"/>
  <c r="S42" i="769"/>
  <c r="R42" i="769"/>
  <c r="Q42" i="769"/>
  <c r="P42" i="769"/>
  <c r="O42" i="769"/>
  <c r="N42" i="769"/>
  <c r="M42" i="769"/>
  <c r="L42" i="769"/>
  <c r="K42" i="769"/>
  <c r="J42" i="769"/>
  <c r="I42" i="769"/>
  <c r="H42" i="769"/>
  <c r="G42" i="769"/>
  <c r="F42" i="769"/>
  <c r="E42" i="769"/>
  <c r="D42" i="769"/>
  <c r="C42" i="769"/>
  <c r="B42" i="769"/>
  <c r="Y41" i="769"/>
  <c r="X41" i="769"/>
  <c r="W41" i="769"/>
  <c r="V41" i="769"/>
  <c r="Y40" i="769"/>
  <c r="X40" i="769"/>
  <c r="W40" i="769"/>
  <c r="V40" i="769"/>
  <c r="Y39" i="769"/>
  <c r="X39" i="769"/>
  <c r="W39" i="769"/>
  <c r="V39" i="769"/>
  <c r="Y38" i="769"/>
  <c r="X38" i="769"/>
  <c r="W38" i="769"/>
  <c r="V38" i="769"/>
  <c r="Y37" i="769"/>
  <c r="X37" i="769"/>
  <c r="W37" i="769"/>
  <c r="V37" i="769"/>
  <c r="Y36" i="769"/>
  <c r="Y42" i="769" s="1"/>
  <c r="X36" i="769"/>
  <c r="X42" i="769" s="1"/>
  <c r="W36" i="769"/>
  <c r="W42" i="769" s="1"/>
  <c r="V36" i="769"/>
  <c r="U34" i="769"/>
  <c r="T34" i="769"/>
  <c r="S34" i="769"/>
  <c r="R34" i="769"/>
  <c r="Q34" i="769"/>
  <c r="P34" i="769"/>
  <c r="O34" i="769"/>
  <c r="N34" i="769"/>
  <c r="M34" i="769"/>
  <c r="L34" i="769"/>
  <c r="K34" i="769"/>
  <c r="J34" i="769"/>
  <c r="I34" i="769"/>
  <c r="H34" i="769"/>
  <c r="G34" i="769"/>
  <c r="F34" i="769"/>
  <c r="E34" i="769"/>
  <c r="D34" i="769"/>
  <c r="C34" i="769"/>
  <c r="B34" i="769"/>
  <c r="Y33" i="769"/>
  <c r="X33" i="769"/>
  <c r="W33" i="769"/>
  <c r="V33" i="769"/>
  <c r="Y32" i="769"/>
  <c r="X32" i="769"/>
  <c r="W32" i="769"/>
  <c r="V32" i="769"/>
  <c r="U30" i="769"/>
  <c r="T30" i="769"/>
  <c r="S30" i="769"/>
  <c r="R30" i="769"/>
  <c r="Q30" i="769"/>
  <c r="P30" i="769"/>
  <c r="O30" i="769"/>
  <c r="N30" i="769"/>
  <c r="M30" i="769"/>
  <c r="L30" i="769"/>
  <c r="K30" i="769"/>
  <c r="J30" i="769"/>
  <c r="I30" i="769"/>
  <c r="H30" i="769"/>
  <c r="G30" i="769"/>
  <c r="F30" i="769"/>
  <c r="E30" i="769"/>
  <c r="D30" i="769"/>
  <c r="C30" i="769"/>
  <c r="B30" i="769"/>
  <c r="Y29" i="769"/>
  <c r="X29" i="769"/>
  <c r="W29" i="769"/>
  <c r="V29" i="769"/>
  <c r="Y28" i="769"/>
  <c r="X28" i="769"/>
  <c r="W28" i="769"/>
  <c r="V28" i="769"/>
  <c r="Y27" i="769"/>
  <c r="X27" i="769"/>
  <c r="W27" i="769"/>
  <c r="V27" i="769"/>
  <c r="Y26" i="769"/>
  <c r="X26" i="769"/>
  <c r="W26" i="769"/>
  <c r="V26" i="769"/>
  <c r="Y25" i="769"/>
  <c r="X25" i="769"/>
  <c r="W25" i="769"/>
  <c r="V25" i="769"/>
  <c r="Y24" i="769"/>
  <c r="X24" i="769"/>
  <c r="W24" i="769"/>
  <c r="V24" i="769"/>
  <c r="Y23" i="769"/>
  <c r="X23" i="769"/>
  <c r="X30" i="769" s="1"/>
  <c r="W23" i="769"/>
  <c r="W30" i="769" s="1"/>
  <c r="V23" i="769"/>
  <c r="U21" i="769"/>
  <c r="U43" i="769" s="1"/>
  <c r="T21" i="769"/>
  <c r="T43" i="769" s="1"/>
  <c r="S21" i="769"/>
  <c r="S43" i="769" s="1"/>
  <c r="R21" i="769"/>
  <c r="Q21" i="769"/>
  <c r="P21" i="769"/>
  <c r="P43" i="769" s="1"/>
  <c r="O21" i="769"/>
  <c r="O43" i="769" s="1"/>
  <c r="N21" i="769"/>
  <c r="N43" i="769" s="1"/>
  <c r="M21" i="769"/>
  <c r="M43" i="769" s="1"/>
  <c r="L21" i="769"/>
  <c r="L43" i="769" s="1"/>
  <c r="K21" i="769"/>
  <c r="K43" i="769" s="1"/>
  <c r="J21" i="769"/>
  <c r="I21" i="769"/>
  <c r="H21" i="769"/>
  <c r="H43" i="769" s="1"/>
  <c r="G21" i="769"/>
  <c r="G43" i="769" s="1"/>
  <c r="F21" i="769"/>
  <c r="F43" i="769" s="1"/>
  <c r="E21" i="769"/>
  <c r="E43" i="769" s="1"/>
  <c r="D21" i="769"/>
  <c r="D43" i="769" s="1"/>
  <c r="C21" i="769"/>
  <c r="C43" i="769" s="1"/>
  <c r="B21" i="769"/>
  <c r="Y20" i="769"/>
  <c r="X20" i="769"/>
  <c r="W20" i="769"/>
  <c r="V20" i="769"/>
  <c r="Y19" i="769"/>
  <c r="X19" i="769"/>
  <c r="W19" i="769"/>
  <c r="V19" i="769"/>
  <c r="Y18" i="769"/>
  <c r="X18" i="769"/>
  <c r="W18" i="769"/>
  <c r="V18" i="769"/>
  <c r="Y17" i="769"/>
  <c r="X17" i="769"/>
  <c r="W17" i="769"/>
  <c r="V17" i="769"/>
  <c r="Y16" i="769"/>
  <c r="X16" i="769"/>
  <c r="W16" i="769"/>
  <c r="V16" i="769"/>
  <c r="Y15" i="769"/>
  <c r="Y21" i="769" s="1"/>
  <c r="X15" i="769"/>
  <c r="W15" i="769"/>
  <c r="W21" i="769" s="1"/>
  <c r="V15" i="769"/>
  <c r="U12" i="769"/>
  <c r="T12" i="769"/>
  <c r="S12" i="769"/>
  <c r="R12" i="769"/>
  <c r="Q12" i="769"/>
  <c r="P12" i="769"/>
  <c r="P48" i="769" s="1"/>
  <c r="O12" i="769"/>
  <c r="O48" i="769" s="1"/>
  <c r="N12" i="769"/>
  <c r="M12" i="769"/>
  <c r="L12" i="769"/>
  <c r="K12" i="769"/>
  <c r="J12" i="769"/>
  <c r="I12" i="769"/>
  <c r="H12" i="769"/>
  <c r="H48" i="769" s="1"/>
  <c r="G12" i="769"/>
  <c r="G48" i="769" s="1"/>
  <c r="F12" i="769"/>
  <c r="E12" i="769"/>
  <c r="D12" i="769"/>
  <c r="C12" i="769"/>
  <c r="B12" i="769"/>
  <c r="Y11" i="769"/>
  <c r="X11" i="769"/>
  <c r="W11" i="769"/>
  <c r="V11" i="769"/>
  <c r="Y10" i="769"/>
  <c r="X10" i="769"/>
  <c r="W10" i="769"/>
  <c r="V10" i="769"/>
  <c r="Y9" i="769"/>
  <c r="X9" i="769"/>
  <c r="W9" i="769"/>
  <c r="V9" i="769"/>
  <c r="Y8" i="769"/>
  <c r="X8" i="769"/>
  <c r="W8" i="769"/>
  <c r="V8" i="769"/>
  <c r="B4" i="769"/>
  <c r="U47" i="768"/>
  <c r="T47" i="768"/>
  <c r="S47" i="768"/>
  <c r="R47" i="768"/>
  <c r="Q47" i="768"/>
  <c r="P47" i="768"/>
  <c r="O47" i="768"/>
  <c r="N47" i="768"/>
  <c r="M47" i="768"/>
  <c r="L47" i="768"/>
  <c r="K47" i="768"/>
  <c r="J47" i="768"/>
  <c r="I47" i="768"/>
  <c r="H47" i="768"/>
  <c r="G47" i="768"/>
  <c r="F47" i="768"/>
  <c r="E47" i="768"/>
  <c r="D47" i="768"/>
  <c r="C47" i="768"/>
  <c r="B47" i="768"/>
  <c r="Y46" i="768"/>
  <c r="X46" i="768"/>
  <c r="W46" i="768"/>
  <c r="V46" i="768"/>
  <c r="Y45" i="768"/>
  <c r="X45" i="768"/>
  <c r="X47" i="768" s="1"/>
  <c r="W45" i="768"/>
  <c r="W47" i="768" s="1"/>
  <c r="V45" i="768"/>
  <c r="U42" i="768"/>
  <c r="T42" i="768"/>
  <c r="S42" i="768"/>
  <c r="R42" i="768"/>
  <c r="Q42" i="768"/>
  <c r="P42" i="768"/>
  <c r="O42" i="768"/>
  <c r="N42" i="768"/>
  <c r="M42" i="768"/>
  <c r="L42" i="768"/>
  <c r="K42" i="768"/>
  <c r="J42" i="768"/>
  <c r="I42" i="768"/>
  <c r="H42" i="768"/>
  <c r="G42" i="768"/>
  <c r="F42" i="768"/>
  <c r="E42" i="768"/>
  <c r="D42" i="768"/>
  <c r="C42" i="768"/>
  <c r="B42" i="768"/>
  <c r="Y41" i="768"/>
  <c r="X41" i="768"/>
  <c r="W41" i="768"/>
  <c r="V41" i="768"/>
  <c r="Y40" i="768"/>
  <c r="X40" i="768"/>
  <c r="W40" i="768"/>
  <c r="V40" i="768"/>
  <c r="Y39" i="768"/>
  <c r="X39" i="768"/>
  <c r="W39" i="768"/>
  <c r="V39" i="768"/>
  <c r="Y38" i="768"/>
  <c r="X38" i="768"/>
  <c r="W38" i="768"/>
  <c r="V38" i="768"/>
  <c r="Y37" i="768"/>
  <c r="X37" i="768"/>
  <c r="W37" i="768"/>
  <c r="V37" i="768"/>
  <c r="Y36" i="768"/>
  <c r="X36" i="768"/>
  <c r="W36" i="768"/>
  <c r="V36" i="768"/>
  <c r="U34" i="768"/>
  <c r="T34" i="768"/>
  <c r="S34" i="768"/>
  <c r="R34" i="768"/>
  <c r="Q34" i="768"/>
  <c r="P34" i="768"/>
  <c r="O34" i="768"/>
  <c r="N34" i="768"/>
  <c r="M34" i="768"/>
  <c r="L34" i="768"/>
  <c r="K34" i="768"/>
  <c r="J34" i="768"/>
  <c r="I34" i="768"/>
  <c r="H34" i="768"/>
  <c r="G34" i="768"/>
  <c r="F34" i="768"/>
  <c r="E34" i="768"/>
  <c r="D34" i="768"/>
  <c r="C34" i="768"/>
  <c r="B34" i="768"/>
  <c r="Y33" i="768"/>
  <c r="X33" i="768"/>
  <c r="W33" i="768"/>
  <c r="V33" i="768"/>
  <c r="Y32" i="768"/>
  <c r="Y34" i="768" s="1"/>
  <c r="X32" i="768"/>
  <c r="X34" i="768" s="1"/>
  <c r="W32" i="768"/>
  <c r="W34" i="768" s="1"/>
  <c r="V32" i="768"/>
  <c r="U30" i="768"/>
  <c r="T30" i="768"/>
  <c r="S30" i="768"/>
  <c r="R30" i="768"/>
  <c r="Q30" i="768"/>
  <c r="P30" i="768"/>
  <c r="O30" i="768"/>
  <c r="N30" i="768"/>
  <c r="M30" i="768"/>
  <c r="L30" i="768"/>
  <c r="K30" i="768"/>
  <c r="J30" i="768"/>
  <c r="I30" i="768"/>
  <c r="H30" i="768"/>
  <c r="G30" i="768"/>
  <c r="F30" i="768"/>
  <c r="E30" i="768"/>
  <c r="D30" i="768"/>
  <c r="C30" i="768"/>
  <c r="B30" i="768"/>
  <c r="Y29" i="768"/>
  <c r="X29" i="768"/>
  <c r="W29" i="768"/>
  <c r="V29" i="768"/>
  <c r="Y28" i="768"/>
  <c r="X28" i="768"/>
  <c r="W28" i="768"/>
  <c r="V28" i="768"/>
  <c r="Y27" i="768"/>
  <c r="X27" i="768"/>
  <c r="W27" i="768"/>
  <c r="V27" i="768"/>
  <c r="Y26" i="768"/>
  <c r="X26" i="768"/>
  <c r="W26" i="768"/>
  <c r="V26" i="768"/>
  <c r="Y25" i="768"/>
  <c r="X25" i="768"/>
  <c r="W25" i="768"/>
  <c r="V25" i="768"/>
  <c r="Y24" i="768"/>
  <c r="X24" i="768"/>
  <c r="W24" i="768"/>
  <c r="V24" i="768"/>
  <c r="Y23" i="768"/>
  <c r="Y30" i="768" s="1"/>
  <c r="X23" i="768"/>
  <c r="W23" i="768"/>
  <c r="W30" i="768" s="1"/>
  <c r="V23" i="768"/>
  <c r="U21" i="768"/>
  <c r="U43" i="768" s="1"/>
  <c r="T21" i="768"/>
  <c r="T43" i="768" s="1"/>
  <c r="S21" i="768"/>
  <c r="S43" i="768" s="1"/>
  <c r="R21" i="768"/>
  <c r="Q21" i="768"/>
  <c r="Q43" i="768" s="1"/>
  <c r="P21" i="768"/>
  <c r="P43" i="768" s="1"/>
  <c r="O21" i="768"/>
  <c r="O43" i="768" s="1"/>
  <c r="N21" i="768"/>
  <c r="M21" i="768"/>
  <c r="M43" i="768" s="1"/>
  <c r="L21" i="768"/>
  <c r="L43" i="768" s="1"/>
  <c r="K21" i="768"/>
  <c r="K43" i="768" s="1"/>
  <c r="J21" i="768"/>
  <c r="I21" i="768"/>
  <c r="I43" i="768" s="1"/>
  <c r="H21" i="768"/>
  <c r="H43" i="768" s="1"/>
  <c r="G21" i="768"/>
  <c r="G43" i="768" s="1"/>
  <c r="F21" i="768"/>
  <c r="E21" i="768"/>
  <c r="E43" i="768" s="1"/>
  <c r="D21" i="768"/>
  <c r="D43" i="768" s="1"/>
  <c r="C21" i="768"/>
  <c r="C43" i="768" s="1"/>
  <c r="B21" i="768"/>
  <c r="Y20" i="768"/>
  <c r="X20" i="768"/>
  <c r="W20" i="768"/>
  <c r="V20" i="768"/>
  <c r="Y19" i="768"/>
  <c r="X19" i="768"/>
  <c r="W19" i="768"/>
  <c r="V19" i="768"/>
  <c r="Y18" i="768"/>
  <c r="X18" i="768"/>
  <c r="W18" i="768"/>
  <c r="V18" i="768"/>
  <c r="Y17" i="768"/>
  <c r="X17" i="768"/>
  <c r="W17" i="768"/>
  <c r="V17" i="768"/>
  <c r="Y16" i="768"/>
  <c r="X16" i="768"/>
  <c r="W16" i="768"/>
  <c r="V16" i="768"/>
  <c r="Y15" i="768"/>
  <c r="X15" i="768"/>
  <c r="X21" i="768" s="1"/>
  <c r="W15" i="768"/>
  <c r="W21" i="768" s="1"/>
  <c r="V15" i="768"/>
  <c r="U12" i="768"/>
  <c r="U48" i="768" s="1"/>
  <c r="T12" i="768"/>
  <c r="S12" i="768"/>
  <c r="R12" i="768"/>
  <c r="Q12" i="768"/>
  <c r="Q48" i="768" s="1"/>
  <c r="P12" i="768"/>
  <c r="P48" i="768" s="1"/>
  <c r="O12" i="768"/>
  <c r="O48" i="768" s="1"/>
  <c r="N12" i="768"/>
  <c r="M12" i="768"/>
  <c r="M48" i="768" s="1"/>
  <c r="L12" i="768"/>
  <c r="K12" i="768"/>
  <c r="J12" i="768"/>
  <c r="I12" i="768"/>
  <c r="H12" i="768"/>
  <c r="H48" i="768" s="1"/>
  <c r="G12" i="768"/>
  <c r="G48" i="768" s="1"/>
  <c r="F12" i="768"/>
  <c r="E12" i="768"/>
  <c r="D12" i="768"/>
  <c r="C12" i="768"/>
  <c r="B12" i="768"/>
  <c r="Y11" i="768"/>
  <c r="X11" i="768"/>
  <c r="W11" i="768"/>
  <c r="V11" i="768"/>
  <c r="Y10" i="768"/>
  <c r="X10" i="768"/>
  <c r="W10" i="768"/>
  <c r="V10" i="768"/>
  <c r="Y9" i="768"/>
  <c r="X9" i="768"/>
  <c r="W9" i="768"/>
  <c r="V9" i="768"/>
  <c r="Y8" i="768"/>
  <c r="Y12" i="768" s="1"/>
  <c r="X8" i="768"/>
  <c r="W8" i="768"/>
  <c r="V8" i="768"/>
  <c r="B4" i="768"/>
  <c r="U47" i="767"/>
  <c r="T47" i="767"/>
  <c r="S47" i="767"/>
  <c r="R47" i="767"/>
  <c r="Q47" i="767"/>
  <c r="P47" i="767"/>
  <c r="O47" i="767"/>
  <c r="N47" i="767"/>
  <c r="M47" i="767"/>
  <c r="L47" i="767"/>
  <c r="K47" i="767"/>
  <c r="J47" i="767"/>
  <c r="I47" i="767"/>
  <c r="H47" i="767"/>
  <c r="G47" i="767"/>
  <c r="F47" i="767"/>
  <c r="E47" i="767"/>
  <c r="D47" i="767"/>
  <c r="C47" i="767"/>
  <c r="B47" i="767"/>
  <c r="Y46" i="767"/>
  <c r="X46" i="767"/>
  <c r="W46" i="767"/>
  <c r="V46" i="767"/>
  <c r="Y45" i="767"/>
  <c r="Y47" i="767" s="1"/>
  <c r="X45" i="767"/>
  <c r="X47" i="767" s="1"/>
  <c r="W45" i="767"/>
  <c r="W47" i="767" s="1"/>
  <c r="V45" i="767"/>
  <c r="U42" i="767"/>
  <c r="T42" i="767"/>
  <c r="S42" i="767"/>
  <c r="R42" i="767"/>
  <c r="Q42" i="767"/>
  <c r="P42" i="767"/>
  <c r="O42" i="767"/>
  <c r="N42" i="767"/>
  <c r="M42" i="767"/>
  <c r="L42" i="767"/>
  <c r="K42" i="767"/>
  <c r="J42" i="767"/>
  <c r="I42" i="767"/>
  <c r="H42" i="767"/>
  <c r="G42" i="767"/>
  <c r="F42" i="767"/>
  <c r="E42" i="767"/>
  <c r="D42" i="767"/>
  <c r="C42" i="767"/>
  <c r="B42" i="767"/>
  <c r="Y41" i="767"/>
  <c r="X41" i="767"/>
  <c r="W41" i="767"/>
  <c r="V41" i="767"/>
  <c r="Y40" i="767"/>
  <c r="X40" i="767"/>
  <c r="W40" i="767"/>
  <c r="V40" i="767"/>
  <c r="Y39" i="767"/>
  <c r="X39" i="767"/>
  <c r="W39" i="767"/>
  <c r="V39" i="767"/>
  <c r="Y38" i="767"/>
  <c r="X38" i="767"/>
  <c r="W38" i="767"/>
  <c r="V38" i="767"/>
  <c r="Y37" i="767"/>
  <c r="X37" i="767"/>
  <c r="W37" i="767"/>
  <c r="V37" i="767"/>
  <c r="Y36" i="767"/>
  <c r="X36" i="767"/>
  <c r="W36" i="767"/>
  <c r="V36" i="767"/>
  <c r="U34" i="767"/>
  <c r="T34" i="767"/>
  <c r="S34" i="767"/>
  <c r="R34" i="767"/>
  <c r="Q34" i="767"/>
  <c r="P34" i="767"/>
  <c r="O34" i="767"/>
  <c r="N34" i="767"/>
  <c r="M34" i="767"/>
  <c r="L34" i="767"/>
  <c r="K34" i="767"/>
  <c r="J34" i="767"/>
  <c r="I34" i="767"/>
  <c r="H34" i="767"/>
  <c r="G34" i="767"/>
  <c r="F34" i="767"/>
  <c r="E34" i="767"/>
  <c r="D34" i="767"/>
  <c r="C34" i="767"/>
  <c r="B34" i="767"/>
  <c r="Y33" i="767"/>
  <c r="X33" i="767"/>
  <c r="W33" i="767"/>
  <c r="V33" i="767"/>
  <c r="Y32" i="767"/>
  <c r="Y34" i="767" s="1"/>
  <c r="X32" i="767"/>
  <c r="W32" i="767"/>
  <c r="W34" i="767" s="1"/>
  <c r="V32" i="767"/>
  <c r="U30" i="767"/>
  <c r="T30" i="767"/>
  <c r="S30" i="767"/>
  <c r="R30" i="767"/>
  <c r="Q30" i="767"/>
  <c r="P30" i="767"/>
  <c r="O30" i="767"/>
  <c r="N30" i="767"/>
  <c r="M30" i="767"/>
  <c r="L30" i="767"/>
  <c r="K30" i="767"/>
  <c r="J30" i="767"/>
  <c r="I30" i="767"/>
  <c r="H30" i="767"/>
  <c r="G30" i="767"/>
  <c r="F30" i="767"/>
  <c r="E30" i="767"/>
  <c r="D30" i="767"/>
  <c r="C30" i="767"/>
  <c r="B30" i="767"/>
  <c r="Y29" i="767"/>
  <c r="X29" i="767"/>
  <c r="W29" i="767"/>
  <c r="V29" i="767"/>
  <c r="Y28" i="767"/>
  <c r="X28" i="767"/>
  <c r="W28" i="767"/>
  <c r="V28" i="767"/>
  <c r="Y27" i="767"/>
  <c r="X27" i="767"/>
  <c r="W27" i="767"/>
  <c r="V27" i="767"/>
  <c r="Y26" i="767"/>
  <c r="X26" i="767"/>
  <c r="W26" i="767"/>
  <c r="V26" i="767"/>
  <c r="Y25" i="767"/>
  <c r="X25" i="767"/>
  <c r="W25" i="767"/>
  <c r="V25" i="767"/>
  <c r="Y24" i="767"/>
  <c r="X24" i="767"/>
  <c r="W24" i="767"/>
  <c r="V24" i="767"/>
  <c r="Y23" i="767"/>
  <c r="X23" i="767"/>
  <c r="W23" i="767"/>
  <c r="V23" i="767"/>
  <c r="U21" i="767"/>
  <c r="U43" i="767" s="1"/>
  <c r="T21" i="767"/>
  <c r="S21" i="767"/>
  <c r="R21" i="767"/>
  <c r="R43" i="767" s="1"/>
  <c r="Q21" i="767"/>
  <c r="Q43" i="767" s="1"/>
  <c r="P21" i="767"/>
  <c r="P43" i="767" s="1"/>
  <c r="O21" i="767"/>
  <c r="O43" i="767" s="1"/>
  <c r="N21" i="767"/>
  <c r="M21" i="767"/>
  <c r="M43" i="767" s="1"/>
  <c r="L21" i="767"/>
  <c r="K21" i="767"/>
  <c r="J21" i="767"/>
  <c r="I21" i="767"/>
  <c r="I43" i="767" s="1"/>
  <c r="H21" i="767"/>
  <c r="H43" i="767" s="1"/>
  <c r="G21" i="767"/>
  <c r="G43" i="767" s="1"/>
  <c r="F21" i="767"/>
  <c r="F43" i="767" s="1"/>
  <c r="E21" i="767"/>
  <c r="E43" i="767" s="1"/>
  <c r="D21" i="767"/>
  <c r="C21" i="767"/>
  <c r="B21" i="767"/>
  <c r="Y20" i="767"/>
  <c r="X20" i="767"/>
  <c r="W20" i="767"/>
  <c r="V20" i="767"/>
  <c r="Y19" i="767"/>
  <c r="X19" i="767"/>
  <c r="W19" i="767"/>
  <c r="V19" i="767"/>
  <c r="Y18" i="767"/>
  <c r="X18" i="767"/>
  <c r="W18" i="767"/>
  <c r="V18" i="767"/>
  <c r="Y17" i="767"/>
  <c r="X17" i="767"/>
  <c r="W17" i="767"/>
  <c r="V17" i="767"/>
  <c r="Y16" i="767"/>
  <c r="X16" i="767"/>
  <c r="X21" i="767" s="1"/>
  <c r="W16" i="767"/>
  <c r="V16" i="767"/>
  <c r="Y15" i="767"/>
  <c r="X15" i="767"/>
  <c r="W15" i="767"/>
  <c r="V15" i="767"/>
  <c r="U12" i="767"/>
  <c r="T12" i="767"/>
  <c r="S12" i="767"/>
  <c r="R12" i="767"/>
  <c r="Q12" i="767"/>
  <c r="P12" i="767"/>
  <c r="O12" i="767"/>
  <c r="N12" i="767"/>
  <c r="M12" i="767"/>
  <c r="L12" i="767"/>
  <c r="K12" i="767"/>
  <c r="J12" i="767"/>
  <c r="I12" i="767"/>
  <c r="H12" i="767"/>
  <c r="G12" i="767"/>
  <c r="F12" i="767"/>
  <c r="E12" i="767"/>
  <c r="D12" i="767"/>
  <c r="C12" i="767"/>
  <c r="B12" i="767"/>
  <c r="Y11" i="767"/>
  <c r="X11" i="767"/>
  <c r="W11" i="767"/>
  <c r="V11" i="767"/>
  <c r="Y10" i="767"/>
  <c r="X10" i="767"/>
  <c r="W10" i="767"/>
  <c r="V10" i="767"/>
  <c r="Y9" i="767"/>
  <c r="X9" i="767"/>
  <c r="W9" i="767"/>
  <c r="V9" i="767"/>
  <c r="Y8" i="767"/>
  <c r="Y12" i="767" s="1"/>
  <c r="X8" i="767"/>
  <c r="W8" i="767"/>
  <c r="W12" i="767" s="1"/>
  <c r="V8" i="767"/>
  <c r="B4" i="767"/>
  <c r="Y46" i="9" a="1"/>
  <c r="X46" i="9" a="1"/>
  <c r="W46" i="9" a="1"/>
  <c r="V46" i="9" a="1"/>
  <c r="U46" i="9" a="1"/>
  <c r="T46" i="9" a="1"/>
  <c r="S46" i="9" a="1"/>
  <c r="R46" i="9" a="1"/>
  <c r="Q46" i="9" a="1"/>
  <c r="P46" i="9" a="1"/>
  <c r="O46" i="9" a="1"/>
  <c r="N46" i="9" a="1"/>
  <c r="M46" i="9" a="1"/>
  <c r="L46" i="9" a="1"/>
  <c r="K46" i="9" a="1"/>
  <c r="J46" i="9" a="1"/>
  <c r="I46" i="9" a="1"/>
  <c r="H46" i="9" a="1"/>
  <c r="G46" i="9" a="1"/>
  <c r="F46" i="9" a="1"/>
  <c r="E46" i="9" a="1"/>
  <c r="D46" i="9" a="1"/>
  <c r="C46" i="9" a="1"/>
  <c r="B46" i="9" a="1"/>
  <c r="Y45" i="9" a="1"/>
  <c r="X45" i="9" a="1"/>
  <c r="W45" i="9" a="1"/>
  <c r="V45" i="9" a="1"/>
  <c r="U45" i="9" a="1"/>
  <c r="T45" i="9" a="1"/>
  <c r="S45" i="9" a="1"/>
  <c r="R45" i="9" a="1"/>
  <c r="Q45" i="9" a="1"/>
  <c r="P45" i="9" a="1"/>
  <c r="O45" i="9" a="1"/>
  <c r="N45" i="9" a="1"/>
  <c r="M45" i="9" a="1"/>
  <c r="L45" i="9" a="1"/>
  <c r="K45" i="9" a="1"/>
  <c r="J45" i="9" a="1"/>
  <c r="I45" i="9" a="1"/>
  <c r="H45" i="9" a="1"/>
  <c r="G45" i="9" a="1"/>
  <c r="F45" i="9" a="1"/>
  <c r="E45" i="9" a="1"/>
  <c r="D45" i="9" a="1"/>
  <c r="C45" i="9" a="1"/>
  <c r="B45" i="9" a="1"/>
  <c r="Y41" i="9" a="1"/>
  <c r="X41" i="9" a="1"/>
  <c r="W41" i="9" a="1"/>
  <c r="V41" i="9" a="1"/>
  <c r="U41" i="9" a="1"/>
  <c r="T41" i="9" a="1"/>
  <c r="S41" i="9" a="1"/>
  <c r="R41" i="9" a="1"/>
  <c r="Q41" i="9" a="1"/>
  <c r="P41" i="9" a="1"/>
  <c r="O41" i="9" a="1"/>
  <c r="N41" i="9" a="1"/>
  <c r="M41" i="9" a="1"/>
  <c r="L41" i="9" a="1"/>
  <c r="K41" i="9" a="1"/>
  <c r="J41" i="9" a="1"/>
  <c r="I41" i="9" a="1"/>
  <c r="H41" i="9" a="1"/>
  <c r="G41" i="9" a="1"/>
  <c r="F41" i="9" a="1"/>
  <c r="E41" i="9" a="1"/>
  <c r="D41" i="9" a="1"/>
  <c r="C41" i="9" a="1"/>
  <c r="B41" i="9" a="1"/>
  <c r="Y40" i="9" a="1"/>
  <c r="X40" i="9" a="1"/>
  <c r="W40" i="9" a="1"/>
  <c r="V40" i="9" a="1"/>
  <c r="U40" i="9" a="1"/>
  <c r="T40" i="9" a="1"/>
  <c r="S40" i="9" a="1"/>
  <c r="R40" i="9" a="1"/>
  <c r="Q40" i="9" a="1"/>
  <c r="P40" i="9" a="1"/>
  <c r="O40" i="9" a="1"/>
  <c r="N40" i="9" a="1"/>
  <c r="M40" i="9" a="1"/>
  <c r="L40" i="9" a="1"/>
  <c r="K40" i="9" a="1"/>
  <c r="J40" i="9" a="1"/>
  <c r="I40" i="9" a="1"/>
  <c r="H40" i="9" a="1"/>
  <c r="G40" i="9" a="1"/>
  <c r="F40" i="9" a="1"/>
  <c r="E40" i="9" a="1"/>
  <c r="D40" i="9" a="1"/>
  <c r="C40" i="9" a="1"/>
  <c r="B40" i="9" a="1"/>
  <c r="Y39" i="9" a="1"/>
  <c r="X39" i="9" a="1"/>
  <c r="W39" i="9" a="1"/>
  <c r="V39" i="9" a="1"/>
  <c r="U39" i="9" a="1"/>
  <c r="T39" i="9" a="1"/>
  <c r="S39" i="9" a="1"/>
  <c r="R39" i="9" a="1"/>
  <c r="Q39" i="9" a="1"/>
  <c r="P39" i="9" a="1"/>
  <c r="O39" i="9" a="1"/>
  <c r="N39" i="9" a="1"/>
  <c r="M39" i="9" a="1"/>
  <c r="L39" i="9" a="1"/>
  <c r="K39" i="9" a="1"/>
  <c r="J39" i="9" a="1"/>
  <c r="I39" i="9" a="1"/>
  <c r="H39" i="9" a="1"/>
  <c r="G39" i="9" a="1"/>
  <c r="F39" i="9" a="1"/>
  <c r="E39" i="9" a="1"/>
  <c r="D39" i="9" a="1"/>
  <c r="C39" i="9" a="1"/>
  <c r="B39" i="9" a="1"/>
  <c r="Y38" i="9" a="1"/>
  <c r="X38" i="9" a="1"/>
  <c r="W38" i="9" a="1"/>
  <c r="V38" i="9" a="1"/>
  <c r="U38" i="9" a="1"/>
  <c r="T38" i="9" a="1"/>
  <c r="S38" i="9" a="1"/>
  <c r="R38" i="9" a="1"/>
  <c r="Q38" i="9" a="1"/>
  <c r="P38" i="9" a="1"/>
  <c r="O38" i="9" a="1"/>
  <c r="N38" i="9" a="1"/>
  <c r="M38" i="9" a="1"/>
  <c r="L38" i="9" a="1"/>
  <c r="K38" i="9" a="1"/>
  <c r="J38" i="9" a="1"/>
  <c r="I38" i="9" a="1"/>
  <c r="H38" i="9" a="1"/>
  <c r="G38" i="9" a="1"/>
  <c r="F38" i="9" a="1"/>
  <c r="E38" i="9" a="1"/>
  <c r="D38" i="9" a="1"/>
  <c r="C38" i="9" a="1"/>
  <c r="B38" i="9" a="1"/>
  <c r="Y37" i="9" a="1"/>
  <c r="X37" i="9" a="1"/>
  <c r="W37" i="9" a="1"/>
  <c r="V37" i="9" a="1"/>
  <c r="U37" i="9" a="1"/>
  <c r="T37" i="9" a="1"/>
  <c r="S37" i="9" a="1"/>
  <c r="R37" i="9" a="1"/>
  <c r="Q37" i="9" a="1"/>
  <c r="P37" i="9" a="1"/>
  <c r="O37" i="9" a="1"/>
  <c r="N37" i="9" a="1"/>
  <c r="M37" i="9" a="1"/>
  <c r="L37" i="9" a="1"/>
  <c r="K37" i="9" a="1"/>
  <c r="J37" i="9" a="1"/>
  <c r="I37" i="9" a="1"/>
  <c r="H37" i="9" a="1"/>
  <c r="G37" i="9" a="1"/>
  <c r="F37" i="9" a="1"/>
  <c r="E37" i="9" a="1"/>
  <c r="D37" i="9" a="1"/>
  <c r="C37" i="9" a="1"/>
  <c r="B37" i="9" a="1"/>
  <c r="Y36" i="9" a="1"/>
  <c r="X36" i="9" a="1"/>
  <c r="W36" i="9" a="1"/>
  <c r="V36" i="9" a="1"/>
  <c r="U36" i="9" a="1"/>
  <c r="T36" i="9" a="1"/>
  <c r="S36" i="9" a="1"/>
  <c r="R36" i="9" a="1"/>
  <c r="Q36" i="9" a="1"/>
  <c r="P36" i="9" a="1"/>
  <c r="O36" i="9" a="1"/>
  <c r="N36" i="9" a="1"/>
  <c r="M36" i="9" a="1"/>
  <c r="L36" i="9" a="1"/>
  <c r="K36" i="9" a="1"/>
  <c r="J36" i="9" a="1"/>
  <c r="I36" i="9" a="1"/>
  <c r="H36" i="9" a="1"/>
  <c r="G36" i="9" a="1"/>
  <c r="F36" i="9" a="1"/>
  <c r="E36" i="9" a="1"/>
  <c r="D36" i="9" a="1"/>
  <c r="C36" i="9" a="1"/>
  <c r="B36" i="9" a="1"/>
  <c r="Y33" i="9" a="1"/>
  <c r="X33" i="9" a="1"/>
  <c r="W33" i="9" a="1"/>
  <c r="V33" i="9" a="1"/>
  <c r="U33" i="9" a="1"/>
  <c r="T33" i="9" a="1"/>
  <c r="S33" i="9" a="1"/>
  <c r="R33" i="9" a="1"/>
  <c r="Q33" i="9" a="1"/>
  <c r="P33" i="9" a="1"/>
  <c r="O33" i="9" a="1"/>
  <c r="N33" i="9" a="1"/>
  <c r="M33" i="9" a="1"/>
  <c r="L33" i="9" a="1"/>
  <c r="K33" i="9" a="1"/>
  <c r="J33" i="9" a="1"/>
  <c r="I33" i="9" a="1"/>
  <c r="H33" i="9" a="1"/>
  <c r="G33" i="9" a="1"/>
  <c r="F33" i="9" a="1"/>
  <c r="E33" i="9" a="1"/>
  <c r="D33" i="9" a="1"/>
  <c r="C33" i="9" a="1"/>
  <c r="B33" i="9" a="1"/>
  <c r="Y32" i="9" a="1"/>
  <c r="X32" i="9" a="1"/>
  <c r="W32" i="9" a="1"/>
  <c r="V32" i="9" a="1"/>
  <c r="U32" i="9" a="1"/>
  <c r="T32" i="9" a="1"/>
  <c r="S32" i="9" a="1"/>
  <c r="R32" i="9" a="1"/>
  <c r="Q32" i="9" a="1"/>
  <c r="P32" i="9" a="1"/>
  <c r="O32" i="9" a="1"/>
  <c r="N32" i="9" a="1"/>
  <c r="M32" i="9" a="1"/>
  <c r="L32" i="9" a="1"/>
  <c r="K32" i="9" a="1"/>
  <c r="J32" i="9" a="1"/>
  <c r="I32" i="9" a="1"/>
  <c r="H32" i="9" a="1"/>
  <c r="G32" i="9" a="1"/>
  <c r="F32" i="9" a="1"/>
  <c r="E32" i="9" a="1"/>
  <c r="D32" i="9" a="1"/>
  <c r="C32" i="9" a="1"/>
  <c r="B32" i="9" a="1"/>
  <c r="Y29" i="9" a="1"/>
  <c r="X29" i="9" a="1"/>
  <c r="W29" i="9" a="1"/>
  <c r="V29" i="9" a="1"/>
  <c r="U29" i="9" a="1"/>
  <c r="T29" i="9" a="1"/>
  <c r="S29" i="9" a="1"/>
  <c r="R29" i="9" a="1"/>
  <c r="Q29" i="9" a="1"/>
  <c r="P29" i="9" a="1"/>
  <c r="O29" i="9" a="1"/>
  <c r="N29" i="9" a="1"/>
  <c r="M29" i="9" a="1"/>
  <c r="L29" i="9" a="1"/>
  <c r="K29" i="9" a="1"/>
  <c r="J29" i="9" a="1"/>
  <c r="I29" i="9" a="1"/>
  <c r="H29" i="9" a="1"/>
  <c r="G29" i="9" a="1"/>
  <c r="F29" i="9" a="1"/>
  <c r="E29" i="9" a="1"/>
  <c r="D29" i="9" a="1"/>
  <c r="C29" i="9" a="1"/>
  <c r="B29" i="9" a="1"/>
  <c r="Y28" i="9" a="1"/>
  <c r="X28" i="9" a="1"/>
  <c r="W28" i="9" a="1"/>
  <c r="V28" i="9" a="1"/>
  <c r="U28" i="9" a="1"/>
  <c r="T28" i="9" a="1"/>
  <c r="S28" i="9" a="1"/>
  <c r="R28" i="9" a="1"/>
  <c r="Q28" i="9" a="1"/>
  <c r="P28" i="9" a="1"/>
  <c r="O28" i="9" a="1"/>
  <c r="N28" i="9" a="1"/>
  <c r="M28" i="9" a="1"/>
  <c r="L28" i="9" a="1"/>
  <c r="K28" i="9" a="1"/>
  <c r="J28" i="9" a="1"/>
  <c r="I28" i="9" a="1"/>
  <c r="H28" i="9" a="1"/>
  <c r="G28" i="9" a="1"/>
  <c r="F28" i="9" a="1"/>
  <c r="E28" i="9" a="1"/>
  <c r="D28" i="9" a="1"/>
  <c r="C28" i="9" a="1"/>
  <c r="B28" i="9" a="1"/>
  <c r="Y27" i="9" a="1"/>
  <c r="X27" i="9" a="1"/>
  <c r="W27" i="9" a="1"/>
  <c r="V27" i="9" a="1"/>
  <c r="U27" i="9" a="1"/>
  <c r="T27" i="9" a="1"/>
  <c r="S27" i="9" a="1"/>
  <c r="R27" i="9" a="1"/>
  <c r="Q27" i="9" a="1"/>
  <c r="P27" i="9" a="1"/>
  <c r="O27" i="9" a="1"/>
  <c r="N27" i="9" a="1"/>
  <c r="M27" i="9" a="1"/>
  <c r="L27" i="9" a="1"/>
  <c r="K27" i="9" a="1"/>
  <c r="J27" i="9" a="1"/>
  <c r="I27" i="9" a="1"/>
  <c r="H27" i="9" a="1"/>
  <c r="G27" i="9" a="1"/>
  <c r="F27" i="9" a="1"/>
  <c r="E27" i="9" a="1"/>
  <c r="D27" i="9" a="1"/>
  <c r="C27" i="9" a="1"/>
  <c r="B27" i="9" a="1"/>
  <c r="Y26" i="9" a="1"/>
  <c r="X26" i="9" a="1"/>
  <c r="W26" i="9" a="1"/>
  <c r="V26" i="9" a="1"/>
  <c r="U26" i="9" a="1"/>
  <c r="T26" i="9" a="1"/>
  <c r="S26" i="9" a="1"/>
  <c r="R26" i="9" a="1"/>
  <c r="Q26" i="9" a="1"/>
  <c r="P26" i="9" a="1"/>
  <c r="O26" i="9" a="1"/>
  <c r="N26" i="9" a="1"/>
  <c r="M26" i="9" a="1"/>
  <c r="L26" i="9" a="1"/>
  <c r="K26" i="9" a="1"/>
  <c r="J26" i="9" a="1"/>
  <c r="I26" i="9" a="1"/>
  <c r="H26" i="9" a="1"/>
  <c r="G26" i="9" a="1"/>
  <c r="F26" i="9" a="1"/>
  <c r="E26" i="9" a="1"/>
  <c r="D26" i="9" a="1"/>
  <c r="C26" i="9" a="1"/>
  <c r="B26" i="9" a="1"/>
  <c r="Y25" i="9" a="1"/>
  <c r="X25" i="9" a="1"/>
  <c r="W25" i="9" a="1"/>
  <c r="V25" i="9" a="1"/>
  <c r="U25" i="9" a="1"/>
  <c r="T25" i="9" a="1"/>
  <c r="S25" i="9" a="1"/>
  <c r="R25" i="9" a="1"/>
  <c r="Q25" i="9" a="1"/>
  <c r="P25" i="9" a="1"/>
  <c r="O25" i="9" a="1"/>
  <c r="N25" i="9" a="1"/>
  <c r="M25" i="9" a="1"/>
  <c r="L25" i="9" a="1"/>
  <c r="K25" i="9" a="1"/>
  <c r="J25" i="9" a="1"/>
  <c r="I25" i="9" a="1"/>
  <c r="H25" i="9" a="1"/>
  <c r="G25" i="9" a="1"/>
  <c r="F25" i="9" a="1"/>
  <c r="E25" i="9" a="1"/>
  <c r="D25" i="9" a="1"/>
  <c r="C25" i="9" a="1"/>
  <c r="B25" i="9" a="1"/>
  <c r="Y24" i="9" a="1"/>
  <c r="X24" i="9" a="1"/>
  <c r="W24" i="9" a="1"/>
  <c r="V24" i="9" a="1"/>
  <c r="U24" i="9" a="1"/>
  <c r="T24" i="9" a="1"/>
  <c r="S24" i="9" a="1"/>
  <c r="R24" i="9" a="1"/>
  <c r="Q24" i="9" a="1"/>
  <c r="P24" i="9" a="1"/>
  <c r="O24" i="9" a="1"/>
  <c r="N24" i="9" a="1"/>
  <c r="M24" i="9" a="1"/>
  <c r="L24" i="9" a="1"/>
  <c r="K24" i="9" a="1"/>
  <c r="J24" i="9" a="1"/>
  <c r="I24" i="9" a="1"/>
  <c r="H24" i="9" a="1"/>
  <c r="G24" i="9" a="1"/>
  <c r="F24" i="9" a="1"/>
  <c r="E24" i="9" a="1"/>
  <c r="D24" i="9" a="1"/>
  <c r="C24" i="9" a="1"/>
  <c r="B24" i="9" a="1"/>
  <c r="Y23" i="9" a="1"/>
  <c r="X23" i="9" a="1"/>
  <c r="W23" i="9" a="1"/>
  <c r="V23" i="9" a="1"/>
  <c r="U23" i="9" a="1"/>
  <c r="T23" i="9" a="1"/>
  <c r="S23" i="9" a="1"/>
  <c r="R23" i="9" a="1"/>
  <c r="Q23" i="9" a="1"/>
  <c r="P23" i="9" a="1"/>
  <c r="O23" i="9" a="1"/>
  <c r="N23" i="9" a="1"/>
  <c r="M23" i="9" a="1"/>
  <c r="L23" i="9" a="1"/>
  <c r="K23" i="9" a="1"/>
  <c r="J23" i="9" a="1"/>
  <c r="I23" i="9" a="1"/>
  <c r="H23" i="9" a="1"/>
  <c r="G23" i="9" a="1"/>
  <c r="F23" i="9" a="1"/>
  <c r="E23" i="9" a="1"/>
  <c r="D23" i="9" a="1"/>
  <c r="C23" i="9" a="1"/>
  <c r="B23" i="9" a="1"/>
  <c r="Y20" i="9" a="1"/>
  <c r="X20" i="9" a="1"/>
  <c r="W20" i="9" a="1"/>
  <c r="V20" i="9" a="1"/>
  <c r="U20" i="9" a="1"/>
  <c r="T20" i="9" a="1"/>
  <c r="S20" i="9" a="1"/>
  <c r="R20" i="9" a="1"/>
  <c r="Q20" i="9" a="1"/>
  <c r="P20" i="9" a="1"/>
  <c r="O20" i="9" a="1"/>
  <c r="N20" i="9" a="1"/>
  <c r="M20" i="9" a="1"/>
  <c r="L20" i="9" a="1"/>
  <c r="K20" i="9" a="1"/>
  <c r="J20" i="9" a="1"/>
  <c r="I20" i="9" a="1"/>
  <c r="H20" i="9" a="1"/>
  <c r="G20" i="9" a="1"/>
  <c r="F20" i="9" a="1"/>
  <c r="E20" i="9" a="1"/>
  <c r="D20" i="9" a="1"/>
  <c r="C20" i="9" a="1"/>
  <c r="B20" i="9" a="1"/>
  <c r="Y19" i="9" a="1"/>
  <c r="X19" i="9" a="1"/>
  <c r="W19" i="9" a="1"/>
  <c r="V19" i="9" a="1"/>
  <c r="U19" i="9" a="1"/>
  <c r="T19" i="9" a="1"/>
  <c r="S19" i="9" a="1"/>
  <c r="R19" i="9" a="1"/>
  <c r="Q19" i="9" a="1"/>
  <c r="P19" i="9" a="1"/>
  <c r="O19" i="9" a="1"/>
  <c r="N19" i="9" a="1"/>
  <c r="M19" i="9" a="1"/>
  <c r="L19" i="9" a="1"/>
  <c r="K19" i="9" a="1"/>
  <c r="J19" i="9" a="1"/>
  <c r="I19" i="9" a="1"/>
  <c r="H19" i="9" a="1"/>
  <c r="G19" i="9" a="1"/>
  <c r="F19" i="9" a="1"/>
  <c r="E19" i="9" a="1"/>
  <c r="D19" i="9" a="1"/>
  <c r="C19" i="9" a="1"/>
  <c r="B19" i="9" a="1"/>
  <c r="Y18" i="9" a="1"/>
  <c r="X18" i="9" a="1"/>
  <c r="W18" i="9" a="1"/>
  <c r="V18" i="9" a="1"/>
  <c r="U18" i="9" a="1"/>
  <c r="T18" i="9" a="1"/>
  <c r="S18" i="9" a="1"/>
  <c r="R18" i="9" a="1"/>
  <c r="Q18" i="9" a="1"/>
  <c r="P18" i="9" a="1"/>
  <c r="O18" i="9" a="1"/>
  <c r="N18" i="9" a="1"/>
  <c r="M18" i="9" a="1"/>
  <c r="L18" i="9" a="1"/>
  <c r="K18" i="9" a="1"/>
  <c r="J18" i="9" a="1"/>
  <c r="I18" i="9" a="1"/>
  <c r="H18" i="9" a="1"/>
  <c r="G18" i="9" a="1"/>
  <c r="F18" i="9" a="1"/>
  <c r="E18" i="9" a="1"/>
  <c r="D18" i="9" a="1"/>
  <c r="C18" i="9" a="1"/>
  <c r="B18" i="9" a="1"/>
  <c r="Y17" i="9" a="1"/>
  <c r="X17" i="9" a="1"/>
  <c r="W17" i="9" a="1"/>
  <c r="V17" i="9" a="1"/>
  <c r="U17" i="9" a="1"/>
  <c r="T17" i="9" a="1"/>
  <c r="S17" i="9" a="1"/>
  <c r="R17" i="9" a="1"/>
  <c r="Q17" i="9" a="1"/>
  <c r="P17" i="9" a="1"/>
  <c r="O17" i="9" a="1"/>
  <c r="N17" i="9" a="1"/>
  <c r="M17" i="9" a="1"/>
  <c r="L17" i="9" a="1"/>
  <c r="K17" i="9" a="1"/>
  <c r="J17" i="9" a="1"/>
  <c r="I17" i="9" a="1"/>
  <c r="H17" i="9" a="1"/>
  <c r="G17" i="9" a="1"/>
  <c r="F17" i="9" a="1"/>
  <c r="E17" i="9" a="1"/>
  <c r="D17" i="9" a="1"/>
  <c r="C17" i="9" a="1"/>
  <c r="B17" i="9" a="1"/>
  <c r="Y16" i="9" a="1"/>
  <c r="X16" i="9" a="1"/>
  <c r="W16" i="9" a="1"/>
  <c r="V16" i="9" a="1"/>
  <c r="U16" i="9" a="1"/>
  <c r="T16" i="9" a="1"/>
  <c r="S16" i="9" a="1"/>
  <c r="R16" i="9" a="1"/>
  <c r="Q16" i="9" a="1"/>
  <c r="P16" i="9" a="1"/>
  <c r="O16" i="9" a="1"/>
  <c r="N16" i="9" a="1"/>
  <c r="M16" i="9" a="1"/>
  <c r="L16" i="9" a="1"/>
  <c r="K16" i="9" a="1"/>
  <c r="J16" i="9" a="1"/>
  <c r="I16" i="9" a="1"/>
  <c r="H16" i="9" a="1"/>
  <c r="G16" i="9" a="1"/>
  <c r="F16" i="9" a="1"/>
  <c r="E16" i="9" a="1"/>
  <c r="D16" i="9" a="1"/>
  <c r="C16" i="9" a="1"/>
  <c r="B16" i="9" a="1"/>
  <c r="Y15" i="9" a="1"/>
  <c r="X15" i="9" a="1"/>
  <c r="W15" i="9" a="1"/>
  <c r="V15" i="9" a="1"/>
  <c r="U15" i="9" a="1"/>
  <c r="T15" i="9" a="1"/>
  <c r="S15" i="9" a="1"/>
  <c r="R15" i="9" a="1"/>
  <c r="Q15" i="9" a="1"/>
  <c r="P15" i="9" a="1"/>
  <c r="O15" i="9" a="1"/>
  <c r="N15" i="9" a="1"/>
  <c r="M15" i="9" a="1"/>
  <c r="L15" i="9" a="1"/>
  <c r="K15" i="9" a="1"/>
  <c r="J15" i="9" a="1"/>
  <c r="I15" i="9" a="1"/>
  <c r="H15" i="9" a="1"/>
  <c r="G15" i="9" a="1"/>
  <c r="F15" i="9" a="1"/>
  <c r="E15" i="9" a="1"/>
  <c r="D15" i="9" a="1"/>
  <c r="C15" i="9" a="1"/>
  <c r="B15" i="9" a="1"/>
  <c r="Y11" i="9" a="1"/>
  <c r="X11" i="9" a="1"/>
  <c r="W11" i="9" a="1"/>
  <c r="V11" i="9" a="1"/>
  <c r="U11" i="9" a="1"/>
  <c r="T11" i="9" a="1"/>
  <c r="S11" i="9" a="1"/>
  <c r="R11" i="9" a="1"/>
  <c r="Q11" i="9" a="1"/>
  <c r="P11" i="9" a="1"/>
  <c r="O11" i="9" a="1"/>
  <c r="N11" i="9" a="1"/>
  <c r="M11" i="9" a="1"/>
  <c r="L11" i="9" a="1"/>
  <c r="K11" i="9" a="1"/>
  <c r="J11" i="9" a="1"/>
  <c r="I11" i="9" a="1"/>
  <c r="H11" i="9" a="1"/>
  <c r="G11" i="9" a="1"/>
  <c r="F11" i="9" a="1"/>
  <c r="E11" i="9" a="1"/>
  <c r="D11" i="9" a="1"/>
  <c r="C11" i="9" a="1"/>
  <c r="B11" i="9" a="1"/>
  <c r="Y10" i="9" a="1"/>
  <c r="X10" i="9" a="1"/>
  <c r="W10" i="9" a="1"/>
  <c r="V10" i="9" a="1"/>
  <c r="U10" i="9" a="1"/>
  <c r="T10" i="9" a="1"/>
  <c r="S10" i="9" a="1"/>
  <c r="R10" i="9" a="1"/>
  <c r="Q10" i="9" a="1"/>
  <c r="P10" i="9" a="1"/>
  <c r="O10" i="9" a="1"/>
  <c r="N10" i="9" a="1"/>
  <c r="M10" i="9" a="1"/>
  <c r="L10" i="9" a="1"/>
  <c r="K10" i="9" a="1"/>
  <c r="J10" i="9" a="1"/>
  <c r="I10" i="9" a="1"/>
  <c r="H10" i="9" a="1"/>
  <c r="G10" i="9" a="1"/>
  <c r="F10" i="9" a="1"/>
  <c r="E10" i="9" a="1"/>
  <c r="D10" i="9" a="1"/>
  <c r="C10" i="9" a="1"/>
  <c r="B10" i="9" a="1"/>
  <c r="Y9" i="9" a="1"/>
  <c r="X9" i="9" a="1"/>
  <c r="W9" i="9" a="1"/>
  <c r="V9" i="9" a="1"/>
  <c r="U9" i="9" a="1"/>
  <c r="T9" i="9" a="1"/>
  <c r="S9" i="9" a="1"/>
  <c r="R9" i="9" a="1"/>
  <c r="Q9" i="9" a="1"/>
  <c r="P9" i="9" a="1"/>
  <c r="O9" i="9" a="1"/>
  <c r="N9" i="9" a="1"/>
  <c r="M9" i="9" a="1"/>
  <c r="L9" i="9" a="1"/>
  <c r="K9" i="9" a="1"/>
  <c r="J9" i="9" a="1"/>
  <c r="I9" i="9" a="1"/>
  <c r="H9" i="9" a="1"/>
  <c r="G9" i="9" a="1"/>
  <c r="F9" i="9" a="1"/>
  <c r="E9" i="9" a="1"/>
  <c r="D9" i="9" a="1"/>
  <c r="C9" i="9" a="1"/>
  <c r="B9" i="9" a="1"/>
  <c r="Y8" i="9" a="1"/>
  <c r="X8" i="9" a="1"/>
  <c r="W8" i="9" a="1"/>
  <c r="V8" i="9" a="1"/>
  <c r="U8" i="9" a="1"/>
  <c r="T8" i="9" a="1"/>
  <c r="S8" i="9" a="1"/>
  <c r="R8" i="9" a="1"/>
  <c r="Q8" i="9" a="1"/>
  <c r="P8" i="9" a="1"/>
  <c r="O8" i="9" a="1"/>
  <c r="N8" i="9" a="1"/>
  <c r="M8" i="9" a="1"/>
  <c r="L8" i="9" a="1"/>
  <c r="K8" i="9" a="1"/>
  <c r="J8" i="9" a="1"/>
  <c r="I8" i="9" a="1"/>
  <c r="H8" i="9" a="1"/>
  <c r="G8" i="9" a="1"/>
  <c r="F8" i="9" a="1"/>
  <c r="E8" i="9" a="1"/>
  <c r="D8" i="9" a="1"/>
  <c r="C8" i="9" a="1"/>
  <c r="B8" i="9" a="1"/>
  <c r="X34" i="770" l="1"/>
  <c r="W12" i="771"/>
  <c r="V47" i="772"/>
  <c r="W12" i="775"/>
  <c r="W30" i="775"/>
  <c r="W34" i="775"/>
  <c r="V12" i="776"/>
  <c r="Y12" i="777"/>
  <c r="X12" i="778"/>
  <c r="W12" i="779"/>
  <c r="V47" i="780"/>
  <c r="V34" i="769"/>
  <c r="X12" i="775"/>
  <c r="X30" i="775"/>
  <c r="X34" i="775"/>
  <c r="V47" i="777"/>
  <c r="Y21" i="782"/>
  <c r="X21" i="783"/>
  <c r="W12" i="784"/>
  <c r="V12" i="785"/>
  <c r="V30" i="785"/>
  <c r="V47" i="785"/>
  <c r="Y34" i="786"/>
  <c r="V47" i="774"/>
  <c r="X34" i="780"/>
  <c r="X34" i="784"/>
  <c r="X47" i="784"/>
  <c r="V47" i="771"/>
  <c r="X42" i="773"/>
  <c r="Y42" i="776"/>
  <c r="X21" i="777"/>
  <c r="X42" i="781"/>
  <c r="W30" i="782"/>
  <c r="V12" i="783"/>
  <c r="V21" i="787"/>
  <c r="V34" i="787"/>
  <c r="W34" i="776"/>
  <c r="Y34" i="782"/>
  <c r="Y43" i="786"/>
  <c r="Y47" i="768"/>
  <c r="X47" i="781"/>
  <c r="Y47" i="784"/>
  <c r="Y21" i="787"/>
  <c r="W12" i="787"/>
  <c r="W30" i="787"/>
  <c r="W47" i="787"/>
  <c r="X12" i="787"/>
  <c r="X34" i="787"/>
  <c r="X47" i="787"/>
  <c r="Y12" i="787"/>
  <c r="Y34" i="787"/>
  <c r="Y47" i="787"/>
  <c r="Y12" i="786"/>
  <c r="H48" i="786"/>
  <c r="P48" i="786"/>
  <c r="X21" i="786"/>
  <c r="D43" i="786"/>
  <c r="D48" i="786" s="1"/>
  <c r="L43" i="786"/>
  <c r="L48" i="786" s="1"/>
  <c r="T43" i="786"/>
  <c r="T48" i="786" s="1"/>
  <c r="X42" i="786"/>
  <c r="G48" i="786"/>
  <c r="O48" i="786"/>
  <c r="G43" i="786"/>
  <c r="O43" i="786"/>
  <c r="W30" i="786"/>
  <c r="W43" i="786" s="1"/>
  <c r="W48" i="786" s="1"/>
  <c r="W34" i="786"/>
  <c r="W47" i="786"/>
  <c r="V34" i="785"/>
  <c r="W12" i="785"/>
  <c r="M48" i="785"/>
  <c r="I43" i="785"/>
  <c r="I48" i="785" s="1"/>
  <c r="Q43" i="785"/>
  <c r="Q48" i="785" s="1"/>
  <c r="Y34" i="785"/>
  <c r="Y47" i="785"/>
  <c r="W42" i="785"/>
  <c r="W43" i="785" s="1"/>
  <c r="Y21" i="785"/>
  <c r="C43" i="784"/>
  <c r="C48" i="784" s="1"/>
  <c r="K43" i="784"/>
  <c r="K48" i="784" s="1"/>
  <c r="S43" i="784"/>
  <c r="S48" i="784" s="1"/>
  <c r="W21" i="784"/>
  <c r="X12" i="784"/>
  <c r="H43" i="784"/>
  <c r="P43" i="784"/>
  <c r="Y34" i="784"/>
  <c r="X30" i="783"/>
  <c r="X34" i="783"/>
  <c r="Y34" i="783"/>
  <c r="B43" i="783"/>
  <c r="B48" i="783" s="1"/>
  <c r="W21" i="783"/>
  <c r="C43" i="783"/>
  <c r="K43" i="783"/>
  <c r="S43" i="783"/>
  <c r="D43" i="783"/>
  <c r="L43" i="783"/>
  <c r="T43" i="783"/>
  <c r="Y21" i="783"/>
  <c r="Y12" i="782"/>
  <c r="W34" i="782"/>
  <c r="H43" i="782"/>
  <c r="H48" i="782" s="1"/>
  <c r="P43" i="782"/>
  <c r="P48" i="782" s="1"/>
  <c r="X30" i="782"/>
  <c r="X43" i="782" s="1"/>
  <c r="X48" i="782" s="1"/>
  <c r="X34" i="782"/>
  <c r="X47" i="782"/>
  <c r="E43" i="781"/>
  <c r="M43" i="781"/>
  <c r="M48" i="781" s="1"/>
  <c r="U43" i="781"/>
  <c r="W34" i="781"/>
  <c r="Y30" i="781"/>
  <c r="X34" i="781"/>
  <c r="V34" i="780"/>
  <c r="W34" i="780"/>
  <c r="W21" i="780"/>
  <c r="X21" i="780"/>
  <c r="L43" i="780"/>
  <c r="T43" i="780"/>
  <c r="E43" i="780"/>
  <c r="M43" i="780"/>
  <c r="M48" i="780" s="1"/>
  <c r="C43" i="779"/>
  <c r="C48" i="779" s="1"/>
  <c r="K43" i="779"/>
  <c r="K48" i="779" s="1"/>
  <c r="S43" i="779"/>
  <c r="S48" i="779" s="1"/>
  <c r="W21" i="779"/>
  <c r="G43" i="779"/>
  <c r="O43" i="779"/>
  <c r="W34" i="779"/>
  <c r="W47" i="779"/>
  <c r="Y12" i="779"/>
  <c r="I43" i="779"/>
  <c r="Q43" i="779"/>
  <c r="Y34" i="779"/>
  <c r="Y47" i="779"/>
  <c r="Y12" i="778"/>
  <c r="Y34" i="778"/>
  <c r="D43" i="778"/>
  <c r="L43" i="778"/>
  <c r="T43" i="778"/>
  <c r="W12" i="778"/>
  <c r="V30" i="777"/>
  <c r="W21" i="777"/>
  <c r="W34" i="777"/>
  <c r="Y21" i="777"/>
  <c r="I43" i="777"/>
  <c r="I48" i="777" s="1"/>
  <c r="Q43" i="777"/>
  <c r="Q48" i="777" s="1"/>
  <c r="Y30" i="777"/>
  <c r="Y34" i="777"/>
  <c r="Y47" i="777"/>
  <c r="B43" i="777"/>
  <c r="B43" i="776"/>
  <c r="B48" i="776" s="1"/>
  <c r="W21" i="776"/>
  <c r="W42" i="776"/>
  <c r="W12" i="776"/>
  <c r="X21" i="776"/>
  <c r="Y12" i="775"/>
  <c r="Y34" i="775"/>
  <c r="Y43" i="775" s="1"/>
  <c r="Y48" i="775" s="1"/>
  <c r="K43" i="775"/>
  <c r="W42" i="775"/>
  <c r="H48" i="775"/>
  <c r="P48" i="775"/>
  <c r="X21" i="775"/>
  <c r="D43" i="775"/>
  <c r="D48" i="775" s="1"/>
  <c r="L43" i="775"/>
  <c r="T43" i="775"/>
  <c r="X42" i="775"/>
  <c r="G48" i="775"/>
  <c r="O48" i="775"/>
  <c r="C43" i="775"/>
  <c r="W21" i="775"/>
  <c r="S43" i="775"/>
  <c r="H43" i="774"/>
  <c r="P43" i="774"/>
  <c r="P48" i="774" s="1"/>
  <c r="X34" i="774"/>
  <c r="X47" i="774"/>
  <c r="I48" i="774"/>
  <c r="Y12" i="774"/>
  <c r="I43" i="774"/>
  <c r="Q43" i="774"/>
  <c r="Q48" i="774" s="1"/>
  <c r="Y34" i="774"/>
  <c r="Y47" i="774"/>
  <c r="B43" i="773"/>
  <c r="B48" i="773" s="1"/>
  <c r="K43" i="773"/>
  <c r="K48" i="773" s="1"/>
  <c r="X12" i="773"/>
  <c r="Y21" i="773"/>
  <c r="E43" i="773"/>
  <c r="M43" i="773"/>
  <c r="M48" i="773" s="1"/>
  <c r="U43" i="773"/>
  <c r="C43" i="773"/>
  <c r="C48" i="773" s="1"/>
  <c r="W21" i="773"/>
  <c r="G43" i="773"/>
  <c r="O43" i="773"/>
  <c r="W34" i="773"/>
  <c r="W47" i="773"/>
  <c r="S43" i="773"/>
  <c r="S48" i="773" s="1"/>
  <c r="X21" i="773"/>
  <c r="X21" i="772"/>
  <c r="W12" i="772"/>
  <c r="P48" i="772"/>
  <c r="L43" i="772"/>
  <c r="L48" i="772" s="1"/>
  <c r="T43" i="772"/>
  <c r="T48" i="772"/>
  <c r="Y21" i="772"/>
  <c r="C43" i="771"/>
  <c r="C48" i="771" s="1"/>
  <c r="X21" i="771"/>
  <c r="W21" i="771"/>
  <c r="G43" i="771"/>
  <c r="G48" i="771" s="1"/>
  <c r="O43" i="771"/>
  <c r="O48" i="771" s="1"/>
  <c r="W30" i="771"/>
  <c r="W34" i="771"/>
  <c r="W47" i="771"/>
  <c r="H43" i="771"/>
  <c r="H48" i="771" s="1"/>
  <c r="P43" i="771"/>
  <c r="P48" i="771" s="1"/>
  <c r="X30" i="771"/>
  <c r="X34" i="771"/>
  <c r="X47" i="771"/>
  <c r="S43" i="771"/>
  <c r="Y34" i="771"/>
  <c r="Y43" i="771" s="1"/>
  <c r="K43" i="771"/>
  <c r="K48" i="771" s="1"/>
  <c r="X42" i="771"/>
  <c r="Y30" i="770"/>
  <c r="B43" i="770"/>
  <c r="W21" i="770"/>
  <c r="D43" i="770"/>
  <c r="L43" i="770"/>
  <c r="T43" i="770"/>
  <c r="E43" i="770"/>
  <c r="E48" i="770" s="1"/>
  <c r="M43" i="770"/>
  <c r="M48" i="770" s="1"/>
  <c r="U43" i="770"/>
  <c r="X12" i="770"/>
  <c r="W34" i="769"/>
  <c r="W43" i="769" s="1"/>
  <c r="W48" i="769" s="1"/>
  <c r="X34" i="769"/>
  <c r="I43" i="769"/>
  <c r="I48" i="769" s="1"/>
  <c r="Q43" i="769"/>
  <c r="Q48" i="769" s="1"/>
  <c r="Y30" i="769"/>
  <c r="Y34" i="769"/>
  <c r="Y47" i="769"/>
  <c r="B43" i="769"/>
  <c r="X21" i="769"/>
  <c r="X43" i="769" s="1"/>
  <c r="W42" i="768"/>
  <c r="W43" i="768" s="1"/>
  <c r="B43" i="768"/>
  <c r="B48" i="768" s="1"/>
  <c r="X34" i="767"/>
  <c r="W21" i="767"/>
  <c r="C43" i="767"/>
  <c r="K43" i="767"/>
  <c r="S43" i="767"/>
  <c r="L43" i="767"/>
  <c r="L48" i="767" s="1"/>
  <c r="T43" i="767"/>
  <c r="V47" i="787"/>
  <c r="V42" i="787"/>
  <c r="V30" i="787"/>
  <c r="R43" i="787"/>
  <c r="R48" i="787" s="1"/>
  <c r="N48" i="787"/>
  <c r="J43" i="787"/>
  <c r="J48" i="787" s="1"/>
  <c r="F48" i="787"/>
  <c r="V12" i="787"/>
  <c r="V47" i="786"/>
  <c r="V42" i="786"/>
  <c r="V34" i="786"/>
  <c r="N43" i="786"/>
  <c r="N48" i="786" s="1"/>
  <c r="F43" i="786"/>
  <c r="F48" i="786" s="1"/>
  <c r="V30" i="786"/>
  <c r="V21" i="786"/>
  <c r="V12" i="786"/>
  <c r="V42" i="785"/>
  <c r="R43" i="785"/>
  <c r="J43" i="785"/>
  <c r="V21" i="785"/>
  <c r="V43" i="785" s="1"/>
  <c r="N48" i="785"/>
  <c r="F48" i="785"/>
  <c r="V47" i="784"/>
  <c r="V34" i="784"/>
  <c r="N43" i="784"/>
  <c r="N48" i="784" s="1"/>
  <c r="F43" i="784"/>
  <c r="F48" i="784" s="1"/>
  <c r="V30" i="784"/>
  <c r="V21" i="784"/>
  <c r="V43" i="784" s="1"/>
  <c r="V48" i="784" s="1"/>
  <c r="V47" i="783"/>
  <c r="V42" i="783"/>
  <c r="V34" i="783"/>
  <c r="N43" i="783"/>
  <c r="N48" i="783" s="1"/>
  <c r="F43" i="783"/>
  <c r="F48" i="783" s="1"/>
  <c r="V30" i="783"/>
  <c r="R43" i="783"/>
  <c r="R48" i="783" s="1"/>
  <c r="J43" i="783"/>
  <c r="J48" i="783" s="1"/>
  <c r="V21" i="783"/>
  <c r="V43" i="783" s="1"/>
  <c r="V48" i="783" s="1"/>
  <c r="V47" i="782"/>
  <c r="V42" i="782"/>
  <c r="V34" i="782"/>
  <c r="N48" i="782"/>
  <c r="R43" i="782"/>
  <c r="R48" i="782" s="1"/>
  <c r="V21" i="782"/>
  <c r="J43" i="782"/>
  <c r="J48" i="782" s="1"/>
  <c r="F48" i="782"/>
  <c r="V12" i="782"/>
  <c r="V47" i="781"/>
  <c r="F43" i="781"/>
  <c r="V34" i="781"/>
  <c r="N43" i="781"/>
  <c r="N48" i="781" s="1"/>
  <c r="F48" i="781"/>
  <c r="V30" i="781"/>
  <c r="V21" i="781"/>
  <c r="V12" i="781"/>
  <c r="V42" i="780"/>
  <c r="R43" i="780"/>
  <c r="J43" i="780"/>
  <c r="V30" i="780"/>
  <c r="F48" i="780"/>
  <c r="V21" i="780"/>
  <c r="N48" i="780"/>
  <c r="V12" i="780"/>
  <c r="V47" i="779"/>
  <c r="V42" i="779"/>
  <c r="V34" i="779"/>
  <c r="R43" i="779"/>
  <c r="R48" i="779" s="1"/>
  <c r="N48" i="779"/>
  <c r="J43" i="779"/>
  <c r="J48" i="779" s="1"/>
  <c r="F48" i="779"/>
  <c r="V12" i="779"/>
  <c r="V47" i="778"/>
  <c r="V34" i="778"/>
  <c r="N43" i="778"/>
  <c r="N48" i="778" s="1"/>
  <c r="F43" i="778"/>
  <c r="F48" i="778" s="1"/>
  <c r="V30" i="778"/>
  <c r="R43" i="778"/>
  <c r="R48" i="778" s="1"/>
  <c r="J43" i="778"/>
  <c r="J48" i="778" s="1"/>
  <c r="V21" i="778"/>
  <c r="V12" i="778"/>
  <c r="V42" i="777"/>
  <c r="R43" i="777"/>
  <c r="R48" i="777" s="1"/>
  <c r="N48" i="777"/>
  <c r="V21" i="777"/>
  <c r="J43" i="777"/>
  <c r="J48" i="777" s="1"/>
  <c r="F48" i="777"/>
  <c r="V12" i="777"/>
  <c r="V47" i="776"/>
  <c r="V42" i="776"/>
  <c r="V34" i="776"/>
  <c r="N43" i="776"/>
  <c r="N48" i="776" s="1"/>
  <c r="F43" i="776"/>
  <c r="F48" i="776" s="1"/>
  <c r="V30" i="776"/>
  <c r="R43" i="776"/>
  <c r="R48" i="776" s="1"/>
  <c r="J43" i="776"/>
  <c r="J48" i="776" s="1"/>
  <c r="V21" i="776"/>
  <c r="V43" i="776" s="1"/>
  <c r="V48" i="776" s="1"/>
  <c r="V47" i="775"/>
  <c r="V42" i="775"/>
  <c r="V34" i="775"/>
  <c r="N48" i="775"/>
  <c r="F43" i="775"/>
  <c r="V30" i="775"/>
  <c r="F48" i="775"/>
  <c r="V21" i="775"/>
  <c r="V12" i="775"/>
  <c r="V42" i="774"/>
  <c r="R43" i="774"/>
  <c r="J43" i="774"/>
  <c r="V30" i="774"/>
  <c r="F48" i="774"/>
  <c r="V21" i="774"/>
  <c r="N48" i="774"/>
  <c r="V47" i="773"/>
  <c r="V42" i="773"/>
  <c r="F43" i="773"/>
  <c r="F48" i="773" s="1"/>
  <c r="V34" i="773"/>
  <c r="N43" i="773"/>
  <c r="N48" i="773" s="1"/>
  <c r="V30" i="773"/>
  <c r="R43" i="773"/>
  <c r="R48" i="773" s="1"/>
  <c r="J43" i="773"/>
  <c r="J48" i="773" s="1"/>
  <c r="V21" i="773"/>
  <c r="V12" i="773"/>
  <c r="V42" i="772"/>
  <c r="V34" i="772"/>
  <c r="V30" i="772"/>
  <c r="N43" i="772"/>
  <c r="N48" i="772" s="1"/>
  <c r="R43" i="772"/>
  <c r="R48" i="772" s="1"/>
  <c r="V21" i="772"/>
  <c r="J43" i="772"/>
  <c r="J48" i="772" s="1"/>
  <c r="F48" i="772"/>
  <c r="V12" i="772"/>
  <c r="V42" i="771"/>
  <c r="R43" i="771"/>
  <c r="J43" i="771"/>
  <c r="V30" i="771"/>
  <c r="F48" i="771"/>
  <c r="V21" i="771"/>
  <c r="N48" i="771"/>
  <c r="V12" i="771"/>
  <c r="V47" i="770"/>
  <c r="V42" i="770"/>
  <c r="N43" i="770"/>
  <c r="N48" i="770" s="1"/>
  <c r="V34" i="770"/>
  <c r="F43" i="770"/>
  <c r="F48" i="770" s="1"/>
  <c r="V30" i="770"/>
  <c r="R43" i="770"/>
  <c r="R48" i="770" s="1"/>
  <c r="J43" i="770"/>
  <c r="J48" i="770" s="1"/>
  <c r="V21" i="770"/>
  <c r="V12" i="770"/>
  <c r="V42" i="769"/>
  <c r="V30" i="769"/>
  <c r="V43" i="769" s="1"/>
  <c r="V48" i="769" s="1"/>
  <c r="R43" i="769"/>
  <c r="R48" i="769" s="1"/>
  <c r="N48" i="769"/>
  <c r="V21" i="769"/>
  <c r="J43" i="769"/>
  <c r="J48" i="769" s="1"/>
  <c r="F48" i="769"/>
  <c r="V12" i="769"/>
  <c r="V47" i="768"/>
  <c r="V42" i="768"/>
  <c r="V34" i="768"/>
  <c r="N43" i="768"/>
  <c r="N48" i="768" s="1"/>
  <c r="F43" i="768"/>
  <c r="F48" i="768" s="1"/>
  <c r="V30" i="768"/>
  <c r="V43" i="768" s="1"/>
  <c r="V48" i="768" s="1"/>
  <c r="R43" i="768"/>
  <c r="R48" i="768" s="1"/>
  <c r="J43" i="768"/>
  <c r="J48" i="768" s="1"/>
  <c r="V21" i="768"/>
  <c r="V12" i="768"/>
  <c r="V47" i="767"/>
  <c r="V42" i="767"/>
  <c r="V34" i="767"/>
  <c r="N43" i="767"/>
  <c r="N48" i="767" s="1"/>
  <c r="J43" i="767"/>
  <c r="V30" i="767"/>
  <c r="F48" i="767"/>
  <c r="V21" i="767"/>
  <c r="V12" i="767"/>
  <c r="B43" i="787"/>
  <c r="B48" i="787" s="1"/>
  <c r="C43" i="787"/>
  <c r="W42" i="787"/>
  <c r="W34" i="787"/>
  <c r="G43" i="787"/>
  <c r="G48" i="787" s="1"/>
  <c r="W21" i="787"/>
  <c r="H43" i="787"/>
  <c r="H48" i="787" s="1"/>
  <c r="X30" i="787"/>
  <c r="Q43" i="787"/>
  <c r="Q48" i="787" s="1"/>
  <c r="I43" i="787"/>
  <c r="I48" i="787" s="1"/>
  <c r="Y30" i="787"/>
  <c r="Y43" i="787" s="1"/>
  <c r="Y48" i="787" s="1"/>
  <c r="W30" i="784"/>
  <c r="W43" i="784" s="1"/>
  <c r="W48" i="784" s="1"/>
  <c r="G48" i="784"/>
  <c r="T48" i="784"/>
  <c r="P48" i="784"/>
  <c r="L48" i="784"/>
  <c r="X42" i="784"/>
  <c r="X30" i="784"/>
  <c r="X43" i="784" s="1"/>
  <c r="X48" i="784" s="1"/>
  <c r="D48" i="784"/>
  <c r="H48" i="784"/>
  <c r="U48" i="784"/>
  <c r="Y12" i="784"/>
  <c r="M48" i="784"/>
  <c r="Y30" i="784"/>
  <c r="E48" i="784"/>
  <c r="O48" i="783"/>
  <c r="W42" i="783"/>
  <c r="W43" i="783" s="1"/>
  <c r="W48" i="783" s="1"/>
  <c r="G48" i="783"/>
  <c r="T48" i="783"/>
  <c r="P48" i="783"/>
  <c r="L48" i="783"/>
  <c r="X42" i="783"/>
  <c r="H48" i="783"/>
  <c r="X12" i="783"/>
  <c r="D48" i="783"/>
  <c r="Q48" i="783"/>
  <c r="M43" i="783"/>
  <c r="M48" i="783" s="1"/>
  <c r="E43" i="783"/>
  <c r="Y42" i="783"/>
  <c r="Y43" i="783" s="1"/>
  <c r="Y48" i="783" s="1"/>
  <c r="I48" i="783"/>
  <c r="B43" i="782"/>
  <c r="B48" i="782" s="1"/>
  <c r="O48" i="782"/>
  <c r="W42" i="782"/>
  <c r="W21" i="782"/>
  <c r="G48" i="782"/>
  <c r="T48" i="782"/>
  <c r="L48" i="782"/>
  <c r="D48" i="782"/>
  <c r="W12" i="781"/>
  <c r="W21" i="781"/>
  <c r="W43" i="781" s="1"/>
  <c r="X12" i="781"/>
  <c r="P48" i="781"/>
  <c r="X21" i="781"/>
  <c r="X43" i="781" s="1"/>
  <c r="U48" i="781"/>
  <c r="Q48" i="781"/>
  <c r="Y42" i="781"/>
  <c r="Y21" i="781"/>
  <c r="I48" i="781"/>
  <c r="B43" i="780"/>
  <c r="B48" i="780" s="1"/>
  <c r="O48" i="780"/>
  <c r="K43" i="780"/>
  <c r="K48" i="780" s="1"/>
  <c r="C43" i="780"/>
  <c r="C48" i="780" s="1"/>
  <c r="W42" i="780"/>
  <c r="W43" i="780" s="1"/>
  <c r="W48" i="780" s="1"/>
  <c r="G48" i="780"/>
  <c r="T48" i="780"/>
  <c r="D43" i="780"/>
  <c r="D48" i="780" s="1"/>
  <c r="P48" i="780"/>
  <c r="L48" i="780"/>
  <c r="X30" i="780"/>
  <c r="X42" i="780"/>
  <c r="H48" i="780"/>
  <c r="U43" i="780"/>
  <c r="U48" i="780" s="1"/>
  <c r="Q48" i="780"/>
  <c r="Y42" i="780"/>
  <c r="Y30" i="780"/>
  <c r="I48" i="780"/>
  <c r="Y12" i="780"/>
  <c r="E48" i="780"/>
  <c r="B48" i="777"/>
  <c r="W30" i="777"/>
  <c r="W42" i="777"/>
  <c r="G48" i="777"/>
  <c r="W12" i="777"/>
  <c r="X42" i="777"/>
  <c r="X43" i="777" s="1"/>
  <c r="H48" i="777"/>
  <c r="X12" i="777"/>
  <c r="X30" i="776"/>
  <c r="H48" i="776"/>
  <c r="Y12" i="776"/>
  <c r="Y30" i="776"/>
  <c r="Y43" i="776" s="1"/>
  <c r="W12" i="774"/>
  <c r="O48" i="774"/>
  <c r="W30" i="774"/>
  <c r="W42" i="774"/>
  <c r="G48" i="774"/>
  <c r="W21" i="774"/>
  <c r="X12" i="774"/>
  <c r="X30" i="774"/>
  <c r="X43" i="774" s="1"/>
  <c r="X48" i="774" s="1"/>
  <c r="X42" i="774"/>
  <c r="H48" i="774"/>
  <c r="Y30" i="774"/>
  <c r="Y43" i="774" s="1"/>
  <c r="O48" i="773"/>
  <c r="W30" i="773"/>
  <c r="W43" i="773"/>
  <c r="W48" i="773" s="1"/>
  <c r="G48" i="773"/>
  <c r="X30" i="773"/>
  <c r="X43" i="773" s="1"/>
  <c r="X48" i="773" s="1"/>
  <c r="D48" i="773"/>
  <c r="U48" i="773"/>
  <c r="Q48" i="773"/>
  <c r="E48" i="773"/>
  <c r="Y42" i="773"/>
  <c r="Y43" i="773" s="1"/>
  <c r="Y48" i="773" s="1"/>
  <c r="I48" i="773"/>
  <c r="B43" i="772"/>
  <c r="B48" i="772" s="1"/>
  <c r="S43" i="772"/>
  <c r="S48" i="772" s="1"/>
  <c r="W42" i="772"/>
  <c r="G43" i="772"/>
  <c r="G48" i="772" s="1"/>
  <c r="W34" i="772"/>
  <c r="C43" i="772"/>
  <c r="X42" i="772"/>
  <c r="D43" i="772"/>
  <c r="D48" i="772" s="1"/>
  <c r="X43" i="772"/>
  <c r="X30" i="772"/>
  <c r="H48" i="772"/>
  <c r="X12" i="772"/>
  <c r="M43" i="772"/>
  <c r="Y42" i="772"/>
  <c r="Y43" i="772" s="1"/>
  <c r="Y48" i="772" s="1"/>
  <c r="I48" i="772"/>
  <c r="E43" i="772"/>
  <c r="E48" i="772" s="1"/>
  <c r="S48" i="771"/>
  <c r="X12" i="771"/>
  <c r="Y12" i="771"/>
  <c r="B48" i="770"/>
  <c r="W12" i="770"/>
  <c r="O48" i="770"/>
  <c r="W30" i="770"/>
  <c r="G48" i="770"/>
  <c r="W42" i="770"/>
  <c r="W43" i="770" s="1"/>
  <c r="W48" i="770" s="1"/>
  <c r="X21" i="770"/>
  <c r="P48" i="770"/>
  <c r="X30" i="770"/>
  <c r="X42" i="770"/>
  <c r="H48" i="770"/>
  <c r="Q48" i="770"/>
  <c r="Y42" i="770"/>
  <c r="Y43" i="770" s="1"/>
  <c r="I48" i="770"/>
  <c r="Y12" i="770"/>
  <c r="B43" i="767"/>
  <c r="O48" i="767"/>
  <c r="W42" i="767"/>
  <c r="W30" i="767"/>
  <c r="G48" i="767"/>
  <c r="W43" i="767"/>
  <c r="W48" i="767" s="1"/>
  <c r="T48" i="767"/>
  <c r="P48" i="767"/>
  <c r="X42" i="767"/>
  <c r="X30" i="767"/>
  <c r="H48" i="767"/>
  <c r="D43" i="767"/>
  <c r="X12" i="767"/>
  <c r="D48" i="767"/>
  <c r="Y30" i="767"/>
  <c r="Q48" i="767"/>
  <c r="Y42" i="767"/>
  <c r="I48" i="767"/>
  <c r="Y21" i="767"/>
  <c r="W12" i="786"/>
  <c r="X42" i="785"/>
  <c r="H48" i="785"/>
  <c r="X43" i="785"/>
  <c r="X48" i="785" s="1"/>
  <c r="Y42" i="785"/>
  <c r="U48" i="785"/>
  <c r="Y30" i="785"/>
  <c r="Y43" i="785" s="1"/>
  <c r="Y12" i="785"/>
  <c r="E43" i="785"/>
  <c r="E48" i="785" s="1"/>
  <c r="B43" i="779"/>
  <c r="B48" i="779" s="1"/>
  <c r="O48" i="779"/>
  <c r="W30" i="779"/>
  <c r="G48" i="779"/>
  <c r="W42" i="779"/>
  <c r="X12" i="779"/>
  <c r="X30" i="779"/>
  <c r="X43" i="779" s="1"/>
  <c r="X48" i="779" s="1"/>
  <c r="X34" i="779"/>
  <c r="Q48" i="779"/>
  <c r="Y30" i="779"/>
  <c r="I48" i="779"/>
  <c r="Y42" i="779"/>
  <c r="B43" i="778"/>
  <c r="B48" i="778" s="1"/>
  <c r="W42" i="778"/>
  <c r="G48" i="778"/>
  <c r="W21" i="778"/>
  <c r="P48" i="778"/>
  <c r="X30" i="778"/>
  <c r="X42" i="778"/>
  <c r="X21" i="778"/>
  <c r="H48" i="778"/>
  <c r="Y30" i="778"/>
  <c r="Q48" i="778"/>
  <c r="Y42" i="778"/>
  <c r="Y21" i="778"/>
  <c r="I48" i="778"/>
  <c r="B48" i="769"/>
  <c r="W12" i="769"/>
  <c r="X12" i="769"/>
  <c r="Y12" i="769"/>
  <c r="W12" i="768"/>
  <c r="X30" i="768"/>
  <c r="X12" i="768"/>
  <c r="X42" i="768"/>
  <c r="X43" i="768" s="1"/>
  <c r="X48" i="768" s="1"/>
  <c r="I48" i="768"/>
  <c r="Y42" i="768"/>
  <c r="Y21" i="768"/>
  <c r="Y43" i="768" s="1"/>
  <c r="Y48" i="768" s="1"/>
  <c r="E48" i="768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Y45" i="9"/>
  <c r="X45" i="9"/>
  <c r="W45" i="9"/>
  <c r="V45" i="9"/>
  <c r="U45" i="9"/>
  <c r="U47" i="9" s="1"/>
  <c r="T45" i="9"/>
  <c r="T47" i="9" s="1"/>
  <c r="S45" i="9"/>
  <c r="R45" i="9"/>
  <c r="R47" i="9" s="1"/>
  <c r="Q45" i="9"/>
  <c r="Q47" i="9" s="1"/>
  <c r="P45" i="9"/>
  <c r="P47" i="9" s="1"/>
  <c r="O45" i="9"/>
  <c r="O47" i="9" s="1"/>
  <c r="N45" i="9"/>
  <c r="M45" i="9"/>
  <c r="M47" i="9" s="1"/>
  <c r="L45" i="9"/>
  <c r="L47" i="9" s="1"/>
  <c r="K45" i="9"/>
  <c r="K47" i="9" s="1"/>
  <c r="J45" i="9"/>
  <c r="J47" i="9" s="1"/>
  <c r="I45" i="9"/>
  <c r="H45" i="9"/>
  <c r="G45" i="9"/>
  <c r="F45" i="9"/>
  <c r="E45" i="9"/>
  <c r="E47" i="9" s="1"/>
  <c r="D45" i="9"/>
  <c r="D47" i="9" s="1"/>
  <c r="C45" i="9"/>
  <c r="C47" i="9" s="1"/>
  <c r="B45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Y36" i="9"/>
  <c r="X36" i="9"/>
  <c r="W36" i="9"/>
  <c r="V36" i="9"/>
  <c r="U36" i="9"/>
  <c r="U42" i="9" s="1"/>
  <c r="T36" i="9"/>
  <c r="T42" i="9" s="1"/>
  <c r="S36" i="9"/>
  <c r="S42" i="9" s="1"/>
  <c r="R36" i="9"/>
  <c r="Q36" i="9"/>
  <c r="P36" i="9"/>
  <c r="P42" i="9" s="1"/>
  <c r="O36" i="9"/>
  <c r="O42" i="9" s="1"/>
  <c r="N36" i="9"/>
  <c r="M36" i="9"/>
  <c r="M42" i="9" s="1"/>
  <c r="L36" i="9"/>
  <c r="L42" i="9" s="1"/>
  <c r="K36" i="9"/>
  <c r="J36" i="9"/>
  <c r="I36" i="9"/>
  <c r="H36" i="9"/>
  <c r="G36" i="9"/>
  <c r="F36" i="9"/>
  <c r="E36" i="9"/>
  <c r="E42" i="9" s="1"/>
  <c r="D36" i="9"/>
  <c r="D42" i="9" s="1"/>
  <c r="C36" i="9"/>
  <c r="C42" i="9" s="1"/>
  <c r="B36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Y32" i="9"/>
  <c r="X32" i="9"/>
  <c r="W32" i="9"/>
  <c r="V32" i="9"/>
  <c r="U32" i="9"/>
  <c r="U34" i="9" s="1"/>
  <c r="T32" i="9"/>
  <c r="T34" i="9" s="1"/>
  <c r="S32" i="9"/>
  <c r="S34" i="9" s="1"/>
  <c r="R32" i="9"/>
  <c r="Q32" i="9"/>
  <c r="Q34" i="9" s="1"/>
  <c r="P32" i="9"/>
  <c r="P34" i="9" s="1"/>
  <c r="O32" i="9"/>
  <c r="O34" i="9" s="1"/>
  <c r="N32" i="9"/>
  <c r="N34" i="9" s="1"/>
  <c r="M32" i="9"/>
  <c r="M34" i="9" s="1"/>
  <c r="L32" i="9"/>
  <c r="L34" i="9" s="1"/>
  <c r="K32" i="9"/>
  <c r="J32" i="9"/>
  <c r="J34" i="9" s="1"/>
  <c r="I32" i="9"/>
  <c r="H32" i="9"/>
  <c r="G32" i="9"/>
  <c r="F32" i="9"/>
  <c r="E32" i="9"/>
  <c r="E34" i="9" s="1"/>
  <c r="D32" i="9"/>
  <c r="D34" i="9" s="1"/>
  <c r="C32" i="9"/>
  <c r="C34" i="9" s="1"/>
  <c r="B32" i="9"/>
  <c r="B34" i="9" s="1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Y23" i="9"/>
  <c r="X23" i="9"/>
  <c r="W23" i="9"/>
  <c r="V23" i="9"/>
  <c r="U23" i="9"/>
  <c r="U30" i="9" s="1"/>
  <c r="T23" i="9"/>
  <c r="T30" i="9" s="1"/>
  <c r="S23" i="9"/>
  <c r="R23" i="9"/>
  <c r="Q23" i="9"/>
  <c r="P23" i="9"/>
  <c r="P30" i="9" s="1"/>
  <c r="O23" i="9"/>
  <c r="O30" i="9" s="1"/>
  <c r="N23" i="9"/>
  <c r="M23" i="9"/>
  <c r="L23" i="9"/>
  <c r="L30" i="9" s="1"/>
  <c r="K23" i="9"/>
  <c r="K30" i="9" s="1"/>
  <c r="J23" i="9"/>
  <c r="J30" i="9" s="1"/>
  <c r="I23" i="9"/>
  <c r="H23" i="9"/>
  <c r="G23" i="9"/>
  <c r="F23" i="9"/>
  <c r="E23" i="9"/>
  <c r="E30" i="9" s="1"/>
  <c r="D23" i="9"/>
  <c r="D30" i="9" s="1"/>
  <c r="C23" i="9"/>
  <c r="B23" i="9"/>
  <c r="B30" i="9" s="1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Y15" i="9"/>
  <c r="X15" i="9"/>
  <c r="W15" i="9"/>
  <c r="V15" i="9"/>
  <c r="U15" i="9"/>
  <c r="U21" i="9" s="1"/>
  <c r="U43" i="9" s="1"/>
  <c r="T15" i="9"/>
  <c r="T21" i="9" s="1"/>
  <c r="T43" i="9" s="1"/>
  <c r="S15" i="9"/>
  <c r="S21" i="9" s="1"/>
  <c r="R15" i="9"/>
  <c r="Q15" i="9"/>
  <c r="P15" i="9"/>
  <c r="P21" i="9" s="1"/>
  <c r="P43" i="9" s="1"/>
  <c r="O15" i="9"/>
  <c r="O21" i="9" s="1"/>
  <c r="O43" i="9" s="1"/>
  <c r="N15" i="9"/>
  <c r="M15" i="9"/>
  <c r="M21" i="9" s="1"/>
  <c r="L15" i="9"/>
  <c r="L21" i="9" s="1"/>
  <c r="L43" i="9" s="1"/>
  <c r="K15" i="9"/>
  <c r="K21" i="9" s="1"/>
  <c r="J15" i="9"/>
  <c r="J21" i="9" s="1"/>
  <c r="I15" i="9"/>
  <c r="H15" i="9"/>
  <c r="G15" i="9"/>
  <c r="F15" i="9"/>
  <c r="E15" i="9"/>
  <c r="D15" i="9"/>
  <c r="D21" i="9" s="1"/>
  <c r="D43" i="9" s="1"/>
  <c r="C15" i="9"/>
  <c r="C21" i="9" s="1"/>
  <c r="B15" i="9"/>
  <c r="B21" i="9" s="1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Y8" i="9"/>
  <c r="X8" i="9"/>
  <c r="W8" i="9"/>
  <c r="V8" i="9"/>
  <c r="U8" i="9"/>
  <c r="U12" i="9" s="1"/>
  <c r="T8" i="9"/>
  <c r="S8" i="9"/>
  <c r="S12" i="9" s="1"/>
  <c r="R8" i="9"/>
  <c r="Q8" i="9"/>
  <c r="P8" i="9"/>
  <c r="P12" i="9" s="1"/>
  <c r="O8" i="9"/>
  <c r="O12" i="9" s="1"/>
  <c r="N8" i="9"/>
  <c r="N12" i="9" s="1"/>
  <c r="M8" i="9"/>
  <c r="M12" i="9" s="1"/>
  <c r="L8" i="9"/>
  <c r="L12" i="9" s="1"/>
  <c r="K8" i="9"/>
  <c r="K12" i="9" s="1"/>
  <c r="J8" i="9"/>
  <c r="J12" i="9" s="1"/>
  <c r="I8" i="9"/>
  <c r="H8" i="9"/>
  <c r="G8" i="9"/>
  <c r="F8" i="9"/>
  <c r="E8" i="9"/>
  <c r="E12" i="9" s="1"/>
  <c r="D8" i="9"/>
  <c r="D12" i="9" s="1"/>
  <c r="C8" i="9"/>
  <c r="B8" i="9"/>
  <c r="V43" i="787"/>
  <c r="V48" i="787" s="1"/>
  <c r="C48" i="787"/>
  <c r="K48" i="787"/>
  <c r="S48" i="787"/>
  <c r="D48" i="787"/>
  <c r="L48" i="787"/>
  <c r="T48" i="787"/>
  <c r="E48" i="787"/>
  <c r="M48" i="787"/>
  <c r="U48" i="787"/>
  <c r="B48" i="786"/>
  <c r="J48" i="786"/>
  <c r="R48" i="786"/>
  <c r="C48" i="786"/>
  <c r="K48" i="786"/>
  <c r="S48" i="786"/>
  <c r="V48" i="785"/>
  <c r="B48" i="785"/>
  <c r="J48" i="785"/>
  <c r="R48" i="785"/>
  <c r="C48" i="785"/>
  <c r="K48" i="785"/>
  <c r="S48" i="785"/>
  <c r="B48" i="784"/>
  <c r="J48" i="784"/>
  <c r="R48" i="784"/>
  <c r="C48" i="783"/>
  <c r="K48" i="783"/>
  <c r="S48" i="783"/>
  <c r="X43" i="783"/>
  <c r="X48" i="783" s="1"/>
  <c r="E48" i="783"/>
  <c r="U48" i="783"/>
  <c r="B48" i="781"/>
  <c r="J48" i="781"/>
  <c r="R48" i="781"/>
  <c r="W48" i="781"/>
  <c r="C48" i="781"/>
  <c r="K48" i="781"/>
  <c r="S48" i="781"/>
  <c r="X48" i="781"/>
  <c r="D48" i="781"/>
  <c r="L48" i="781"/>
  <c r="T48" i="781"/>
  <c r="E48" i="781"/>
  <c r="J48" i="780"/>
  <c r="R48" i="780"/>
  <c r="V43" i="779"/>
  <c r="V48" i="779" s="1"/>
  <c r="W43" i="779"/>
  <c r="W48" i="779" s="1"/>
  <c r="D48" i="779"/>
  <c r="L48" i="779"/>
  <c r="T48" i="779"/>
  <c r="E48" i="779"/>
  <c r="M48" i="779"/>
  <c r="U48" i="779"/>
  <c r="V43" i="778"/>
  <c r="C48" i="778"/>
  <c r="K48" i="778"/>
  <c r="S48" i="778"/>
  <c r="D48" i="778"/>
  <c r="L48" i="778"/>
  <c r="T48" i="778"/>
  <c r="E48" i="778"/>
  <c r="M48" i="778"/>
  <c r="U48" i="778"/>
  <c r="V43" i="777"/>
  <c r="V48" i="777" s="1"/>
  <c r="C48" i="777"/>
  <c r="K48" i="777"/>
  <c r="S48" i="777"/>
  <c r="D48" i="777"/>
  <c r="L48" i="777"/>
  <c r="T48" i="777"/>
  <c r="E48" i="777"/>
  <c r="M48" i="777"/>
  <c r="U48" i="777"/>
  <c r="Y43" i="777"/>
  <c r="Y48" i="777" s="1"/>
  <c r="C48" i="776"/>
  <c r="K48" i="776"/>
  <c r="S48" i="776"/>
  <c r="D48" i="776"/>
  <c r="L48" i="776"/>
  <c r="T48" i="776"/>
  <c r="X43" i="776"/>
  <c r="X48" i="776" s="1"/>
  <c r="E48" i="776"/>
  <c r="M48" i="776"/>
  <c r="U48" i="776"/>
  <c r="B48" i="775"/>
  <c r="J48" i="775"/>
  <c r="R48" i="775"/>
  <c r="C48" i="775"/>
  <c r="K48" i="775"/>
  <c r="S48" i="775"/>
  <c r="L48" i="775"/>
  <c r="T48" i="775"/>
  <c r="E48" i="775"/>
  <c r="M48" i="775"/>
  <c r="U48" i="775"/>
  <c r="B48" i="774"/>
  <c r="J48" i="774"/>
  <c r="R48" i="774"/>
  <c r="C48" i="774"/>
  <c r="K48" i="774"/>
  <c r="S48" i="774"/>
  <c r="D48" i="774"/>
  <c r="L48" i="774"/>
  <c r="T48" i="774"/>
  <c r="E48" i="774"/>
  <c r="M48" i="774"/>
  <c r="U48" i="774"/>
  <c r="C48" i="772"/>
  <c r="K48" i="772"/>
  <c r="M48" i="772"/>
  <c r="U48" i="772"/>
  <c r="B48" i="771"/>
  <c r="J48" i="771"/>
  <c r="R48" i="771"/>
  <c r="W43" i="771"/>
  <c r="W48" i="771" s="1"/>
  <c r="D48" i="771"/>
  <c r="L48" i="771"/>
  <c r="T48" i="771"/>
  <c r="C48" i="770"/>
  <c r="K48" i="770"/>
  <c r="S48" i="770"/>
  <c r="D48" i="770"/>
  <c r="L48" i="770"/>
  <c r="T48" i="770"/>
  <c r="U48" i="770"/>
  <c r="C48" i="769"/>
  <c r="K48" i="769"/>
  <c r="S48" i="769"/>
  <c r="X48" i="769"/>
  <c r="D48" i="769"/>
  <c r="L48" i="769"/>
  <c r="T48" i="769"/>
  <c r="E48" i="769"/>
  <c r="M48" i="769"/>
  <c r="U48" i="769"/>
  <c r="C48" i="768"/>
  <c r="K48" i="768"/>
  <c r="S48" i="768"/>
  <c r="D48" i="768"/>
  <c r="L48" i="768"/>
  <c r="T48" i="768"/>
  <c r="J48" i="767"/>
  <c r="R48" i="767"/>
  <c r="C48" i="767"/>
  <c r="S48" i="767"/>
  <c r="K48" i="767"/>
  <c r="X43" i="767"/>
  <c r="X48" i="767" s="1"/>
  <c r="B48" i="767"/>
  <c r="E48" i="767"/>
  <c r="M48" i="767"/>
  <c r="U48" i="767"/>
  <c r="J42" i="9" l="1"/>
  <c r="J43" i="9"/>
  <c r="R34" i="9"/>
  <c r="Q30" i="9"/>
  <c r="N42" i="9"/>
  <c r="S30" i="9"/>
  <c r="S43" i="9" s="1"/>
  <c r="B47" i="9"/>
  <c r="R12" i="9"/>
  <c r="K34" i="9"/>
  <c r="K42" i="9"/>
  <c r="K43" i="9" s="1"/>
  <c r="K48" i="9" s="1"/>
  <c r="T12" i="9"/>
  <c r="T48" i="9" s="1"/>
  <c r="B42" i="9"/>
  <c r="B43" i="9" s="1"/>
  <c r="C30" i="9"/>
  <c r="C43" i="9" s="1"/>
  <c r="S47" i="9"/>
  <c r="Q12" i="9"/>
  <c r="R42" i="9"/>
  <c r="R30" i="9"/>
  <c r="N21" i="9"/>
  <c r="U48" i="9"/>
  <c r="E21" i="9"/>
  <c r="E43" i="9" s="1"/>
  <c r="E48" i="9" s="1"/>
  <c r="R21" i="9"/>
  <c r="N30" i="9"/>
  <c r="M30" i="9"/>
  <c r="M43" i="9" s="1"/>
  <c r="M48" i="9" s="1"/>
  <c r="N47" i="9"/>
  <c r="Q21" i="9"/>
  <c r="Q42" i="9"/>
  <c r="V43" i="773"/>
  <c r="V48" i="773" s="1"/>
  <c r="V43" i="781"/>
  <c r="V48" i="781" s="1"/>
  <c r="X43" i="775"/>
  <c r="X48" i="775" s="1"/>
  <c r="J48" i="9"/>
  <c r="Y48" i="785"/>
  <c r="D48" i="9"/>
  <c r="Y43" i="779"/>
  <c r="Y48" i="779" s="1"/>
  <c r="W43" i="772"/>
  <c r="W48" i="772" s="1"/>
  <c r="Y48" i="786"/>
  <c r="X43" i="770"/>
  <c r="X48" i="770" s="1"/>
  <c r="W43" i="782"/>
  <c r="W48" i="782" s="1"/>
  <c r="V43" i="772"/>
  <c r="V48" i="772" s="1"/>
  <c r="Y43" i="769"/>
  <c r="Y48" i="769" s="1"/>
  <c r="W48" i="785"/>
  <c r="Y48" i="776"/>
  <c r="O48" i="9"/>
  <c r="W48" i="768"/>
  <c r="Y48" i="782"/>
  <c r="W43" i="774"/>
  <c r="W48" i="774" s="1"/>
  <c r="W43" i="777"/>
  <c r="W48" i="777" s="1"/>
  <c r="W43" i="775"/>
  <c r="W48" i="775" s="1"/>
  <c r="Y43" i="782"/>
  <c r="X43" i="787"/>
  <c r="X48" i="787" s="1"/>
  <c r="X43" i="786"/>
  <c r="X48" i="786" s="1"/>
  <c r="Y43" i="784"/>
  <c r="Y48" i="784" s="1"/>
  <c r="W43" i="778"/>
  <c r="W48" i="778" s="1"/>
  <c r="X43" i="778"/>
  <c r="X48" i="778" s="1"/>
  <c r="W43" i="776"/>
  <c r="W48" i="776" s="1"/>
  <c r="Y48" i="774"/>
  <c r="X48" i="772"/>
  <c r="Y48" i="771"/>
  <c r="X43" i="771"/>
  <c r="X48" i="771" s="1"/>
  <c r="V43" i="770"/>
  <c r="V48" i="770" s="1"/>
  <c r="Y43" i="767"/>
  <c r="Y48" i="767" s="1"/>
  <c r="V43" i="786"/>
  <c r="V48" i="786" s="1"/>
  <c r="V43" i="782"/>
  <c r="V48" i="782" s="1"/>
  <c r="V43" i="780"/>
  <c r="V48" i="780" s="1"/>
  <c r="V48" i="778"/>
  <c r="V43" i="775"/>
  <c r="V48" i="775" s="1"/>
  <c r="V43" i="774"/>
  <c r="V48" i="774" s="1"/>
  <c r="V43" i="771"/>
  <c r="V48" i="771" s="1"/>
  <c r="V43" i="767"/>
  <c r="V48" i="767" s="1"/>
  <c r="W43" i="787"/>
  <c r="W48" i="787" s="1"/>
  <c r="Y43" i="781"/>
  <c r="Y48" i="781" s="1"/>
  <c r="X43" i="780"/>
  <c r="X48" i="780" s="1"/>
  <c r="Y43" i="780"/>
  <c r="Y48" i="780" s="1"/>
  <c r="X48" i="777"/>
  <c r="Y48" i="770"/>
  <c r="Y43" i="778"/>
  <c r="Y48" i="778" s="1"/>
  <c r="W47" i="9"/>
  <c r="Y47" i="9"/>
  <c r="I47" i="9"/>
  <c r="X47" i="9"/>
  <c r="H47" i="9"/>
  <c r="G47" i="9"/>
  <c r="F47" i="9"/>
  <c r="V47" i="9"/>
  <c r="I42" i="9"/>
  <c r="Y42" i="9"/>
  <c r="X42" i="9"/>
  <c r="H42" i="9"/>
  <c r="W42" i="9"/>
  <c r="G42" i="9"/>
  <c r="F42" i="9"/>
  <c r="V42" i="9"/>
  <c r="Y34" i="9"/>
  <c r="I34" i="9"/>
  <c r="X34" i="9"/>
  <c r="H34" i="9"/>
  <c r="G34" i="9"/>
  <c r="W34" i="9"/>
  <c r="F34" i="9"/>
  <c r="V34" i="9"/>
  <c r="Y30" i="9"/>
  <c r="I30" i="9"/>
  <c r="H30" i="9"/>
  <c r="X30" i="9"/>
  <c r="G30" i="9"/>
  <c r="W30" i="9"/>
  <c r="V30" i="9"/>
  <c r="F30" i="9"/>
  <c r="P48" i="9"/>
  <c r="L48" i="9"/>
  <c r="I21" i="9"/>
  <c r="Y21" i="9"/>
  <c r="X21" i="9"/>
  <c r="H21" i="9"/>
  <c r="W21" i="9"/>
  <c r="G21" i="9"/>
  <c r="F21" i="9"/>
  <c r="V21" i="9"/>
  <c r="C12" i="9"/>
  <c r="B12" i="9"/>
  <c r="Y12" i="9"/>
  <c r="I12" i="9"/>
  <c r="H12" i="9"/>
  <c r="X12" i="9"/>
  <c r="G12" i="9"/>
  <c r="W12" i="9"/>
  <c r="F12" i="9"/>
  <c r="V12" i="9"/>
  <c r="S48" i="9" l="1"/>
  <c r="C48" i="9"/>
  <c r="B48" i="9"/>
  <c r="R43" i="9"/>
  <c r="R48" i="9" s="1"/>
  <c r="N43" i="9"/>
  <c r="N48" i="9" s="1"/>
  <c r="Q43" i="9"/>
  <c r="Q48" i="9" s="1"/>
  <c r="I43" i="9"/>
  <c r="I48" i="9" s="1"/>
  <c r="G43" i="9"/>
  <c r="G48" i="9" s="1"/>
  <c r="H43" i="9"/>
  <c r="H48" i="9" s="1"/>
  <c r="F43" i="9"/>
  <c r="F48" i="9" s="1"/>
  <c r="V43" i="9"/>
  <c r="V48" i="9" s="1"/>
  <c r="X43" i="9"/>
  <c r="X48" i="9" s="1"/>
  <c r="W43" i="9"/>
  <c r="W48" i="9" s="1"/>
  <c r="Y43" i="9"/>
  <c r="Y48" i="9" s="1"/>
  <c r="H15" i="7" l="1"/>
  <c r="H21" i="7"/>
  <c r="F21" i="7"/>
  <c r="D21" i="7"/>
  <c r="F15" i="7"/>
  <c r="D15" i="7"/>
  <c r="D17" i="7" s="1"/>
  <c r="H7" i="7"/>
  <c r="F7" i="7"/>
  <c r="H17" i="7" l="1"/>
  <c r="H23" i="7" s="1"/>
  <c r="F17" i="7"/>
  <c r="F23" i="7" s="1"/>
  <c r="D23" i="7"/>
  <c r="A1074" i="5" l="1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1075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B4" i="3" l="1"/>
  <c r="K47" i="3" l="1"/>
  <c r="J47" i="3"/>
  <c r="I47" i="3"/>
  <c r="H47" i="3"/>
  <c r="G47" i="3"/>
  <c r="F47" i="3"/>
  <c r="E47" i="3"/>
  <c r="D47" i="3"/>
  <c r="C47" i="3"/>
  <c r="B47" i="3"/>
  <c r="M46" i="3"/>
  <c r="L46" i="3"/>
  <c r="M45" i="3"/>
  <c r="L45" i="3"/>
  <c r="K42" i="3"/>
  <c r="J42" i="3"/>
  <c r="I42" i="3"/>
  <c r="H42" i="3"/>
  <c r="G42" i="3"/>
  <c r="F42" i="3"/>
  <c r="E42" i="3"/>
  <c r="D42" i="3"/>
  <c r="C42" i="3"/>
  <c r="B42" i="3"/>
  <c r="M41" i="3"/>
  <c r="L41" i="3"/>
  <c r="M40" i="3"/>
  <c r="L40" i="3"/>
  <c r="M39" i="3"/>
  <c r="L39" i="3"/>
  <c r="M38" i="3"/>
  <c r="L38" i="3"/>
  <c r="M37" i="3"/>
  <c r="L37" i="3"/>
  <c r="M36" i="3"/>
  <c r="L36" i="3"/>
  <c r="K34" i="3"/>
  <c r="J34" i="3"/>
  <c r="I34" i="3"/>
  <c r="H34" i="3"/>
  <c r="G34" i="3"/>
  <c r="F34" i="3"/>
  <c r="E34" i="3"/>
  <c r="D34" i="3"/>
  <c r="C34" i="3"/>
  <c r="B34" i="3"/>
  <c r="M33" i="3"/>
  <c r="L33" i="3"/>
  <c r="M32" i="3"/>
  <c r="L32" i="3"/>
  <c r="K30" i="3"/>
  <c r="J30" i="3"/>
  <c r="I30" i="3"/>
  <c r="H30" i="3"/>
  <c r="G30" i="3"/>
  <c r="F30" i="3"/>
  <c r="E30" i="3"/>
  <c r="D30" i="3"/>
  <c r="C30" i="3"/>
  <c r="B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K21" i="3"/>
  <c r="J21" i="3"/>
  <c r="I21" i="3"/>
  <c r="H21" i="3"/>
  <c r="G21" i="3"/>
  <c r="F21" i="3"/>
  <c r="E21" i="3"/>
  <c r="D21" i="3"/>
  <c r="C21" i="3"/>
  <c r="B21" i="3"/>
  <c r="M20" i="3"/>
  <c r="L20" i="3"/>
  <c r="M19" i="3"/>
  <c r="L19" i="3"/>
  <c r="M18" i="3"/>
  <c r="L18" i="3"/>
  <c r="M17" i="3"/>
  <c r="L17" i="3"/>
  <c r="M16" i="3"/>
  <c r="L16" i="3"/>
  <c r="M15" i="3"/>
  <c r="L15" i="3"/>
  <c r="K12" i="3"/>
  <c r="J12" i="3"/>
  <c r="I12" i="3"/>
  <c r="H12" i="3"/>
  <c r="G12" i="3"/>
  <c r="F12" i="3"/>
  <c r="E12" i="3"/>
  <c r="D12" i="3"/>
  <c r="C12" i="3"/>
  <c r="B12" i="3"/>
  <c r="M11" i="3"/>
  <c r="L11" i="3"/>
  <c r="M10" i="3"/>
  <c r="L10" i="3"/>
  <c r="M9" i="3"/>
  <c r="L9" i="3"/>
  <c r="M8" i="3"/>
  <c r="L8" i="3"/>
  <c r="B1" i="2" a="1"/>
  <c r="A1" i="2" a="1"/>
  <c r="A1" i="3" a="1"/>
  <c r="G43" i="3" l="1"/>
  <c r="G48" i="3" s="1"/>
  <c r="E43" i="3"/>
  <c r="E48" i="3" s="1"/>
  <c r="I43" i="3"/>
  <c r="I48" i="3" s="1"/>
  <c r="J43" i="3"/>
  <c r="J48" i="3" s="1"/>
  <c r="B43" i="3"/>
  <c r="B48" i="3" s="1"/>
  <c r="M21" i="3"/>
  <c r="M30" i="3"/>
  <c r="M34" i="3"/>
  <c r="H43" i="3"/>
  <c r="H48" i="3" s="1"/>
  <c r="M47" i="3"/>
  <c r="C43" i="3"/>
  <c r="C48" i="3" s="1"/>
  <c r="K43" i="3"/>
  <c r="K48" i="3" s="1"/>
  <c r="L21" i="3"/>
  <c r="F43" i="3"/>
  <c r="F48" i="3" s="1"/>
  <c r="L34" i="3"/>
  <c r="M12" i="3"/>
  <c r="M42" i="3"/>
  <c r="L47" i="3"/>
  <c r="L42" i="3"/>
  <c r="L12" i="3"/>
  <c r="L30" i="3"/>
  <c r="D43" i="3"/>
  <c r="D48" i="3" s="1"/>
  <c r="A1" i="3"/>
  <c r="A1" i="2"/>
  <c r="B1" i="2"/>
  <c r="L43" i="3" l="1"/>
  <c r="L48" i="3" s="1"/>
  <c r="M43" i="3"/>
  <c r="M48" i="3" s="1"/>
  <c r="H47" i="2"/>
  <c r="E47" i="2"/>
  <c r="C47" i="2"/>
  <c r="B47" i="2"/>
  <c r="H42" i="2"/>
  <c r="E42" i="2"/>
  <c r="C42" i="2"/>
  <c r="B42" i="2"/>
  <c r="H34" i="2"/>
  <c r="E34" i="2"/>
  <c r="C34" i="2"/>
  <c r="B34" i="2"/>
  <c r="H30" i="2"/>
  <c r="E30" i="2"/>
  <c r="C30" i="2"/>
  <c r="B30" i="2"/>
  <c r="H21" i="2"/>
  <c r="E21" i="2"/>
  <c r="C21" i="2"/>
  <c r="B21" i="2"/>
  <c r="H12" i="2"/>
  <c r="E12" i="2"/>
  <c r="C12" i="2"/>
  <c r="B12" i="2"/>
  <c r="I39" i="2" a="1"/>
  <c r="D29" i="2" a="1"/>
  <c r="D19" i="2" a="1"/>
  <c r="I45" i="2" a="1"/>
  <c r="G46" i="2" a="1"/>
  <c r="I32" i="2" a="1"/>
  <c r="D32" i="2" a="1"/>
  <c r="D39" i="2" a="1"/>
  <c r="G28" i="2" a="1"/>
  <c r="G32" i="2" a="1"/>
  <c r="D8" i="2" a="1"/>
  <c r="F18" i="2" a="1"/>
  <c r="F17" i="2" a="1"/>
  <c r="G16" i="2" a="1"/>
  <c r="D12" i="2" a="1"/>
  <c r="F20" i="2" a="1"/>
  <c r="D26" i="2" a="1"/>
  <c r="D36" i="2" a="1"/>
  <c r="I25" i="2" a="1"/>
  <c r="G42" i="2" a="1"/>
  <c r="F16" i="2" a="1"/>
  <c r="F34" i="2" a="1"/>
  <c r="D20" i="2" a="1"/>
  <c r="D40" i="2" a="1"/>
  <c r="F41" i="2" a="1"/>
  <c r="F38" i="2" a="1"/>
  <c r="G23" i="2" a="1"/>
  <c r="I15" i="2" a="1"/>
  <c r="G10" i="2" a="1"/>
  <c r="D21" i="2" a="1"/>
  <c r="I40" i="2" a="1"/>
  <c r="F19" i="2" a="1"/>
  <c r="I46" i="2" a="1"/>
  <c r="G26" i="2" a="1"/>
  <c r="I12" i="2" a="1"/>
  <c r="F33" i="2" a="1"/>
  <c r="I9" i="2" a="1"/>
  <c r="G45" i="2" a="1"/>
  <c r="I37" i="2" a="1"/>
  <c r="G36" i="2" a="1"/>
  <c r="G24" i="2" a="1"/>
  <c r="D27" i="2" a="1"/>
  <c r="I33" i="2" a="1"/>
  <c r="G25" i="2" a="1"/>
  <c r="F26" i="2" a="1"/>
  <c r="D23" i="2" a="1"/>
  <c r="D46" i="2" a="1"/>
  <c r="D37" i="2" a="1"/>
  <c r="I18" i="2" a="1"/>
  <c r="F10" i="2" a="1"/>
  <c r="I8" i="2" a="1"/>
  <c r="I38" i="2" a="1"/>
  <c r="D28" i="2" a="1"/>
  <c r="I10" i="2" a="1"/>
  <c r="F36" i="2" a="1"/>
  <c r="I42" i="2" a="1"/>
  <c r="I34" i="2" a="1"/>
  <c r="D42" i="2" a="1"/>
  <c r="G30" i="2" a="1"/>
  <c r="F21" i="2" a="1"/>
  <c r="G20" i="2" a="1"/>
  <c r="I47" i="2" a="1"/>
  <c r="F12" i="2" a="1"/>
  <c r="D10" i="2" a="1"/>
  <c r="D16" i="2" a="1"/>
  <c r="G15" i="2" a="1"/>
  <c r="D45" i="2" a="1"/>
  <c r="F47" i="2" a="1"/>
  <c r="D41" i="2" a="1"/>
  <c r="G8" i="2" a="1"/>
  <c r="D33" i="2" a="1"/>
  <c r="G41" i="2" a="1"/>
  <c r="G19" i="2" a="1"/>
  <c r="G34" i="2" a="1"/>
  <c r="F9" i="2" a="1"/>
  <c r="I23" i="2" a="1"/>
  <c r="I16" i="2" a="1"/>
  <c r="G18" i="2" a="1"/>
  <c r="D18" i="2" a="1"/>
  <c r="I11" i="2" a="1"/>
  <c r="G21" i="2" a="1"/>
  <c r="D30" i="2" a="1"/>
  <c r="G37" i="2" a="1"/>
  <c r="D17" i="2" a="1"/>
  <c r="I41" i="2" a="1"/>
  <c r="I29" i="2" a="1"/>
  <c r="I24" i="2" a="1"/>
  <c r="I30" i="2" a="1"/>
  <c r="G33" i="2" a="1"/>
  <c r="F29" i="2" a="1"/>
  <c r="G9" i="2" a="1"/>
  <c r="D38" i="2" a="1"/>
  <c r="D9" i="2" a="1"/>
  <c r="G11" i="2" a="1"/>
  <c r="I17" i="2" a="1"/>
  <c r="G17" i="2" a="1"/>
  <c r="G47" i="2" a="1"/>
  <c r="I19" i="2" a="1"/>
  <c r="G38" i="2" a="1"/>
  <c r="F25" i="2" a="1"/>
  <c r="F8" i="2" a="1"/>
  <c r="F28" i="2" a="1"/>
  <c r="I27" i="2" a="1"/>
  <c r="F40" i="2" a="1"/>
  <c r="D34" i="2" a="1"/>
  <c r="G27" i="2" a="1"/>
  <c r="I20" i="2" a="1"/>
  <c r="D15" i="2" a="1"/>
  <c r="I36" i="2" a="1"/>
  <c r="D11" i="2" a="1"/>
  <c r="F27" i="2" a="1"/>
  <c r="F23" i="2" a="1"/>
  <c r="D24" i="2" a="1"/>
  <c r="F46" i="2" a="1"/>
  <c r="I21" i="2" a="1"/>
  <c r="F45" i="2" a="1"/>
  <c r="G12" i="2" a="1"/>
  <c r="F11" i="2" a="1"/>
  <c r="D25" i="2" a="1"/>
  <c r="I26" i="2" a="1"/>
  <c r="F30" i="2" a="1"/>
  <c r="G40" i="2" a="1"/>
  <c r="F24" i="2" a="1"/>
  <c r="F32" i="2" a="1"/>
  <c r="F39" i="2" a="1"/>
  <c r="F42" i="2" a="1"/>
  <c r="F15" i="2" a="1"/>
  <c r="G39" i="2" a="1"/>
  <c r="I28" i="2" a="1"/>
  <c r="G29" i="2" a="1"/>
  <c r="D47" i="2" a="1"/>
  <c r="F37" i="2" a="1"/>
  <c r="E43" i="2" l="1"/>
  <c r="E48" i="2" s="1"/>
  <c r="C43" i="2"/>
  <c r="C48" i="2" s="1"/>
  <c r="B43" i="2"/>
  <c r="H43" i="2"/>
  <c r="H48" i="2" s="1"/>
  <c r="F10" i="2"/>
  <c r="I26" i="2"/>
  <c r="D40" i="2"/>
  <c r="D12" i="2"/>
  <c r="F19" i="2"/>
  <c r="D11" i="2"/>
  <c r="I15" i="2"/>
  <c r="I19" i="2"/>
  <c r="G25" i="2"/>
  <c r="I32" i="2"/>
  <c r="I38" i="2"/>
  <c r="I40" i="2"/>
  <c r="F9" i="2"/>
  <c r="F11" i="2"/>
  <c r="G12" i="2"/>
  <c r="D16" i="2"/>
  <c r="D18" i="2"/>
  <c r="D20" i="2"/>
  <c r="F21" i="2"/>
  <c r="I23" i="2"/>
  <c r="I25" i="2"/>
  <c r="I27" i="2"/>
  <c r="F29" i="2"/>
  <c r="G30" i="2"/>
  <c r="D33" i="2"/>
  <c r="F34" i="2"/>
  <c r="D37" i="2"/>
  <c r="D39" i="2"/>
  <c r="D41" i="2"/>
  <c r="I46" i="2"/>
  <c r="I47" i="2"/>
  <c r="D15" i="2"/>
  <c r="D23" i="2"/>
  <c r="D36" i="2"/>
  <c r="I42" i="2"/>
  <c r="G10" i="2"/>
  <c r="F15" i="2"/>
  <c r="D9" i="2"/>
  <c r="F12" i="2"/>
  <c r="I17" i="2"/>
  <c r="G23" i="2"/>
  <c r="G27" i="2"/>
  <c r="F30" i="2"/>
  <c r="I36" i="2"/>
  <c r="D42" i="2"/>
  <c r="G46" i="2"/>
  <c r="G9" i="2"/>
  <c r="G11" i="2"/>
  <c r="F16" i="2"/>
  <c r="F18" i="2"/>
  <c r="F20" i="2"/>
  <c r="G21" i="2"/>
  <c r="D24" i="2"/>
  <c r="D26" i="2"/>
  <c r="D28" i="2"/>
  <c r="G29" i="2"/>
  <c r="F33" i="2"/>
  <c r="G34" i="2"/>
  <c r="F37" i="2"/>
  <c r="F39" i="2"/>
  <c r="F42" i="2"/>
  <c r="D45" i="2"/>
  <c r="I9" i="2"/>
  <c r="I11" i="2"/>
  <c r="G16" i="2"/>
  <c r="G18" i="2"/>
  <c r="G20" i="2"/>
  <c r="F24" i="2"/>
  <c r="F26" i="2"/>
  <c r="I29" i="2"/>
  <c r="G33" i="2"/>
  <c r="G37" i="2"/>
  <c r="G39" i="2"/>
  <c r="F41" i="2"/>
  <c r="G42" i="2"/>
  <c r="F45" i="2"/>
  <c r="D10" i="2"/>
  <c r="I12" i="2"/>
  <c r="I16" i="2"/>
  <c r="I18" i="2"/>
  <c r="I20" i="2"/>
  <c r="I21" i="2"/>
  <c r="G24" i="2"/>
  <c r="G26" i="2"/>
  <c r="F28" i="2"/>
  <c r="I30" i="2"/>
  <c r="I33" i="2"/>
  <c r="I34" i="2"/>
  <c r="I37" i="2"/>
  <c r="I39" i="2"/>
  <c r="G41" i="2"/>
  <c r="G45" i="2"/>
  <c r="D47" i="2"/>
  <c r="G28" i="2"/>
  <c r="D38" i="2"/>
  <c r="I45" i="2"/>
  <c r="D19" i="2"/>
  <c r="D32" i="2"/>
  <c r="F36" i="2"/>
  <c r="F8" i="2"/>
  <c r="D17" i="2"/>
  <c r="I24" i="2"/>
  <c r="I41" i="2"/>
  <c r="G8" i="2"/>
  <c r="F17" i="2"/>
  <c r="D25" i="2"/>
  <c r="D27" i="2"/>
  <c r="I28" i="2"/>
  <c r="D30" i="2"/>
  <c r="F32" i="2"/>
  <c r="F38" i="2"/>
  <c r="F40" i="2"/>
  <c r="D46" i="2"/>
  <c r="F47" i="2"/>
  <c r="I8" i="2"/>
  <c r="I10" i="2"/>
  <c r="G15" i="2"/>
  <c r="G17" i="2"/>
  <c r="G19" i="2"/>
  <c r="D21" i="2"/>
  <c r="F23" i="2"/>
  <c r="F25" i="2"/>
  <c r="F27" i="2"/>
  <c r="D29" i="2"/>
  <c r="G32" i="2"/>
  <c r="D34" i="2"/>
  <c r="G36" i="2"/>
  <c r="G38" i="2"/>
  <c r="G40" i="2"/>
  <c r="F46" i="2"/>
  <c r="G47" i="2"/>
  <c r="D8" i="2"/>
  <c r="I48" i="2" a="1"/>
  <c r="I43" i="2" a="1"/>
  <c r="G43" i="2" a="1"/>
  <c r="D43" i="2" a="1"/>
  <c r="F43" i="2" a="1"/>
  <c r="F48" i="2" a="1"/>
  <c r="G48" i="2" a="1"/>
  <c r="F43" i="2" l="1"/>
  <c r="G43" i="2"/>
  <c r="I43" i="2"/>
  <c r="F48" i="2"/>
  <c r="I48" i="2"/>
  <c r="G48" i="2"/>
  <c r="D43" i="2"/>
  <c r="B48" i="2"/>
  <c r="D48" i="2" a="1"/>
  <c r="D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grega</author>
  </authors>
  <commentList>
    <comment ref="N2" authorId="0" shapeId="0" xr:uid="{89718F67-2E02-43A3-847D-1C4E1FEAD735}">
      <text>
        <r>
          <rPr>
            <b/>
            <sz val="9"/>
            <color indexed="81"/>
            <rFont val="Tahoma"/>
            <family val="2"/>
          </rPr>
          <t xml:space="preserve">To handle these unidentified speedtypes, you will either need to add these speedtypes to the Consolidation Lists table (click View Ref Sheets button), or re-download the reports from CU Data to exclude these speedtypes. </t>
        </r>
      </text>
    </comment>
    <comment ref="P2" authorId="0" shapeId="0" xr:uid="{2B14A886-FDFC-42C7-BD94-6E232810530F}">
      <text>
        <r>
          <rPr>
            <b/>
            <sz val="9"/>
            <color indexed="81"/>
            <rFont val="Tahoma"/>
            <family val="2"/>
          </rPr>
          <t xml:space="preserve">To handle these unidentified speedtypes, you will either need to add these speedtypes to the Consolidation Lists table (click View Ref Sheets button), or re-download the reports from CU Data to exclude these speedtypes. </t>
        </r>
      </text>
    </comment>
    <comment ref="S2" authorId="0" shapeId="0" xr:uid="{97C3B26B-17B9-432D-BCBE-0548513175C2}">
      <text>
        <r>
          <rPr>
            <b/>
            <sz val="9"/>
            <color indexed="81"/>
            <rFont val="Tahoma"/>
            <family val="2"/>
          </rPr>
          <t>These two columns are essential for creating the Fund Balance sheet in QR reports. Don't touch.</t>
        </r>
      </text>
    </comment>
    <comment ref="E13" authorId="0" shapeId="0" xr:uid="{EE1B8169-2645-4EB7-8634-D54C131C4954}">
      <text>
        <r>
          <rPr>
            <b/>
            <sz val="9"/>
            <color indexed="81"/>
            <rFont val="Tahoma"/>
            <family val="2"/>
          </rPr>
          <t>If False, then the report will be saved in the same folder as this workbook</t>
        </r>
      </text>
    </comment>
    <comment ref="E14" authorId="0" shapeId="0" xr:uid="{13C8D951-6B02-434F-9771-521632CFED17}">
      <text>
        <r>
          <rPr>
            <b/>
            <sz val="9"/>
            <color indexed="81"/>
            <rFont val="Tahoma"/>
            <family val="2"/>
          </rPr>
          <t>This range only matters for the Seasonal Budget</t>
        </r>
      </text>
    </comment>
    <comment ref="B17" authorId="0" shapeId="0" xr:uid="{60AD039D-E6FD-463C-AEE2-EF2AB6486001}">
      <text>
        <r>
          <rPr>
            <b/>
            <sz val="9"/>
            <color indexed="81"/>
            <rFont val="Tahoma"/>
            <family val="2"/>
          </rPr>
          <t>This cells value will be updated when a .csv file is selected, and will be referenced in the Python script.
Don't change.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<sst xmlns="http://schemas.openxmlformats.org/spreadsheetml/2006/main" count="14671" uniqueCount="1702">
  <si>
    <t>Fund Balance</t>
  </si>
  <si>
    <t>12000582 -- PRO SHOP OPERATION</t>
  </si>
  <si>
    <t>Pro Shop-Vending</t>
  </si>
  <si>
    <t>Main</t>
  </si>
  <si>
    <t>12012402 -- FACILITY RENTAL</t>
  </si>
  <si>
    <t>Events-Facilities Svcs</t>
  </si>
  <si>
    <t>12021495 -- REC CTR MARKETING</t>
  </si>
  <si>
    <t>Marketing</t>
  </si>
  <si>
    <t>12001290 -- MISC. TRIPS AND CLINICS</t>
  </si>
  <si>
    <t>Outdoor Programs</t>
  </si>
  <si>
    <t>12000355 -- FWP CYCLE</t>
  </si>
  <si>
    <t>FitWell Programs</t>
  </si>
  <si>
    <t>12017991 -- INSTRUCTION DANCE</t>
  </si>
  <si>
    <t>12014027 -- GROUP FITNESS</t>
  </si>
  <si>
    <t>12022392 -- FOOD SERVICE</t>
  </si>
  <si>
    <t>12021496 -- CLIMBING GYM</t>
  </si>
  <si>
    <t>12011344 -- INSTRUCTION RACQUET</t>
  </si>
  <si>
    <t>12000583 -- WILDERNESS FIRST RESPONDER</t>
  </si>
  <si>
    <t>12020098 -- REC FAC-SECURITY</t>
  </si>
  <si>
    <t>Building Services</t>
  </si>
  <si>
    <t>12015461 -- INSTRUCTION AQUA</t>
  </si>
  <si>
    <t>12020915 -- REC FAC-ICE RINK</t>
  </si>
  <si>
    <t>Rink</t>
  </si>
  <si>
    <t>12017103 -- MIND BODY</t>
  </si>
  <si>
    <t>12016519 -- REC FAC-SWIMMING POOLS</t>
  </si>
  <si>
    <t>Pools</t>
  </si>
  <si>
    <t>12001289 -- OUTDOOR EQUIPMENT RENTAL</t>
  </si>
  <si>
    <t>12015774 -- PERSONAL TRAINING</t>
  </si>
  <si>
    <t>12014439 -- REC PROG-UNPLGD REV</t>
  </si>
  <si>
    <t>SF Rev (Pre-2011 Expansion)</t>
  </si>
  <si>
    <t>12014182 -- LOCKER RENTAL</t>
  </si>
  <si>
    <t>Lockers</t>
  </si>
  <si>
    <t>12015453 -- REC FAC-CAPITAL EQUP</t>
  </si>
  <si>
    <t>Capital</t>
  </si>
  <si>
    <t>12000759 -- TRAINING ROOM OPERATION</t>
  </si>
  <si>
    <t>Training Room</t>
  </si>
  <si>
    <t>12022391 -- REC FAC-EQUIPMENT SERVICES</t>
  </si>
  <si>
    <t xml:space="preserve">Check-Out </t>
  </si>
  <si>
    <t>12001246 -- MEN'S HOCKEY 2ND TEAM (FR)</t>
  </si>
  <si>
    <t>Student Fee Sport Clubs</t>
  </si>
  <si>
    <t>12021453 -- CLEARING</t>
  </si>
  <si>
    <t>Membership</t>
  </si>
  <si>
    <t>12001035 -- CLUBS ADMIN</t>
  </si>
  <si>
    <t>12000343 -- WOMEN'S WATER POLO (FR)</t>
  </si>
  <si>
    <t>12010647 -- SPECIAL USE MEMBERSHIP</t>
  </si>
  <si>
    <t>12000210 -- SPORT CLUBS UNIFORMS</t>
  </si>
  <si>
    <t>12020830 -- REC FAC-MAINTENANCE</t>
  </si>
  <si>
    <t>Maintenance</t>
  </si>
  <si>
    <t>12001643 -- MARKETING: EVENTS</t>
  </si>
  <si>
    <t>12001807 -- INCIDENT RESPONSE - CLUB SPRTS</t>
  </si>
  <si>
    <t>12001063 -- TRIATHLON SF</t>
  </si>
  <si>
    <t>12001043 -- FIELD HOCKEY SF</t>
  </si>
  <si>
    <t>12018472 -- INSTRUCTION ADMIN</t>
  </si>
  <si>
    <t>12001033 -- STAFF CPR</t>
  </si>
  <si>
    <t>12001071 -- CYCLING SF</t>
  </si>
  <si>
    <t>12001044 -- FLY FISHING SF</t>
  </si>
  <si>
    <t>12001039 -- CREW SF</t>
  </si>
  <si>
    <t>12001038 -- BASEBALL SF</t>
  </si>
  <si>
    <t>12001045 -- FREESTYLE SKIING SF</t>
  </si>
  <si>
    <t>12001062 -- TENNIS SF</t>
  </si>
  <si>
    <t>12001061 -- TAE KWON DO SF</t>
  </si>
  <si>
    <t>12001037 -- CLUBS FACILITY RENTAL</t>
  </si>
  <si>
    <t>12001055 -- SNOWBOARDING SF</t>
  </si>
  <si>
    <t>12001058 -- SOFTBALL SF</t>
  </si>
  <si>
    <t>12001052 -- ROLLER HOCKEY SF</t>
  </si>
  <si>
    <t>12000016 -- SPECIAL PROJECT: STUDENT DEVEL</t>
  </si>
  <si>
    <t>Administration</t>
  </si>
  <si>
    <t>12001040 -- DANCE SF</t>
  </si>
  <si>
    <t>12001373 -- INCLUSIVE SPORTS SUMMIT</t>
  </si>
  <si>
    <t>Inclusive Sports Summit</t>
  </si>
  <si>
    <t>12000692 -- 2011 EXPANSION OUTSTNDNG ITEMS</t>
  </si>
  <si>
    <t>12001042 -- FENCING SF</t>
  </si>
  <si>
    <t>Quarter</t>
  </si>
  <si>
    <t>Fields</t>
  </si>
  <si>
    <t>Rec Fields</t>
  </si>
  <si>
    <t>Bear Creek Rec</t>
  </si>
  <si>
    <t>Equipment Services</t>
  </si>
  <si>
    <t>IT</t>
  </si>
  <si>
    <t>Intramural</t>
  </si>
  <si>
    <t>SF Rev (2011 Expansion)</t>
  </si>
  <si>
    <t>Special Events</t>
  </si>
  <si>
    <t>12072536 -- REC FIELD INITIATIVE</t>
  </si>
  <si>
    <t>12027282 -- REC FAC-ADMINISTRATN</t>
  </si>
  <si>
    <t>12031651 -- SPECIAL PROJECT #3</t>
  </si>
  <si>
    <t>12086362 -- FAC ADMIN SPECIAL PROJECTS</t>
  </si>
  <si>
    <t>12060718 -- BEAR CREEK FITNESS</t>
  </si>
  <si>
    <t>12086898 -- BEAR CREEK FACILITIES RENTAL</t>
  </si>
  <si>
    <t>12031666 -- NIRSA</t>
  </si>
  <si>
    <t>12012148 -- INSTRUCTION MASTER</t>
  </si>
  <si>
    <t>12023633 -- CERTIFICATIONS</t>
  </si>
  <si>
    <t>12024188 -- MISC FW ACTIVITIES</t>
  </si>
  <si>
    <t>12027600 -- INSTRUCTION MART ART</t>
  </si>
  <si>
    <t>12031662 -- IT SUPPORT</t>
  </si>
  <si>
    <t>12028225 -- INTRAMURALS</t>
  </si>
  <si>
    <t>12053296 -- MAINTENANCE - CUSTODIAL</t>
  </si>
  <si>
    <t>12025353 -- OP GENERAL OPS</t>
  </si>
  <si>
    <t>12080880 -- ROPES COURSE</t>
  </si>
  <si>
    <t>12086363 -- PROG ADMIN SPECIAL PROJECTS</t>
  </si>
  <si>
    <t>12014438 -- REC FAC-PLEDGED REV</t>
  </si>
  <si>
    <t>12025203 -- REC FAC-STUDENT FEES</t>
  </si>
  <si>
    <t>12051682 -- LATE NIGHT - STUDENT FEES</t>
  </si>
  <si>
    <t>12019402 -- WOMEN'S VOLLEYBALL (FR)</t>
  </si>
  <si>
    <t>12028667 -- CLUB SPORTS (FR) ADM</t>
  </si>
  <si>
    <t>12051681 -- COLORADO CREW (FR)</t>
  </si>
  <si>
    <t>Speedtype / Program</t>
  </si>
  <si>
    <t>( A )</t>
  </si>
  <si>
    <t>( B )</t>
  </si>
  <si>
    <t>( C )</t>
  </si>
  <si>
    <t>( D )</t>
  </si>
  <si>
    <t>( E )</t>
  </si>
  <si>
    <t>( F )</t>
  </si>
  <si>
    <t>( G )</t>
  </si>
  <si>
    <t>( H )</t>
  </si>
  <si>
    <t>Footnotes</t>
  </si>
  <si>
    <t xml:space="preserve">Seasonalized </t>
  </si>
  <si>
    <t>Act. - Seas.</t>
  </si>
  <si>
    <t>Prior</t>
  </si>
  <si>
    <t>YTD - Prior</t>
  </si>
  <si>
    <t>Annual Budget</t>
  </si>
  <si>
    <t>Budget</t>
  </si>
  <si>
    <t>Seasonal %</t>
  </si>
  <si>
    <t>YTD Actual</t>
  </si>
  <si>
    <t>$ Variance</t>
  </si>
  <si>
    <t>% Variance</t>
  </si>
  <si>
    <t xml:space="preserve">   </t>
  </si>
  <si>
    <t>( B / A )</t>
  </si>
  <si>
    <t>( D - B )</t>
  </si>
  <si>
    <t>( E / B )</t>
  </si>
  <si>
    <t>( G / D ) - 1</t>
  </si>
  <si>
    <t>Revenue</t>
  </si>
  <si>
    <t>Student Fees</t>
  </si>
  <si>
    <t>Self-Generated</t>
  </si>
  <si>
    <t>Gift &amp; Grant</t>
  </si>
  <si>
    <t>Transfers In</t>
  </si>
  <si>
    <t>Total Revenue</t>
  </si>
  <si>
    <t>Salaries &amp; Benefits</t>
  </si>
  <si>
    <t>Professional Salaries</t>
  </si>
  <si>
    <t>Classified Salaries</t>
  </si>
  <si>
    <t>Hourly Wages</t>
  </si>
  <si>
    <t>Professional Benefits</t>
  </si>
  <si>
    <t>Classified Benefits</t>
  </si>
  <si>
    <t>Hourly Benefits</t>
  </si>
  <si>
    <t>Subtotal Salaries &amp; Benefits</t>
  </si>
  <si>
    <t>Operating Expenses</t>
  </si>
  <si>
    <t>Operating Expense Budget</t>
  </si>
  <si>
    <t>COGS</t>
  </si>
  <si>
    <t>Office Administration</t>
  </si>
  <si>
    <t>Official Functions</t>
  </si>
  <si>
    <t>Rentals</t>
  </si>
  <si>
    <t>Promotional Materials &amp; Services</t>
  </si>
  <si>
    <t>Other Operating Expense</t>
  </si>
  <si>
    <t>Subtotal Operating Expenses</t>
  </si>
  <si>
    <t>Travel</t>
  </si>
  <si>
    <t>Employee Travel</t>
  </si>
  <si>
    <t>Non-Employee Travel</t>
  </si>
  <si>
    <t>Subtotal Travel</t>
  </si>
  <si>
    <t>Other Fund Deductions</t>
  </si>
  <si>
    <t>Insurance</t>
  </si>
  <si>
    <t>Utilities</t>
  </si>
  <si>
    <t>Facilities &amp; Admin.</t>
  </si>
  <si>
    <t>GAR</t>
  </si>
  <si>
    <t>GIR</t>
  </si>
  <si>
    <t>Subtotal Other Deductions</t>
  </si>
  <si>
    <t>Total Expenses</t>
  </si>
  <si>
    <t>Transfers Out &amp; Debt Management</t>
  </si>
  <si>
    <t>Transfers Out</t>
  </si>
  <si>
    <t>Debt Management</t>
  </si>
  <si>
    <t>Subtotal Transfers Out &amp; Debt</t>
  </si>
  <si>
    <t>Net Position</t>
  </si>
  <si>
    <t>Footnotes:</t>
  </si>
  <si>
    <t>Annual</t>
  </si>
  <si>
    <t>Quarter One</t>
  </si>
  <si>
    <t>Quarter Two</t>
  </si>
  <si>
    <t>Quarter Three</t>
  </si>
  <si>
    <t>Quarter Four</t>
  </si>
  <si>
    <t>FY Total</t>
  </si>
  <si>
    <t>Average Actuals</t>
  </si>
  <si>
    <t>Actuals</t>
  </si>
  <si>
    <t>YTD Average</t>
  </si>
  <si>
    <t>YTD Actuals</t>
  </si>
  <si>
    <t>FY XX</t>
  </si>
  <si>
    <t>Cost Center</t>
  </si>
  <si>
    <t># of Years</t>
  </si>
  <si>
    <t>Fiscal Year Start</t>
  </si>
  <si>
    <t>Select Destination</t>
  </si>
  <si>
    <t>Full File Path</t>
  </si>
  <si>
    <t>REC</t>
  </si>
  <si>
    <t>Line Item Account</t>
  </si>
  <si>
    <t>Account Code</t>
  </si>
  <si>
    <t>Lower</t>
  </si>
  <si>
    <t>Upper</t>
  </si>
  <si>
    <t>Student Fee Revenues</t>
  </si>
  <si>
    <t>220000 - 224999 STUDENT FEES</t>
  </si>
  <si>
    <t>225000 - 229996 REFUND STUDENT ACTIVITY FEES</t>
  </si>
  <si>
    <t>229997 - 229997 FEES BAD DEBT CONTRA</t>
  </si>
  <si>
    <t>229998 FEES SCHOL ALLOW-NONEXMPT</t>
  </si>
  <si>
    <t>229999 FEES SCHOL ALLOW-EXMPT</t>
  </si>
  <si>
    <t>Self-Generated Revenues</t>
  </si>
  <si>
    <t>200000 REVENUE GENERAL BUDGET</t>
  </si>
  <si>
    <t>200100 - 200999 APPROPRIATIONS</t>
  </si>
  <si>
    <t>201000 - 201997 REFUNDS ON APPROPRIATIONS</t>
  </si>
  <si>
    <t>202000 CONTRIBUTN FROM STATE GEN BUDG</t>
  </si>
  <si>
    <t>202001 COP CAPITAL CONTRIBUT TRANSFER</t>
  </si>
  <si>
    <t>202002 COP CAP CONTRIBUT-INT EXP</t>
  </si>
  <si>
    <t>202003 COP CAP CONTRIBUT-INT REV</t>
  </si>
  <si>
    <t>202004 COP CAP CONTRIBUT-ISS COSTS</t>
  </si>
  <si>
    <t>202005 COP 2008 CAPITAL CONTRIBUTION</t>
  </si>
  <si>
    <t>202006 COP 2008 CAP CONT INTEREST REV</t>
  </si>
  <si>
    <t>237500 - 237999 REVENUE-PROGRAM INCOME</t>
  </si>
  <si>
    <t>250000 - 250099 SALES-SERV ED ACT GEN BDGT</t>
  </si>
  <si>
    <t>250100 - 254999 SALES&amp;SRVS EDUCATIONAL ACTIVTS</t>
  </si>
  <si>
    <t>255000 - 259997 REFUND - SALES-SRVS EDUC ACTIV</t>
  </si>
  <si>
    <t>280000 - 280099 AUX ENTERPRISE REV-GEN BDGT</t>
  </si>
  <si>
    <t>280100 - 284999 AUXILLIARY ENTERPRISE REVENUE</t>
  </si>
  <si>
    <t>285000 - 289997 REFUND-AUX ENTERPRISE REVENUE</t>
  </si>
  <si>
    <t>289998 AUX REV SCHOL ALLOW NONEXMPT</t>
  </si>
  <si>
    <t>289999 AUX REV SCHOL ALLOW EXMPT</t>
  </si>
  <si>
    <t>310000 - 310099 HEALTH SERVICES REV-GEN BUDGET</t>
  </si>
  <si>
    <t>310100 - 310999 HEALTH SERVICES REVENUE</t>
  </si>
  <si>
    <t>311000 - 311999 RFND HEALTH SERVICES REVENUE</t>
  </si>
  <si>
    <t>315000 - 315099 F-A GENERAL BUDGET</t>
  </si>
  <si>
    <t>315100 - 315199 F-A REV-RESEARCH ON-CAMPUS</t>
  </si>
  <si>
    <t>315200 - 315299 F-A REV-RESEARCH OFF-CAMPUS</t>
  </si>
  <si>
    <t>315300 - 315399 F-A REV-INSTRUCTION ON-CAMPUS</t>
  </si>
  <si>
    <t>315400 - 315499 F-A REV-INSTRUCTION OFF-CAMPUS</t>
  </si>
  <si>
    <t>315500 - 315599 F-A REV-OTHER ON-CAMPUS</t>
  </si>
  <si>
    <t>315600 - 315699 F-A REV-OTHER OFF-CAMPUS</t>
  </si>
  <si>
    <t>315700 - 315799 STUDENT AID ADMIN ALLOWANCE</t>
  </si>
  <si>
    <t>320000 - 320099 RENTAL INCOME GENERAL BUDGET</t>
  </si>
  <si>
    <t>320100 - 320999 RENTAL INCOME</t>
  </si>
  <si>
    <t>321000 - 321997 REFUND RENTAL INCOME</t>
  </si>
  <si>
    <t>325000 - 325099 MISC INCOME-GEN BUDGET</t>
  </si>
  <si>
    <t>325100 - 332999 MISCELLANEOUS INCOME</t>
  </si>
  <si>
    <t>333000 - 334996 RFND-PROCEEDS PROPERTY SALES</t>
  </si>
  <si>
    <t>334997 - 334997 MISC FEES BAD DEBT CONTRA</t>
  </si>
  <si>
    <t>355000 - 355099 OTHER FUND ADDL GENERAL BUDGET</t>
  </si>
  <si>
    <t>355100 - 355199 US GOVERNMENT ADVANCES</t>
  </si>
  <si>
    <t>355200 - 355299 ADDITIONS TO PLANT</t>
  </si>
  <si>
    <t>355300 - 355399 RETIREMENT OF DEBT</t>
  </si>
  <si>
    <t>355400 - 355499 REFINANCING NET GAINS-LOSSES</t>
  </si>
  <si>
    <t>355500 - 355599 AURARIA LIBRARY-MEDIA REVENUE</t>
  </si>
  <si>
    <t>355700 - 355799 ADDITIONS TO ENDOWMENT FUND</t>
  </si>
  <si>
    <t>380000 - 380099 SERVICE CENTER IN GENERAL BUDG</t>
  </si>
  <si>
    <t>380100 - 384999 SERVICE CENTER IN REVENUE</t>
  </si>
  <si>
    <t>385000 - 389999 REFUND SERVICE CENTER IN REV</t>
  </si>
  <si>
    <t>390000 ID REVENUE GENERAL BUDGET</t>
  </si>
  <si>
    <t>390001 ID MISC REVENUE</t>
  </si>
  <si>
    <t>390002 ID SECURITY SERVICES</t>
  </si>
  <si>
    <t>390003 ID PHYSICAL PLANT SERVICES</t>
  </si>
  <si>
    <t>390004 ID RECYCLING SERVICES</t>
  </si>
  <si>
    <t>390005 ID FOOD SERVICES</t>
  </si>
  <si>
    <t>390006 ID PROFESSIONAL SERVICES</t>
  </si>
  <si>
    <t>390007 ID SUPPLIES SALES</t>
  </si>
  <si>
    <t>390008 ID CUSTODIAL SERVICES</t>
  </si>
  <si>
    <t>390009 ID INFORMATION TECHNOLOGY REV</t>
  </si>
  <si>
    <t>390010 ID STORAGE REVENUE</t>
  </si>
  <si>
    <t>390011 ID PRINTING SERVICES</t>
  </si>
  <si>
    <t>390012 ID INSURANCE REVENUE</t>
  </si>
  <si>
    <t>390013 ID MOVING REVENUE</t>
  </si>
  <si>
    <t>390014 ID RENTAL REVENUE</t>
  </si>
  <si>
    <t>390015 ID SSEA REVENUE</t>
  </si>
  <si>
    <t>390016 ID MEDICAL SERVICES</t>
  </si>
  <si>
    <t>390017 ID TUITION</t>
  </si>
  <si>
    <t>390018 ID INSTRUCTIONAL FEES</t>
  </si>
  <si>
    <t>390019 ID LAB SERVICES</t>
  </si>
  <si>
    <t>390020 ID ADVERTISING REVENUES</t>
  </si>
  <si>
    <t>390021 ID LABORATORY SALES</t>
  </si>
  <si>
    <t>390022 ID GME-HLTH BEN-MEDICAL PREM</t>
  </si>
  <si>
    <t>390023 ID GME-HLTH BEN-DENTAL PREM</t>
  </si>
  <si>
    <t>390024 ID GME-OFF-CAMP LIFE INS PREM</t>
  </si>
  <si>
    <t>390025 ID GME-OFF-CAMP DISAB PREM</t>
  </si>
  <si>
    <t>390026 ID GME-OFF-CAMP MALPRACT PREM</t>
  </si>
  <si>
    <t>390027 ID GME - ADMINISTRATIVE FEE</t>
  </si>
  <si>
    <t>390029 ID ISIS BILLING SERVICE REV</t>
  </si>
  <si>
    <t>390030 ID ISISCOLLECTIONSERVICES REV</t>
  </si>
  <si>
    <t>390031 ID LABOR REVENUE</t>
  </si>
  <si>
    <t>390032 ID TRASH ROLLOFF REVENUE</t>
  </si>
  <si>
    <t>390049 ID LEGAL REIMBURSEMENT</t>
  </si>
  <si>
    <t>390050 ID LICENSE DISBURSEMENT-UCB</t>
  </si>
  <si>
    <t>390051 ID LICENSE DISBURSMT-UCDANSCHZ</t>
  </si>
  <si>
    <t>390052 ID LICENSE DISBURSMT-UCDDENVER</t>
  </si>
  <si>
    <t>390053 ID LICENSE DISBURSEMENT-UCCS</t>
  </si>
  <si>
    <t>390054 ID LICENSE DISTRIBUTION-TTO</t>
  </si>
  <si>
    <t>390055 ID TTO MGMT FEE</t>
  </si>
  <si>
    <t>390056 ID GENERAL REVENUE FROM UCB</t>
  </si>
  <si>
    <t>390057 ID GENERAL REVENUE FROM HSC</t>
  </si>
  <si>
    <t>390058 ID GENERAL REVENUE FROM UCD</t>
  </si>
  <si>
    <t>390059 ID GENERAL REVENUE FROM UCCS</t>
  </si>
  <si>
    <t>390060 ID GENERAL REVENUE FROM SYS</t>
  </si>
  <si>
    <t>390061 ID INTRNL LOAN INTEREST REV</t>
  </si>
  <si>
    <t>390062 ID RENT - BOOKSTORE</t>
  </si>
  <si>
    <t>390063 ID RENT - IMAGING SERVICES</t>
  </si>
  <si>
    <t>390064 ID RENT - FA-STUDENT EMPLOYMNT</t>
  </si>
  <si>
    <t>390065 ID RENT - GREEK AFFAIRS</t>
  </si>
  <si>
    <t>390066 ID RENT - PHARMACY</t>
  </si>
  <si>
    <t>390067 ID RENT - STAFF COUNCIL</t>
  </si>
  <si>
    <t>390069 ID RENT - HONOR CODE</t>
  </si>
  <si>
    <t>390070 ID DISCOUNTS</t>
  </si>
  <si>
    <t>390071 ID ROOM RENTAL - UMC</t>
  </si>
  <si>
    <t>390072 ID ROOM RENTAL - NON-ACADEMIC</t>
  </si>
  <si>
    <t>390073 ID ROOM RENTAL - CONFERENCES</t>
  </si>
  <si>
    <t>390074 ID KEY FEES</t>
  </si>
  <si>
    <t>390075 ID RENT - CAREER SERVICES</t>
  </si>
  <si>
    <t>390076 ID CONFERENCE REVENUE</t>
  </si>
  <si>
    <t>390077 ID FACILITY RENTAL</t>
  </si>
  <si>
    <t>390078 ID EQUIPMENT RENTAL</t>
  </si>
  <si>
    <t>390079 ID LABOR REVENUE</t>
  </si>
  <si>
    <t>390080 ID CONCERT REVENUE</t>
  </si>
  <si>
    <t>390081 ID ASSESSMENT REVENUE</t>
  </si>
  <si>
    <t>390083 ID CME CONFERENCE FEE REVENUE</t>
  </si>
  <si>
    <t>390084 ID CME ADMIN FEE REVENUE</t>
  </si>
  <si>
    <t>390085 ID SSE PROMOTIONAL SUPPORT</t>
  </si>
  <si>
    <t>390086 ID - ELECTRICITY</t>
  </si>
  <si>
    <t>390087 ID - WATER</t>
  </si>
  <si>
    <t>390088 ID - SEWER</t>
  </si>
  <si>
    <t>390089 ID - NATURAL GAS</t>
  </si>
  <si>
    <t>390090 ID - FLOOD CONTROL</t>
  </si>
  <si>
    <t>390091 ID ROYALTY REVENUE ALLOCATION</t>
  </si>
  <si>
    <t>390092 ID REVENUE REFUND</t>
  </si>
  <si>
    <t>390093 ID BLDG OPER REVENUE</t>
  </si>
  <si>
    <t>390094 ID NETWORK SERVICES</t>
  </si>
  <si>
    <t>390095 ID IRB REVENUE</t>
  </si>
  <si>
    <t>390096 ID - LOGGIA RENT</t>
  </si>
  <si>
    <t>390098 ID GRAD STUDNT TUITION PAYBACK</t>
  </si>
  <si>
    <t>390100 ID CME CONFERENCE SERVICE FEE</t>
  </si>
  <si>
    <t>390101 ID CME ADMINISTRATIVE FEE</t>
  </si>
  <si>
    <t>390102 ID CME PER-PERSON FEE</t>
  </si>
  <si>
    <t>390103 ID CME CONFERENCE BALANCE FEE</t>
  </si>
  <si>
    <t>390104 ID CME MISC ADMIN FEE</t>
  </si>
  <si>
    <t>390105 ID MEMBERSHIP-DUES REVENUE</t>
  </si>
  <si>
    <t>390106 ID RENT - PEACE CORPS</t>
  </si>
  <si>
    <t>390107 ID-SPECIAL EVENT ADMISSION REV</t>
  </si>
  <si>
    <t>390108 ID PROGRAM INCOME</t>
  </si>
  <si>
    <t>390109 ID CAMPUS NETWORK REVENUE</t>
  </si>
  <si>
    <t>390110 ID CU TRASH PICKUP HSG</t>
  </si>
  <si>
    <t>390111 ID CU TRASH PICKUP MISC</t>
  </si>
  <si>
    <t>390112 ID SSEA CAPE-CHA-PA-AMC SOM</t>
  </si>
  <si>
    <t>390113 ID SSEA CAPE-PHYSTHERAPY-AMC</t>
  </si>
  <si>
    <t>390114 ID SSEA CAPE-UME-AMC</t>
  </si>
  <si>
    <t>390115 ID SSEA CAPE-CON-AMC</t>
  </si>
  <si>
    <t>390116 ID SSEA CAPE-GME-AMC SOM</t>
  </si>
  <si>
    <t>390117 ID SSEA CAPE-INTERPROFSSNL-AMC</t>
  </si>
  <si>
    <t>390118 ID SSEA CAPE-SDM-AMC</t>
  </si>
  <si>
    <t>390119 ID SSEA CAPE-SOP-AMC</t>
  </si>
  <si>
    <t>390120 ID SSEA CAPE-STUDENT GROUPS</t>
  </si>
  <si>
    <t>390121 ID SSEA CAPE-STD PT RENTALS</t>
  </si>
  <si>
    <t>390122 ID SSEA CAPE-SPACE RENTALS</t>
  </si>
  <si>
    <t xml:space="preserve">390123 ID SALES TO GRANTS-CONTRACTS		</t>
  </si>
  <si>
    <t>390124 ID TTO CMMIZ SVC-FEDERAL AWDS</t>
  </si>
  <si>
    <t>390125 ID SURPLUS PROPERTY PROCEEDS</t>
  </si>
  <si>
    <t>390126 ID ALCOHOL SALES</t>
  </si>
  <si>
    <t>235000 - 235099 GRANTS-CONTRACTS-GFTS-GEN BDGT</t>
  </si>
  <si>
    <t>235100 - 235399 GRANTS-CONTRACT - FEDERAL</t>
  </si>
  <si>
    <t>235400 - 236499 GRANT-CONTRACT - FED SUB-RECIP</t>
  </si>
  <si>
    <t>236500 - 236999 GRANT-CONTRACT - STATE OF COLO</t>
  </si>
  <si>
    <t>237000 - 237499 GRANT-CONTRACT - GOVT</t>
  </si>
  <si>
    <t>240000 - 240997 PRIVATE GIFTS-GRANTS-CONTRACTS</t>
  </si>
  <si>
    <t>390028 ID GIFT REVENUE - COLEMAN</t>
  </si>
  <si>
    <t>390097 ID GIFT - ATHLETIC SUPPORT</t>
  </si>
  <si>
    <t>971101 - 971101 REFUNDED TO GRANTORS-FEDERAL</t>
  </si>
  <si>
    <t>995000 - 996999 VOLUNTARY TRANSFERS IN</t>
  </si>
  <si>
    <t>400000 - 400189 FAC FTP SAL</t>
  </si>
  <si>
    <t>400190 - 400289 CLNFAC FTP SAL</t>
  </si>
  <si>
    <t>400290 - 400389 RSCHFAC FTP SAL</t>
  </si>
  <si>
    <t>400390 - 400549 PRAFAC FTP SAL</t>
  </si>
  <si>
    <t>400550 - 400689 RSASFAC FTP SAL</t>
  </si>
  <si>
    <t>400690 - 400789 OTHFAC FTP SAL</t>
  </si>
  <si>
    <t>400790 - 400889 FELL FT PAY</t>
  </si>
  <si>
    <t>400890 - 400999 ALLFAC FTP SAL</t>
  </si>
  <si>
    <t>401000 - 401099 RSCHFAC P-TGR SAL</t>
  </si>
  <si>
    <t>401100 - 401199 CLNFAC P-TGR SAL</t>
  </si>
  <si>
    <t>401200 - 401449 FAC P-TGR SAL</t>
  </si>
  <si>
    <t>401450 - 401649 PRA P-TGR FAC SAL</t>
  </si>
  <si>
    <t>401650 - 401749 PRAFAC SAL</t>
  </si>
  <si>
    <t>401750 - 401849 RSASFAC P-TGR FAC SAL</t>
  </si>
  <si>
    <t>401850 - 402099 OTHFAC P-TGR SAL</t>
  </si>
  <si>
    <t>402200 - 402249 STDFAC FTP SAL</t>
  </si>
  <si>
    <t>402250 - 402299 STDFAC FTT SAL</t>
  </si>
  <si>
    <t>402300 - 402349 STDFAC PTP SAL</t>
  </si>
  <si>
    <t>402350 - 402399 STDFAC PTT SAL</t>
  </si>
  <si>
    <t>402400 - 402499 ALLSTD FAC SAL</t>
  </si>
  <si>
    <t>402500 - 403099 O-E SAL</t>
  </si>
  <si>
    <t>403100 - 404999 PLACEHOLDER</t>
  </si>
  <si>
    <t>405000 - 405149 CLASS FTP SAL</t>
  </si>
  <si>
    <t>405150 - 405249 CLASS PTP SAL</t>
  </si>
  <si>
    <t>405250 - 405349 CLASS FTT SAL</t>
  </si>
  <si>
    <t>405350 - 405449 CLASS PTT SAL</t>
  </si>
  <si>
    <t>405450 - 405999 ALLCLASS SAL</t>
  </si>
  <si>
    <t>406000 - 407499 PLACEHOLDER</t>
  </si>
  <si>
    <t>407500 - 407699 STD HR PAY</t>
  </si>
  <si>
    <t>407700 - 407799 STD ONC WS PAY</t>
  </si>
  <si>
    <t>407800 - 407899 STD OFFC WS PAY</t>
  </si>
  <si>
    <t>407900 - 407999 STD HR OVERTIME</t>
  </si>
  <si>
    <t>408100 - 408199 OTH PER PAY</t>
  </si>
  <si>
    <t>408200 - 408299 ALL STD PAY</t>
  </si>
  <si>
    <t>410000 - 418399 SUSPENSE SAL</t>
  </si>
  <si>
    <t>418400 - 418499 FAC FTP BEN</t>
  </si>
  <si>
    <t>418500 - 418599 CLNFAC FTP BEN</t>
  </si>
  <si>
    <t>418600 - 418699 RSCHFAC FTP BEN</t>
  </si>
  <si>
    <t>418700 - 418799 PRAFAC FTP BEN</t>
  </si>
  <si>
    <t>418800 - 418899 RSASFAC FTP BEN</t>
  </si>
  <si>
    <t>418900 - 418999 OTHFAC FTP BEN</t>
  </si>
  <si>
    <t>419000 - 419089 FELL FT BEN</t>
  </si>
  <si>
    <t>419090 - 419899 ALLFAC FTP BEN</t>
  </si>
  <si>
    <t>419900 - 420499 PLACEHOLDER</t>
  </si>
  <si>
    <t>420500 - 420999 FAC P-TGR BEN</t>
  </si>
  <si>
    <t>421000 - 421199 CLNFAC P-TGR BEN</t>
  </si>
  <si>
    <t>421200 - 421399 RSCHFAC P-TGR BEN</t>
  </si>
  <si>
    <t>421400 - 421599 OTHFAC P-TGR BEN</t>
  </si>
  <si>
    <t>421600 - 421799 PRAFAC P-TGR BEN</t>
  </si>
  <si>
    <t>421800 - 421999 RSASFAC P-TGR BEN</t>
  </si>
  <si>
    <t>422000 - 422099 FELL PT BEN</t>
  </si>
  <si>
    <t>422100 - 422204 ALLFAC P-TGR BEN</t>
  </si>
  <si>
    <t>422210 - 422259 STDFAC FTP BEN</t>
  </si>
  <si>
    <t>422260 - 422299 STDFAC FTT BEN</t>
  </si>
  <si>
    <t>422300 - 422359 STDFAC PTP BEN</t>
  </si>
  <si>
    <t>422360 - 422399 STDFAC PTT BEN</t>
  </si>
  <si>
    <t>422400 - 422409 ALLSTD FAC BEN</t>
  </si>
  <si>
    <t>422410 - 422439 ALLSTD FAC TTN BEN</t>
  </si>
  <si>
    <t>422440 - 422499 ALLSTD FAC MISC BEN</t>
  </si>
  <si>
    <t>422500 - 422799 O-E BEN</t>
  </si>
  <si>
    <t>422800 - 422899 MDRS BEN (HSC)</t>
  </si>
  <si>
    <t>422900 - 424999 PLACEHOLDER</t>
  </si>
  <si>
    <t>425000 - 425099 CLASS FTP BEN</t>
  </si>
  <si>
    <t>425100 - 425199 CLASS PTP BEN</t>
  </si>
  <si>
    <t>425200 - 425299 CLASS FTT BEN</t>
  </si>
  <si>
    <t>425300 - 425399 CLASS PTT BEN</t>
  </si>
  <si>
    <t>425400 - 426399 ALLCLASS BEN</t>
  </si>
  <si>
    <t>426400 - 427499 PLACEHOLDER</t>
  </si>
  <si>
    <t>427500 - 428259 STD HR BEN</t>
  </si>
  <si>
    <t>428260 - 428289 OTH PER BEN</t>
  </si>
  <si>
    <t>428290 - 429199 ALL STD-OTH PER BEN</t>
  </si>
  <si>
    <t>429200 - 429999 PLACEHOLDER</t>
  </si>
  <si>
    <t>430000 - 430199 PBS SUSPENSE</t>
  </si>
  <si>
    <t>430200 - 430899 PLACEHOLDER</t>
  </si>
  <si>
    <t>430900 - 430999 SUSPENSE BEN</t>
  </si>
  <si>
    <t>431000 - 431000 PERA PENSION EXPENSE OFFSET</t>
  </si>
  <si>
    <t>431001 - 439999 PLACEHOLDER</t>
  </si>
  <si>
    <t>460000 - 479999 OPERATING EXPENSE GEN BUDGET</t>
  </si>
  <si>
    <t>450100 - 450199 COGS-GENERAL BUDGET</t>
  </si>
  <si>
    <t>450200 - 450299 COGS-COST OF GOODS SOLD</t>
  </si>
  <si>
    <t>450300 - 450399 PHYSICAL INVENTORY ADJUSTMENT</t>
  </si>
  <si>
    <t>450400 - 450499 COST OF GOODS SOLD ADJUSTMENTS</t>
  </si>
  <si>
    <t>450500 - 450599 FREIGHT RETURNED PURCHASES</t>
  </si>
  <si>
    <t>450600 - 459999 PLACEHOLDER</t>
  </si>
  <si>
    <t>480000 - 482499 OFFICE ADMINSTRATION</t>
  </si>
  <si>
    <t>482500 - 484999 TELECOMMUNICATIONS</t>
  </si>
  <si>
    <t>485000 - 487499 POSTAL COSTS</t>
  </si>
  <si>
    <t>500000 - 502499 INFORMATION TECHNOLOGY</t>
  </si>
  <si>
    <t>512500 - 514999 SUBSCRIPT,BKS,PERIODCLS,SCORS</t>
  </si>
  <si>
    <t>517500 - 519999 CUSTODIAL AND LAUNDRY</t>
  </si>
  <si>
    <t>527500 - 529999 INSTRUCTIONAL SUPPLIES &amp; SRVS</t>
  </si>
  <si>
    <t>530000 - 532499 LABORATORY &amp; TECHNICAL SHOP</t>
  </si>
  <si>
    <t>540000 - 542499 FREIGHT, MOVING AND STORAGE</t>
  </si>
  <si>
    <t>790000 - 790099 BKS-PER LIBRARY GEN BDGT</t>
  </si>
  <si>
    <t>790100 - 790109 CAP. BKS-PERIODICALS LIBRARY</t>
  </si>
  <si>
    <t>790110 - 790275 NONCAP BKS-PERIODICALS LIBRARY</t>
  </si>
  <si>
    <t>522500 - 524999 FOOD SUPPLIES AND SERVICES</t>
  </si>
  <si>
    <t>550000 - 552499 OFFICIAL FUNCTIONS</t>
  </si>
  <si>
    <t>502500 - 504999 RENTALS, BUILDING, SPACE, LAND</t>
  </si>
  <si>
    <t>487500 - 489999 PRINT, PUBLICATIONS&amp;REPRODUCTN</t>
  </si>
  <si>
    <t>490000 - 492499 MICROFORM,PHOTOGR&amp;GRAPHICSUPPL</t>
  </si>
  <si>
    <t>507500 - 509999 ADVERTISING AND PUBLICITY</t>
  </si>
  <si>
    <t>492500 - 494999 GRANTS AND SUBCONTRACTS</t>
  </si>
  <si>
    <t>495000 - 497499 HONOR, FELLWSHPS &amp; PART. COSTS</t>
  </si>
  <si>
    <t>497500 - 499999 MOTOR VEHICLE MAINT &amp; SUPPLIES</t>
  </si>
  <si>
    <t>510000 - 512499 DUES AND MEMBERSHIPS</t>
  </si>
  <si>
    <t>515000 - 517499 PHYSICAL PLANT MAINT &amp; REPAIR</t>
  </si>
  <si>
    <t>520000 - 522499 HOSPITALIZATION COSTS</t>
  </si>
  <si>
    <t>532500 - 534999 FIELD RESEARCH EXPENSES</t>
  </si>
  <si>
    <t>535000 - 537499 MEDICAL SUPPLIES AND SERVICES</t>
  </si>
  <si>
    <t>537500 - 539999 EQUIPMENT - NON-CAPITAL</t>
  </si>
  <si>
    <t>547500 - 549999 DONATIONS &amp; COMMUNITY SUPPORT</t>
  </si>
  <si>
    <t>552500 - 557499 OTHER OPERATING EXPENSES</t>
  </si>
  <si>
    <t>557500 - 699999 PLACEHOLDER</t>
  </si>
  <si>
    <t>950700 - 950799 STUDENT AID ADMIN ALLOWANCE</t>
  </si>
  <si>
    <t>700000 - 700099 TRAVEL GENERAL BUDGET</t>
  </si>
  <si>
    <t>700100 - 701999 EMPLOYEE TRAVEL</t>
  </si>
  <si>
    <t>702000 - 703999 NON-EMPLOYEE TRAVEL</t>
  </si>
  <si>
    <t>545000 - 545499 INSURANCE</t>
  </si>
  <si>
    <t>750000 - 750099 UTILITIES GENERAL BUDGET</t>
  </si>
  <si>
    <t>750100 - 750199 UTILITIES</t>
  </si>
  <si>
    <t>750200 - 750299 STEAM</t>
  </si>
  <si>
    <t>750300 - 750399 ELECTRICITY</t>
  </si>
  <si>
    <t>750400 - 750499 WATER</t>
  </si>
  <si>
    <t>750500 - 750599 SEWER</t>
  </si>
  <si>
    <t>750600 - 750699 NATURAL GAS</t>
  </si>
  <si>
    <t>750700 - 750799 FUEL OIL</t>
  </si>
  <si>
    <t>750800 - 750899 CHILLED WATER</t>
  </si>
  <si>
    <t>750900 - 750999 FLOOD CONTROL</t>
  </si>
  <si>
    <t>751000 - 751099 OTHER UTILITIES</t>
  </si>
  <si>
    <t>751100 - 751199 AHEC UTILITIES</t>
  </si>
  <si>
    <t>752492 ID - CHILLED WATER</t>
  </si>
  <si>
    <t>752493 ID - OTHER UTILITIES</t>
  </si>
  <si>
    <t>752494 ID - ELECTRIC</t>
  </si>
  <si>
    <t>752495 ID - WATER</t>
  </si>
  <si>
    <t>752496 ID - SEWER</t>
  </si>
  <si>
    <t>792500 NONOPERATING EXPENSE MISC</t>
  </si>
  <si>
    <t>792501 CAPITAL DISTRIBUTION</t>
  </si>
  <si>
    <t>810000 - 810099 FIXED ASSETS GENERAL BUDGET</t>
  </si>
  <si>
    <t>810100 - 810199 EQUIPMENT OVER $5,000</t>
  </si>
  <si>
    <t>810200 - 810299 EQUIP OVER $5,000 GOVT TITLE</t>
  </si>
  <si>
    <t>810300 - 810349 EQUIP OVER $5,000 PRIVATE TTLE</t>
  </si>
  <si>
    <t>810350 - 810399 INTANGIBLE ASSETS</t>
  </si>
  <si>
    <t>810400 - 810499 NON-DEPRECIABLE COLLECTIONS</t>
  </si>
  <si>
    <t>810500 - 810599 LEASE PURCHASE PRINCIPAL</t>
  </si>
  <si>
    <t>810600 - 810699 LEASE PURCHASE INTEREST</t>
  </si>
  <si>
    <t>810700 - 810799 EQUIPMENT COMPONENTS</t>
  </si>
  <si>
    <t>810800 - 810899 FEDERAL EQUIPMENT COMPONENTS</t>
  </si>
  <si>
    <t>810900 - 810999 EQUIP LESS THAN $5,000 FA EXMP</t>
  </si>
  <si>
    <t>811000 - 811099 LAND-SITE ACQUISITION</t>
  </si>
  <si>
    <t>811100 - 811199 BUILDING ACQUISITION</t>
  </si>
  <si>
    <t>811200 - 811299 1998 COP EQUIP OVER $5,000</t>
  </si>
  <si>
    <t>811300 - 811399 CONSTRUCTION COSTS</t>
  </si>
  <si>
    <t>970100 - 970199 EXPANDED PLANT FACILITIES</t>
  </si>
  <si>
    <t>970200 - 970299 CAPITALIZE CONSTRUCT-IN-PROGRE</t>
  </si>
  <si>
    <t>950000 - 950099 F-A GENERAL BUDGET</t>
  </si>
  <si>
    <t>950100 - 950199 FACILITIES&amp;ADMINSTRATION COSTS</t>
  </si>
  <si>
    <t>950200 - 950299 F-A - RESEARCH OFF-CAMPUS</t>
  </si>
  <si>
    <t>950300 - 950399 F-A INSTRUCTIONAL ON-CAMPUS</t>
  </si>
  <si>
    <t>950400 - 950499 F-A INSTRUCTIONAL OFF-CAMPUS</t>
  </si>
  <si>
    <t>950500 - 950599 F-A OTHER ON-CAMPUS</t>
  </si>
  <si>
    <t>950600 - 950699 F-A OTHER OFF-CAMPUS</t>
  </si>
  <si>
    <t>790276 - 790399 LIBRARY-PERIODICALS RECHARGE</t>
  </si>
  <si>
    <t>960100 - 960199 GEN ADMIN RECHARGE</t>
  </si>
  <si>
    <t>960400 - 960499 OTHER ALLOCATIONS</t>
  </si>
  <si>
    <t>960200 - 960299 GENERAL INFRASTRUCTURE RECHARG</t>
  </si>
  <si>
    <t>997000 - 999997 VOLUNTARY TRANSFERS OUT</t>
  </si>
  <si>
    <t>542500 - 544999 INTEREST, ROYALTIES &amp; PATENTS</t>
  </si>
  <si>
    <t>811400 - 812399 DEPR-AMORT EXPENSE</t>
  </si>
  <si>
    <t>970000 - 970099 OTHER DEDUCTIONS GEN BUDGET</t>
  </si>
  <si>
    <t>970300 - 970399 DISPOSAL OF PLANT FACILITIES</t>
  </si>
  <si>
    <t>970400 - 970499 FIXED ASSET INVENTORY ADJUST</t>
  </si>
  <si>
    <t>970500 - 970599 LONG-TERM LIABILITY ASSUMED</t>
  </si>
  <si>
    <t>970600 - 970699 CAPITALIZED ASSET-DEBT</t>
  </si>
  <si>
    <t>970700 - 970799 BOND RETIREMENT</t>
  </si>
  <si>
    <t>970800 - 970899 LONG-TERM NOTE RETIREMENT</t>
  </si>
  <si>
    <t>970900 - 970999 BOND INTEREST</t>
  </si>
  <si>
    <t>971000 - 971099 LONG-TERM NOTE INTEREST</t>
  </si>
  <si>
    <t>971100 - 971199 OTHER FUND DEDUCTIONS</t>
  </si>
  <si>
    <t>971200 - 971299 LOAN CANCELLATION</t>
  </si>
  <si>
    <t>971300 - 971399 ENDOWMENT DEDUCTION</t>
  </si>
  <si>
    <t>972000 - 994999 MISCELLANEOUS DEBT</t>
  </si>
  <si>
    <t>Speedtype</t>
  </si>
  <si>
    <t>Consolidate Into</t>
  </si>
  <si>
    <t>CEB</t>
  </si>
  <si>
    <t>12020398 -- CEB ADMINISTRATION</t>
  </si>
  <si>
    <t>CEB Administration</t>
  </si>
  <si>
    <t>12030596 -- CULTURAL EVENT BD OP</t>
  </si>
  <si>
    <t>12026018 -- CEB BOARD PROJECTS</t>
  </si>
  <si>
    <t>CEB Board Projects</t>
  </si>
  <si>
    <t>12026019 -- GROUP PROJECTS MASTER</t>
  </si>
  <si>
    <t>CEB Group Projects</t>
  </si>
  <si>
    <t>12033239 -- CEB CAPITAL</t>
  </si>
  <si>
    <t>12057809 -- VENUE FOR STUDENT ENTERTAINMNT</t>
  </si>
  <si>
    <t>12057810 -- VENUE FOR STUDENT ENTERTAINMNT</t>
  </si>
  <si>
    <t>12057811 -- VENUE FOR STUDENT ENTERTAINMNT</t>
  </si>
  <si>
    <t>12057812 -- VENUE FOR STUDENT ENTERTAINMNT</t>
  </si>
  <si>
    <t>12057813 -- VENUE FOR STUDENT ENTERTAINMNT</t>
  </si>
  <si>
    <t>12057814 -- VENUE FOR STUDENT ENTERTAINMNT</t>
  </si>
  <si>
    <t>12057815 -- VENUE FOR STUDENT ENTERTAINMNT</t>
  </si>
  <si>
    <t>12057816 -- VENUE FOR STUDENT ENTERTAINMNT</t>
  </si>
  <si>
    <t>12057817 -- VENUE FOR STUDENT ENTERTAINMNT</t>
  </si>
  <si>
    <t>12057818 -- VENUE FOR STUDENT ENTERTAINMNT</t>
  </si>
  <si>
    <t>12057819 -- VENUE FOR STUDENT ENTERTAINMNT</t>
  </si>
  <si>
    <t>12057820 -- VENUE FOR STUDENT ENTERTAINMNT</t>
  </si>
  <si>
    <t>12057821 -- VENUE FOR STUDENT ENTERTAINMNT</t>
  </si>
  <si>
    <t>12057822 -- VENUE FOR STUDENT ENTERTAINMNT</t>
  </si>
  <si>
    <t>12057823 -- VENUE FOR STUDENT ENTERTAINMNT</t>
  </si>
  <si>
    <t>12057824 -- VENUE FOR STUDENT ENTERTAINMNT</t>
  </si>
  <si>
    <t>12057825 -- VENUE FOR STUDENT ENTERTAINMNT</t>
  </si>
  <si>
    <t>12057826 -- VENUE FOR STUDENT ENTERTAINMNT</t>
  </si>
  <si>
    <t>12057827 -- VENUE FOR STUDENT ENTERTAINMNT</t>
  </si>
  <si>
    <t>12057828 -- VENUE FOR STUDENT ENTERTAINMNT</t>
  </si>
  <si>
    <t>12057829 -- VENUE FOR STUDENT ENTERTAINMNT</t>
  </si>
  <si>
    <t>12057830 -- VENUE FOR STUDENT ENTERTAINMNT</t>
  </si>
  <si>
    <t>12057831 -- VENUE FOR STUDENT ENTERTAINMNT</t>
  </si>
  <si>
    <t>12057832 -- VENUE FOR STUDENT ENTERTAINMNT</t>
  </si>
  <si>
    <t>12057833 -- VENUE FOR STUDENT ENTERTAINMNT</t>
  </si>
  <si>
    <t>12057834 -- VENUE FOR STUDENT ENTERTAINMNT</t>
  </si>
  <si>
    <t>12057835 -- VENUE FOR STUDENT ENTERTAINMNT</t>
  </si>
  <si>
    <t>12057836 -- VENUE FOR STUDENT ENTERTAINMNT</t>
  </si>
  <si>
    <t>12057837 -- VENUE FOR STUDENT ENTERTAINMNT</t>
  </si>
  <si>
    <t>12057838 -- VENUE FOR STUDENT ENTERTAINMNT</t>
  </si>
  <si>
    <t>12057839 -- VENUE FOR STUDENT ENTERTAINMNT</t>
  </si>
  <si>
    <t>12057840 -- VENUE FOR STUDENT ENTERTAINMNT</t>
  </si>
  <si>
    <t>12057841 -- VENUE FOR STUDENT ENTERTAINMNT</t>
  </si>
  <si>
    <t>12057842 -- VENUE FOR STUDENT ENTERTAINMNT</t>
  </si>
  <si>
    <t>12057843 -- VENUE FOR STUDENT ENTERTAINMNT</t>
  </si>
  <si>
    <t>12057844 -- VENUE FOR STUDENT ENTERTAINMNT</t>
  </si>
  <si>
    <t>12057845 -- VENUE FOR STUDENT ENTERTAINMNT</t>
  </si>
  <si>
    <t>12057846 -- VENUE FOR STUDENT ENTERTAINMNT</t>
  </si>
  <si>
    <t>12057847 -- VENUE FOR STUDENT ENTERTAINMNT</t>
  </si>
  <si>
    <t>12057848 -- VENUE FOR STUDENT ENTERTAINMNT</t>
  </si>
  <si>
    <t>12057849 -- VENUE FOR STUDENT ENTERTAINMNT</t>
  </si>
  <si>
    <t>12057850 -- VENUE FOR STUDENT ENTERTAINMNT</t>
  </si>
  <si>
    <t>12057851 -- VENUE FOR STUDENT ENTERTAINMNT</t>
  </si>
  <si>
    <t>12057852 -- VENUE FOR STUDENT ENTERTAINMNT</t>
  </si>
  <si>
    <t>12057853 -- VENUE FOR STUDENT ENTERTAINMNT</t>
  </si>
  <si>
    <t>12057854 -- VENUE FOR STUDENT ENTERTAINMNT</t>
  </si>
  <si>
    <t>12057855 -- VENUE FOR STUDENT ENTERTAINMNT</t>
  </si>
  <si>
    <t>12057856 -- VENUE FOR STUDENT ENTERTAINMNT</t>
  </si>
  <si>
    <t>12057857 -- VENUE FOR STUDENT ENTERTAINMNT</t>
  </si>
  <si>
    <t>12057858 -- VENUE FOR STUDENT ENTERTAINMNT</t>
  </si>
  <si>
    <t>12057859 -- VENUE FOR STUDENT ENTERTAINMNT</t>
  </si>
  <si>
    <t>12057860 -- VENUE FOR STUDENT ENTERTAINMNT</t>
  </si>
  <si>
    <t>12057861 -- VENUE FOR STUDENT ENTERTAINMNT</t>
  </si>
  <si>
    <t>12057862 -- VENUE FOR STUDENT ENTERTAINMNT</t>
  </si>
  <si>
    <t>12057863 -- VENUE FOR STUDENT ENTERTAINMNT</t>
  </si>
  <si>
    <t>12057864 -- VENUE FOR STUDENT ENTERTAINMNT</t>
  </si>
  <si>
    <t>12057865 -- VENUE FOR STUDENT ENTERTAINMNT</t>
  </si>
  <si>
    <t>12057866 -- VENUE FOR STUDENT ENTERTAINMNT</t>
  </si>
  <si>
    <t>12057867 -- VENUE FOR STUDENT ENTERTAINMNT</t>
  </si>
  <si>
    <t>12057868 -- VENUE FOR STUDENT ENTERTAINMNT</t>
  </si>
  <si>
    <t>12057869 -- VENUE FOR STUDENT ENTERTAINMNT</t>
  </si>
  <si>
    <t>12057870 -- VENUE FOR STUDENT ENTERTAINMNT</t>
  </si>
  <si>
    <t>12057871 -- VENUE FOR STUDENT ENTERTAINMNT</t>
  </si>
  <si>
    <t>12057872 -- VENUE FOR STUDENT ENTERTAINMNT</t>
  </si>
  <si>
    <t>12057873 -- VENUE FOR STUDENT ENTERTAINMNT</t>
  </si>
  <si>
    <t>12057874 -- VENUE FOR STUDENT ENTERTAINMNT</t>
  </si>
  <si>
    <t>12057875 -- VENUE FOR STUDENT ENTERTAINMNT</t>
  </si>
  <si>
    <t>12057876 -- VENUE FOR STUDENT ENTERTAINMNT</t>
  </si>
  <si>
    <t>12057877 -- VENUE FOR STUDENT ENTERTAINMNT</t>
  </si>
  <si>
    <t>12057878 -- VENUE FOR STUDENT ENTERTAINMNT</t>
  </si>
  <si>
    <t>12057879 -- VENUE FOR STUDENT ENTERTAINMNT</t>
  </si>
  <si>
    <t>12057880 -- VENUE FOR STUDENT ENTERTAINMNT</t>
  </si>
  <si>
    <t>12057881 -- VENUE FOR STUDENT ENTERTAINMNT</t>
  </si>
  <si>
    <t>12057882 -- VENUE FOR STUDENT ENTERTAINMNT</t>
  </si>
  <si>
    <t>12057883 -- VENUE FOR STUDENT ENTERTAINMNT</t>
  </si>
  <si>
    <t>12057884 -- VENUE FOR STUDENT ENTERTAINMNT</t>
  </si>
  <si>
    <t>12057885 -- VENUE FOR STUDENT ENTERTAINMNT</t>
  </si>
  <si>
    <t>12057886 -- VENUE FOR STUDENT ENTERTAINMNT</t>
  </si>
  <si>
    <t>12057887 -- VENUE FOR STUDENT ENTERTAINMNT</t>
  </si>
  <si>
    <t>12057888 -- VENUE FOR STUDENT ENTERTAINMNT</t>
  </si>
  <si>
    <t>12057889 -- VENUE FOR STUDENT ENTERTAINMNT</t>
  </si>
  <si>
    <t>12057890 -- VENUE FOR STUDENT ENTERTAINMNT</t>
  </si>
  <si>
    <t>12057891 -- VENUE FOR STUDENT ENTERTAINMNT</t>
  </si>
  <si>
    <t>12057892 -- VENUE FOR STUDENT ENTERTAINMNT</t>
  </si>
  <si>
    <t>12057893 -- VENUE FOR STUDENT ENTERTAINMNT</t>
  </si>
  <si>
    <t>12057894 -- VENUE FOR STUDENT ENTERTAINMNT</t>
  </si>
  <si>
    <t>12057895 -- VENUE FOR STUDENT ENTERTAINMNT</t>
  </si>
  <si>
    <t>12057896 -- VENUE FOR STUDENT ENTERTAINMNT</t>
  </si>
  <si>
    <t>12057897 -- VENUE FOR STUDENT ENTERTAINMNT</t>
  </si>
  <si>
    <t>12057898 -- VENUE FOR STUDENT ENTERTAINMNT</t>
  </si>
  <si>
    <t>12057899 -- VENUE FOR STUDENT ENTERTAINMNT</t>
  </si>
  <si>
    <t>12057900 -- VENUE FOR STUDENT ENTERTAINMNT</t>
  </si>
  <si>
    <t>12057901 -- VENUE FOR STUDENT ENTERTAINMNT</t>
  </si>
  <si>
    <t>12057902 -- VENUE FOR STUDENT ENTERTAINMNT</t>
  </si>
  <si>
    <t>12057903 -- VENUE FOR STUDENT ENTERTAINMNT</t>
  </si>
  <si>
    <t>12057904 -- VENUE FOR STUDENT ENTERTAINMNT</t>
  </si>
  <si>
    <t>12057905 -- VENUE FOR STUDENT ENTERTAINMNT</t>
  </si>
  <si>
    <t>12057906 -- VENUE FOR STUDENT ENTERTAINMNT</t>
  </si>
  <si>
    <t>12057907 -- VENUE FOR STUDENT ENTERTAINMNT</t>
  </si>
  <si>
    <t>12058105 -- VENUE FOR STUDENT ENTERTAINMNT</t>
  </si>
  <si>
    <t>12016932 -- CEB PAYROLL</t>
  </si>
  <si>
    <t>CEB Payroll</t>
  </si>
  <si>
    <t>CSI</t>
  </si>
  <si>
    <t>12000014 -- EVENING PROGRAMMING</t>
  </si>
  <si>
    <t>CSI Engagement</t>
  </si>
  <si>
    <t>12000201 -- INVOLVEMENT WEEK</t>
  </si>
  <si>
    <t>12001026 -- INVOLVEMENT FAIR</t>
  </si>
  <si>
    <t>12072113 -- UMC LATE</t>
  </si>
  <si>
    <t>12072169 -- I LOVE MONDAYS</t>
  </si>
  <si>
    <t>12073524 -- UMC WELCOME FEST</t>
  </si>
  <si>
    <t>12093331 -- MIDNIGHT BREAKFAST</t>
  </si>
  <si>
    <t>12066094 -- STUDENT LEADERSHIP PROGRAM</t>
  </si>
  <si>
    <t>CSI Leadership</t>
  </si>
  <si>
    <t>12012150 -- SOFO COMPUTER</t>
  </si>
  <si>
    <t>CSI Operations</t>
  </si>
  <si>
    <t>12013810 -- UMC FINE ARTS</t>
  </si>
  <si>
    <t>12016882 -- STUDENT PROGRAMS OFFICE</t>
  </si>
  <si>
    <t>12022385 -- STUDENT FINANCE OFFICE (SOFO)</t>
  </si>
  <si>
    <t>12045656 -- SOFO PAYROLL SUSPENSE</t>
  </si>
  <si>
    <t>13459484 -- PC SCHOLARSHIPS</t>
  </si>
  <si>
    <t>12000545 -- PROJECTION SYSTEM</t>
  </si>
  <si>
    <t>Program Council</t>
  </si>
  <si>
    <t>12013809 -- PC CONCERTS</t>
  </si>
  <si>
    <t>12016524 -- ADVERTISING</t>
  </si>
  <si>
    <t>12016570 -- PROGRAM COUNCIL DEPARTMENT EXP</t>
  </si>
  <si>
    <t>12018583 -- FILM SERIES</t>
  </si>
  <si>
    <t>12020396 -- PROGRAM COUNCIL SPECIAL EVENT</t>
  </si>
  <si>
    <t>12024783 -- PC SPECIAL EVENT</t>
  </si>
  <si>
    <t>12024786 -- PRODUCTION EQUIPMENT (REF)</t>
  </si>
  <si>
    <t>12024787 -- SECURITY</t>
  </si>
  <si>
    <t>12024793 -- PC SPECIAL EVENT</t>
  </si>
  <si>
    <t>12024795 -- PC SPECIAL EVENT</t>
  </si>
  <si>
    <t>12024797 -- PC SPECIAL EVENT</t>
  </si>
  <si>
    <t>12024809 -- EDUCATIONAL CONFERENCE</t>
  </si>
  <si>
    <t>12024828 -- PC SPECIAL EVENT</t>
  </si>
  <si>
    <t>12024833 -- PRODUCTION</t>
  </si>
  <si>
    <t>12024843 -- PC SPECIAL EVENT</t>
  </si>
  <si>
    <t>12024844 -- PC SPECIAL EVENT</t>
  </si>
  <si>
    <t>12024851 -- PC SPECIAL EVENT</t>
  </si>
  <si>
    <t>12029440 -- OLD MAIN</t>
  </si>
  <si>
    <t>12030135 -- PC SPECIAL EVENT #56</t>
  </si>
  <si>
    <t>12031620 -- PC SPECIAL EVENT #99</t>
  </si>
  <si>
    <t>12031645 -- GENERAL OPERATIONS</t>
  </si>
  <si>
    <t>12031649 -- PAYROLL</t>
  </si>
  <si>
    <t>12062510 -- CONCERTS</t>
  </si>
  <si>
    <t>12062512 -- WELCOME FEST CONCERT</t>
  </si>
  <si>
    <t>12062513 -- SPECIAL EVENT COMMITTEE</t>
  </si>
  <si>
    <t>12062515 -- WELCOME FEST</t>
  </si>
  <si>
    <t>13479204 -- PHIL LOBEL SCHOLARSHIP</t>
  </si>
  <si>
    <t>13481079 -- PROGRAM COUNCIL VIP PASS</t>
  </si>
  <si>
    <t>17800139 -- PC PROJECTOR R&amp;R</t>
  </si>
  <si>
    <t>17866075 -- PROGRAM COUNCIL R&amp;R</t>
  </si>
  <si>
    <t>12022322 -- STUDENT FINANCE OFFICE (GL)</t>
  </si>
  <si>
    <t>Resource Center</t>
  </si>
  <si>
    <t>CUSG</t>
  </si>
  <si>
    <t>12010675 -- CUSG APPELLATE COURT</t>
  </si>
  <si>
    <t>Appellate Court</t>
  </si>
  <si>
    <t>CCS - Leg</t>
  </si>
  <si>
    <t>Leg Council</t>
  </si>
  <si>
    <t>12020244 -- CUSG LEG CNCL DISC</t>
  </si>
  <si>
    <t>CCS Fund Balance</t>
  </si>
  <si>
    <t>12016579 -- CUSG ELECTIONS</t>
  </si>
  <si>
    <t>CUSG Elections</t>
  </si>
  <si>
    <t>12016648 -- CUSG OPERATIONS</t>
  </si>
  <si>
    <t>CUSG Fund Balance</t>
  </si>
  <si>
    <t>12010476 -- CUSG TRAVEL</t>
  </si>
  <si>
    <t>CUSG Travel</t>
  </si>
  <si>
    <t>12017973 -- CUSG FINANCE BOARD</t>
  </si>
  <si>
    <t>Finance Board</t>
  </si>
  <si>
    <t>12061258 -- CUSG HOMECOMING</t>
  </si>
  <si>
    <t>Homecoming</t>
  </si>
  <si>
    <t>12001808 -- INCIDENT RESPONSE - CUSG CCS</t>
  </si>
  <si>
    <t>Incident Response</t>
  </si>
  <si>
    <t>12061257 -- CUSG FRESHMAN COUNCIL</t>
  </si>
  <si>
    <t>Intern Program</t>
  </si>
  <si>
    <t>12016858 -- CUSG LEGIS AFFAIRS COMM</t>
  </si>
  <si>
    <t>LAC</t>
  </si>
  <si>
    <t>12028619 -- CUSG LEG CNCL STAFF</t>
  </si>
  <si>
    <t>Leg Cncl Staff</t>
  </si>
  <si>
    <t>12020250 -- CUSG LEG CNCL DISC</t>
  </si>
  <si>
    <t xml:space="preserve">Leg Council Disc </t>
  </si>
  <si>
    <t>12016565 -- CUSG OPERATIONS</t>
  </si>
  <si>
    <t>Operations</t>
  </si>
  <si>
    <t>12016931 -- CUSG PAYROLL</t>
  </si>
  <si>
    <t>Payroll</t>
  </si>
  <si>
    <t>12001363 -- CUSG PAYROLL SUSPENSE</t>
  </si>
  <si>
    <t>Payroll Suspense</t>
  </si>
  <si>
    <t>12000984 -- CUSG PROGRAMMING</t>
  </si>
  <si>
    <t>Programming</t>
  </si>
  <si>
    <t>12020378 -- CUSG PUBLIC RELATION</t>
  </si>
  <si>
    <t>Public Relations</t>
  </si>
  <si>
    <t>12026391 -- CUSG REP COUNCIL</t>
  </si>
  <si>
    <t>Rep Council</t>
  </si>
  <si>
    <t>12026382 -- CUSG REP COUNCIL</t>
  </si>
  <si>
    <t>Rep Council Fund Balance</t>
  </si>
  <si>
    <t>12016081 -- CUSG STAFF SUPPORT</t>
  </si>
  <si>
    <t>Staff Support</t>
  </si>
  <si>
    <t>DSB</t>
  </si>
  <si>
    <t>12056081 -- CUSG DISTINGUISHED SPEAKER'S</t>
  </si>
  <si>
    <t>ECNTR</t>
  </si>
  <si>
    <t>12031661 -- EV CTR SPC EVT #2</t>
  </si>
  <si>
    <t>Applied Learning SPP</t>
  </si>
  <si>
    <t>12031650 -- CARBON OFFSET FUND</t>
  </si>
  <si>
    <t>Carbon Offsets</t>
  </si>
  <si>
    <t>12031667 -- CU BICYCLE PROGRAM</t>
  </si>
  <si>
    <t>CU Bicycle Program</t>
  </si>
  <si>
    <t>13015222 -- COLORADO CAMPUS TRAN</t>
  </si>
  <si>
    <t>12001333 -- E CENTER REMODEL</t>
  </si>
  <si>
    <t>E Center Remodel</t>
  </si>
  <si>
    <t>12026645 -- EB CONFERENCES</t>
  </si>
  <si>
    <t>EB Conferences</t>
  </si>
  <si>
    <t>12027581 -- EB LIBRARY</t>
  </si>
  <si>
    <t>EB Library</t>
  </si>
  <si>
    <t>12021486 -- EB PROGRAMMING</t>
  </si>
  <si>
    <t>EB Programming</t>
  </si>
  <si>
    <t>12021487 -- EB RECYCLING</t>
  </si>
  <si>
    <t>EB Recycling</t>
  </si>
  <si>
    <t>13000800 -- COLLECTING THE INTERMOUNTAIN R</t>
  </si>
  <si>
    <t>13134094 -- 1998 EARTH DAY CHILD</t>
  </si>
  <si>
    <t>12017286 -- EB REVENUE</t>
  </si>
  <si>
    <t>EB Revenue</t>
  </si>
  <si>
    <t>12031626 -- E C CAPITAL OUTREACH</t>
  </si>
  <si>
    <t>EC Capital Outreach</t>
  </si>
  <si>
    <t>12001205 -- ENERGY&amp;CLIMATE REVOLVING FUND</t>
  </si>
  <si>
    <t>Energy &amp; Climate Revolving Fund</t>
  </si>
  <si>
    <t>12031673 -- ENERGY CAMPAIGN</t>
  </si>
  <si>
    <t>Energy Program</t>
  </si>
  <si>
    <t>12034199 -- ENVIRON CTR CAPITAL</t>
  </si>
  <si>
    <t>Env Center - Capital</t>
  </si>
  <si>
    <t>12016578 -- COMMUNICATIONS</t>
  </si>
  <si>
    <t>Env Center Communications</t>
  </si>
  <si>
    <t>12010324 -- ENV CENTER SPEC EVNT</t>
  </si>
  <si>
    <t>Env Center Spec Evnt</t>
  </si>
  <si>
    <t>12016577 -- EB OPERATIONS</t>
  </si>
  <si>
    <t>Env Ctr Operations</t>
  </si>
  <si>
    <t>12011695 -- ENVIRON BOARD CENTRL</t>
  </si>
  <si>
    <t>Environ Board Centrl</t>
  </si>
  <si>
    <t>12012149 -- ENVIRONMENTAL MASTER</t>
  </si>
  <si>
    <t>Environmental Master</t>
  </si>
  <si>
    <t>12031622 -- EV CTR SPC EVT #9</t>
  </si>
  <si>
    <t>EV Ctr Spc Evt #9</t>
  </si>
  <si>
    <t>12031635 -- EV CTR SPC EVT #6</t>
  </si>
  <si>
    <t>Green Labs</t>
  </si>
  <si>
    <t>13100079 -- CU GREEN LABS AUDIT AND CONSER</t>
  </si>
  <si>
    <t>17800104 -- R&amp;R ELECTRIC VEHICLES</t>
  </si>
  <si>
    <t>R&amp;R Electric Vehicles</t>
  </si>
  <si>
    <t>17800126 -- R&amp;R GREEN LABS</t>
  </si>
  <si>
    <t>R&amp;R Green Labs</t>
  </si>
  <si>
    <t>12001012 -- SCORE</t>
  </si>
  <si>
    <t>Score</t>
  </si>
  <si>
    <t>12031639 -- SPECIAL PROJECT #5</t>
  </si>
  <si>
    <t>Special Project #5</t>
  </si>
  <si>
    <t>12031631 -- EV CTR SPC EVT #7</t>
  </si>
  <si>
    <t>Special Project #7</t>
  </si>
  <si>
    <t>12000962 -- SURPLUS PROPERTY WEBSITE</t>
  </si>
  <si>
    <t>Surplus Property Website</t>
  </si>
  <si>
    <t>12031646 -- ENERGY EFFICIENCY</t>
  </si>
  <si>
    <t>Sustain CU and Energy Effic</t>
  </si>
  <si>
    <t>12800076 -- ULT FREEZERS</t>
  </si>
  <si>
    <t>ULT Freezers</t>
  </si>
  <si>
    <t>12000977 -- WATER FOR THE WEST</t>
  </si>
  <si>
    <t>Water for the West</t>
  </si>
  <si>
    <t>13403174 -- WELLS FARGO PIPS APP FUND</t>
  </si>
  <si>
    <t>Wells Fargo PIPS App Fund</t>
  </si>
  <si>
    <t>KVCU</t>
  </si>
  <si>
    <t>12010512 -- KVCU</t>
  </si>
  <si>
    <t>KVCU Operations</t>
  </si>
  <si>
    <t>12010513 -- KVCU</t>
  </si>
  <si>
    <t>12012397 -- KVCU CAPITAL</t>
  </si>
  <si>
    <t>12014660 -- KVCU REF</t>
  </si>
  <si>
    <t>OCHNR</t>
  </si>
  <si>
    <t>11010542 -- OFF CAMPUS STU SVCS</t>
  </si>
  <si>
    <t>12001361 -- OCHNR PAYROLL SUSPENSE</t>
  </si>
  <si>
    <t>12010516 -- OFF CAMPUS STU SVCS</t>
  </si>
  <si>
    <t>12028643 -- OCSS NON TRADS</t>
  </si>
  <si>
    <t>12030331 -- UCSU OFF-CAMP STD SV</t>
  </si>
  <si>
    <t>12054410 -- TEMP ST (REORG)</t>
  </si>
  <si>
    <t>17202941 -- OFF CAMPUS STU SVCS</t>
  </si>
  <si>
    <t>12024214 -- REC FAC-INFO DESK</t>
  </si>
  <si>
    <t>12013376 -- INSTRUCTION BODY SCL</t>
  </si>
  <si>
    <t>12021454 -- INSTRUCTION FENCING</t>
  </si>
  <si>
    <t>12063609 -- IP AT BEAR CREEK</t>
  </si>
  <si>
    <t>12086364 -- STAFF CPR</t>
  </si>
  <si>
    <t>12011504 -- OP: SCUBA</t>
  </si>
  <si>
    <t>12012147 -- OP: WATER</t>
  </si>
  <si>
    <t>12046856 -- OP CU BOUND</t>
  </si>
  <si>
    <t>12046857 -- SUMMER TRIPS</t>
  </si>
  <si>
    <t>12086361 -- ROCK AND ICE CLIMBING</t>
  </si>
  <si>
    <t>12000334 -- WOMEN'S WATER POLO</t>
  </si>
  <si>
    <t>12001041 -- EQUESTRIAN SF</t>
  </si>
  <si>
    <t>12001060 -- SYNC SKATING SF</t>
  </si>
  <si>
    <t>12012804 -- MEN'S LACROSSE</t>
  </si>
  <si>
    <t>12012805 -- WOMEN'S LACROSSE</t>
  </si>
  <si>
    <t>12013793 -- CLUB SPORTS ADMIN II</t>
  </si>
  <si>
    <t>12016930 -- MEN'S WATER POLO</t>
  </si>
  <si>
    <t>12017990 -- DANCE</t>
  </si>
  <si>
    <t>12018474 -- CLUB SPORTS ADMIN</t>
  </si>
  <si>
    <t>12019168 -- TRIATHLON</t>
  </si>
  <si>
    <t>12019856 -- FIELD HOCKEY</t>
  </si>
  <si>
    <t>12019857 -- MEN'S HOCKEY</t>
  </si>
  <si>
    <t>12019858 -- WOMEN'S HOCKEY</t>
  </si>
  <si>
    <t>12021456 -- ROLLER HOCKEY</t>
  </si>
  <si>
    <t>12021488 -- SWIMMING &amp; DIVING</t>
  </si>
  <si>
    <t>12021489 -- FENCING</t>
  </si>
  <si>
    <t>12021490 -- KAYAK</t>
  </si>
  <si>
    <t>12021491 -- FLY FISHING</t>
  </si>
  <si>
    <t>12021492 -- CYCLING</t>
  </si>
  <si>
    <t>12023324 -- MEN'S RUGBY</t>
  </si>
  <si>
    <t>12023325 -- WOMEN'S RUGBY</t>
  </si>
  <si>
    <t>12025821 -- EQUESTRIAN</t>
  </si>
  <si>
    <t>12026727 -- MEN'S SOCCER</t>
  </si>
  <si>
    <t>12026728 -- WOMEN'S SOCCER</t>
  </si>
  <si>
    <t>12027401 -- WOMEN'S ULTIMATE</t>
  </si>
  <si>
    <t>12027402 -- MEN'S ULTIMATE</t>
  </si>
  <si>
    <t>12028405 -- WOMEN'S SOFTBALL</t>
  </si>
  <si>
    <t>12028406 -- RACQUETBALL</t>
  </si>
  <si>
    <t>12028407 -- BASEBALL</t>
  </si>
  <si>
    <t>12028415 -- WOMEN'S VOLLEYBALL</t>
  </si>
  <si>
    <t>12028416 -- MEN'S VOLLEYBALL</t>
  </si>
  <si>
    <t>12031133 -- TAE KWON DO</t>
  </si>
  <si>
    <t>12046081 -- TENNIS</t>
  </si>
  <si>
    <t>12046854 -- WRESTLING</t>
  </si>
  <si>
    <t>12049745 -- SNOWBOARDING</t>
  </si>
  <si>
    <t>12061158 -- FREE STYLE SKI</t>
  </si>
  <si>
    <t>12079856 -- COLORADO CREW</t>
  </si>
  <si>
    <t>12093325 -- CSC EMT SVCS EXPENSE</t>
  </si>
  <si>
    <t>12093326 -- CSC FAC RENTAL EXPENSE</t>
  </si>
  <si>
    <t>SLS</t>
  </si>
  <si>
    <t>12015764 -- UCSU LEGAL SERV OPER</t>
  </si>
  <si>
    <t>SLS Operations</t>
  </si>
  <si>
    <t>13402277 -- STDT. LEGAL ASSISTANCE FUND</t>
  </si>
  <si>
    <t>13403226 -- STDT. LEGAL ASSISTANCE FUND</t>
  </si>
  <si>
    <t>SOAC</t>
  </si>
  <si>
    <t>12000585 -- CU STUDENT ACADEMY OF AUDIOLOG</t>
  </si>
  <si>
    <t>12000586 -- EWB-PERU-SGFB</t>
  </si>
  <si>
    <t>12000587 -- LEEDS INVSTMNT AND TRADING GRP</t>
  </si>
  <si>
    <t>12000588 -- CU ROCKETRY ASSOC (COBRA) SGFB</t>
  </si>
  <si>
    <t>12000589 -- CU DECA SGFB</t>
  </si>
  <si>
    <t>12000590 -- STD ASSC LANDSCAPE ARCHIT SGFB</t>
  </si>
  <si>
    <t>12000591 -- CU BRIDGES TO PROSPERITY-SGFB</t>
  </si>
  <si>
    <t>12000593 -- LEEDS ASSOC FOR INFORMATION SY</t>
  </si>
  <si>
    <t>12000594 -- MUSIC INDUSTRY CLUB - SGFB</t>
  </si>
  <si>
    <t>12000596 -- ASTRONOMY CLUB - SGFB</t>
  </si>
  <si>
    <t>12000597 -- AMERICAN CHORAL DIRECTORS ASSO</t>
  </si>
  <si>
    <t>12000600 -- CU BOULDER ASIAN STUDIES-SGFB</t>
  </si>
  <si>
    <t>12000601 -- PHOTOGRAPHIC ARTISTS CU-SGFB</t>
  </si>
  <si>
    <t>12000605 -- AM. SOCIETY OF CIVIL ENG-SGFB</t>
  </si>
  <si>
    <t>12000607 -- WOMEN IN SCIENCE - SGFB</t>
  </si>
  <si>
    <t>12000608 -- UCB SASE-SOAC</t>
  </si>
  <si>
    <t>12000826 -- WOMEN IN COMPUTING-SOAC</t>
  </si>
  <si>
    <t>12000827 -- PHI ALPHA DELTA PRE LAW-SOAC</t>
  </si>
  <si>
    <t>12000828 -- VOLUNT. AROUND THE WORLD-SOAC</t>
  </si>
  <si>
    <t>12000831 -- INT'L BUSINESS CLUB-SOAC</t>
  </si>
  <si>
    <t>12000832 -- EARTHQUAKE ENGR RESEARCH-SOAC</t>
  </si>
  <si>
    <t>12000833 -- STUDENTS FOR CO-OPHOUSING-SOAC</t>
  </si>
  <si>
    <t>12000834 -- CU GAELIC CLUB</t>
  </si>
  <si>
    <t>12000835 -- AMERICAN PLAN ASSOC STDT-SOAC</t>
  </si>
  <si>
    <t>12000836 -- BRIDGECU</t>
  </si>
  <si>
    <t>12000838 -- CU POLITICAL SCIENCE CLUB¿SOAC</t>
  </si>
  <si>
    <t>12000839 -- PERFORMANCE AS RESOURCE - SOAC</t>
  </si>
  <si>
    <t>12000840 -- JOURNAL TWENTYTWENTY - SOAC</t>
  </si>
  <si>
    <t>12000841 -- THE CU V DAY WARRIORS - SOAC</t>
  </si>
  <si>
    <t>12000842 -- FIGURE DRAWING CLUB - SOAC</t>
  </si>
  <si>
    <t>12000844 -- AMUSE CREATIVE WRITING - SOAC</t>
  </si>
  <si>
    <t>12000845 -- MAKERS¿ COLLECTIVE - SOAC</t>
  </si>
  <si>
    <t>12000846 -- HER CAMPUS CU BOULDER - SOAC</t>
  </si>
  <si>
    <t>12000847 -- TANGO CLUB @ CU - SOAC</t>
  </si>
  <si>
    <t>12000848 -- CU BOULDER PAKISTANI STDT-SOAC</t>
  </si>
  <si>
    <t>12000849 -- PSYCHEDELIC CLUB - SOAC</t>
  </si>
  <si>
    <t>12000850 -- HAND BALANCING CLUB - SOAC</t>
  </si>
  <si>
    <t>12001083 -- ACTIVE ENTREPRENEURS - SOAC</t>
  </si>
  <si>
    <t>12001084 -- ANTHROPOLGY COLLOQUIUM-SOAC</t>
  </si>
  <si>
    <t>12001085 -- AIAS (AMERICAN INST OF AR)-SOA</t>
  </si>
  <si>
    <t>12001086 -- AID COLORADO - SOAC</t>
  </si>
  <si>
    <t>12001087 -- AISES- SAOC</t>
  </si>
  <si>
    <t>12001088 -- ALPHA EPSILON DELTA-SOAC</t>
  </si>
  <si>
    <t>12001089 -- ALPHA PHI OMEGA - SOC</t>
  </si>
  <si>
    <t>12001090 -- ALPINE CLUB - SOC</t>
  </si>
  <si>
    <t>12001091 -- AMER CIVIL LIBERTIES UNION-SOA</t>
  </si>
  <si>
    <t>12001092 -- ARCHERY CLUB SOAC</t>
  </si>
  <si>
    <t>12001093 -- ASSOC GENERAL CONTRACTORS-SOAC</t>
  </si>
  <si>
    <t>12001094 -- BACKCOUNTRY CLUB-SOAC</t>
  </si>
  <si>
    <t>12001095 -- BLACK LAW STDT ASSOC -SOAC</t>
  </si>
  <si>
    <t>12001096 -- BHAKTI YOGA CLUB - SOAC</t>
  </si>
  <si>
    <t>12001097 -- BIOMIMICRY CLUB-SOAC</t>
  </si>
  <si>
    <t>12001098 -- BIPHORIA-SOAC</t>
  </si>
  <si>
    <t>12001099 -- BOULDER A.S.S.E.T.S. - SOAC</t>
  </si>
  <si>
    <t>12001100 -- BOULDER CREATIVES - SOAC</t>
  </si>
  <si>
    <t>12001101 -- BOULDER GYMNASTICS CLUB SOAC</t>
  </si>
  <si>
    <t>12001102 -- BREAKING CLUB - SOAC</t>
  </si>
  <si>
    <t>12001103 -- BUFF RUNNING CLUB SOAC</t>
  </si>
  <si>
    <t>12001104 -- CARIBBEAN STUDENT ALLIANCESOAC</t>
  </si>
  <si>
    <t>12001105 -- CHINESE STDNT SCHOLAR ASN-SOAC</t>
  </si>
  <si>
    <t>12001106 -- CHRISTIAN CHALLENGE SOAC</t>
  </si>
  <si>
    <t>12001107 -- CLIMBING TEAM AT CU SOAC</t>
  </si>
  <si>
    <t>12001108 -- CODEPENDENT STUDENT HUMOR SOAC</t>
  </si>
  <si>
    <t>12001109 -- COLLABOR ASIAN-SOAC</t>
  </si>
  <si>
    <t>12001111 -- COLLEGE DEMOCRATS - SOAC</t>
  </si>
  <si>
    <t>12001112 -- COLLEGES AGAINST CANCER-SOAC</t>
  </si>
  <si>
    <t>12001113 -- COLORADO GOLF CLUB- SOAC</t>
  </si>
  <si>
    <t>12001114 -- COLORADO INNOCENCE- SOAC</t>
  </si>
  <si>
    <t>12001115 -- CONF ON WORLD AFFAIRS STD SOAC</t>
  </si>
  <si>
    <t>12001116 -- CREATIO-SOAC</t>
  </si>
  <si>
    <t>12001117 -- DESIGN BUILD FLY AT CU SOAC</t>
  </si>
  <si>
    <t>12001118 -- DOMAN INTL LAW SOCIETY-SOAC</t>
  </si>
  <si>
    <t>12001119 -- ENVIRONMENTL LAW SOCIETY-SOAC</t>
  </si>
  <si>
    <t>12001120 -- EPILEPSY PROJECT SOAC</t>
  </si>
  <si>
    <t>12001121 -- FASHION DESIGN STU AS'N-SOAC</t>
  </si>
  <si>
    <t>12001122 -- FRENCH RESOURCES FOR EDUC-SOAC</t>
  </si>
  <si>
    <t>12001123 -- FUEL-CAMPUS CRUSADE-SOAC</t>
  </si>
  <si>
    <t>12001124 -- GLOBEMED-SOAC</t>
  </si>
  <si>
    <t>12001125 -- GRAD ENTREPRENEURS ASSOC-SOAC</t>
  </si>
  <si>
    <t>12001126 -- GRADUATE PHILOSOPHY CLUB-SOAC</t>
  </si>
  <si>
    <t>12001127 -- HABITAT FOR HUMANITY - SOAC</t>
  </si>
  <si>
    <t>12001128 -- HIKING CLUB (THE)-SOAC</t>
  </si>
  <si>
    <t>12001129 -- HMONG STUDENT ASSOCIATION-SOAC</t>
  </si>
  <si>
    <t>12001130 -- INT'L FESTIVAL COMMITTEE-SOAC</t>
  </si>
  <si>
    <t>12001131 -- JAPANESE STUDENT ASSN - SOAC</t>
  </si>
  <si>
    <t>12001132 -- KIDZ BLOP IMPROV-SOAC</t>
  </si>
  <si>
    <t>12001133 -- LEGAL ALTERN DISPUTE RESO-SOAC</t>
  </si>
  <si>
    <t>12001134 -- MODEL UNITED NATIONS-SOAC</t>
  </si>
  <si>
    <t>12001135 -- MUSLIM STUDENTS AS'N-SOAC</t>
  </si>
  <si>
    <t>12001136 -- NEPALESE STUDENT ASSOC - SOAC</t>
  </si>
  <si>
    <t>12001137 -- NEW ERA COLORADO-SOAC</t>
  </si>
  <si>
    <t>12001138 -- NO LABELS AT CU BOULDER-SOAC</t>
  </si>
  <si>
    <t>12001139 -- NUTRITIONAL HEALING-SOAC</t>
  </si>
  <si>
    <t>12001140 -- OPTICAL SOCIETY OF AM STD-SOAC</t>
  </si>
  <si>
    <t>12001141 -- OYATE-SOAC</t>
  </si>
  <si>
    <t>12001142 -- POWERLIFTING-SOAC</t>
  </si>
  <si>
    <t>12001143 -- PRE-VET CLUB-SOAC</t>
  </si>
  <si>
    <t>12001144 -- MARISOL HEALTH ¿ SOAC</t>
  </si>
  <si>
    <t>12001145 -- BOARD GAME UNDERGROUND-SOAC</t>
  </si>
  <si>
    <t>12001146 -- SCUBA CLUB (THE) SOAC</t>
  </si>
  <si>
    <t>12001147 -- SECULAR STDT &amp; SKEPTICS-SOAC</t>
  </si>
  <si>
    <t>12001148 -- SILVER WINGS - JARVIS CHPT-SOA</t>
  </si>
  <si>
    <t>12001149 -- SKYDIVING CLUB SOAC</t>
  </si>
  <si>
    <t>12001150 -- SLACKERS SOAC</t>
  </si>
  <si>
    <t>12001151 -- SO. ASIAN STDT ASSN. - SOAC</t>
  </si>
  <si>
    <t>12001152 -- SOCIETY ENVIRONMNTL ENGRS-SOAC</t>
  </si>
  <si>
    <t>12001153 -- SOCIETY OF WOMEN ENGINEER-SOAC</t>
  </si>
  <si>
    <t>12001154 -- SPEECH &amp; DEBATE TEAM CU-SOAC</t>
  </si>
  <si>
    <t>12001155 -- SPIKEBALL CLUB SOAC</t>
  </si>
  <si>
    <t>12001156 -- STDS FOR FREEDOM N KOREA SOAC</t>
  </si>
  <si>
    <t>12001157 -- STUDENT TO FARM SOAC</t>
  </si>
  <si>
    <t>12001158 -- STDTS FOR SENSIBLE DRUG POL-SO</t>
  </si>
  <si>
    <t>12001159 -- SUPER GEEKS-SOAC</t>
  </si>
  <si>
    <t>12001160 -- SWING DANCE AT CU-SOAC</t>
  </si>
  <si>
    <t>12001161 -- TABLE TENNIS AT CU-SOAC</t>
  </si>
  <si>
    <t>12001162 -- TELEMARK CLUB SOAC</t>
  </si>
  <si>
    <t>12001163 -- THE NON TRADITIONAL STDT-SOAC</t>
  </si>
  <si>
    <t>12001164 -- TO WRITE LOVE ON HER ARMS-SOAC</t>
  </si>
  <si>
    <t>12001165 -- UMBRELLA IMPROV INITIATIV SOAC</t>
  </si>
  <si>
    <t>12001166 -- VEGAN JUSTICE LEAGUE - SOAC</t>
  </si>
  <si>
    <t>12001167 -- VIETNAMESE STDT. ASSN. - SOAC</t>
  </si>
  <si>
    <t>12001168 -- WARES ART SPACE-SOAC</t>
  </si>
  <si>
    <t>12001169 -- YOGA CLUB - SOAC</t>
  </si>
  <si>
    <t>12001170 -- U OF C ESPORTS - SOAC</t>
  </si>
  <si>
    <t>12001171 -- NAMI ON CAMPUS@CU BOULDER-SOAC</t>
  </si>
  <si>
    <t>12001172 -- BOULDER BASILISKS ¿ SOAC</t>
  </si>
  <si>
    <t>12001173 -- SOUTH ASIAN MUSIC ASSOC - SOAC</t>
  </si>
  <si>
    <t>12001174 -- GEOLOGY CLUB CU BOULDER - SOAC</t>
  </si>
  <si>
    <t>12001175 -- SIGMA IOTA RHO - SOAC</t>
  </si>
  <si>
    <t>12001176 -- CU PRIME - SOAC</t>
  </si>
  <si>
    <t>12001177 -- LOW HANGING FRUIT - SOAC</t>
  </si>
  <si>
    <t>12001178 -- CU COMEDY CLUB - SOAC</t>
  </si>
  <si>
    <t>12001179 -- INTEG PHYS BIOSTAT CLUB - SOAC</t>
  </si>
  <si>
    <t>12001180 -- STUDENT MOBILIZATION</t>
  </si>
  <si>
    <t>12001181 -- KOREAN GRAD STUD ASSOCIATION</t>
  </si>
  <si>
    <t>12001182 -- GIVE STUDENT CHAPTER</t>
  </si>
  <si>
    <t>12001183 -- CRAVE THE SOUND</t>
  </si>
  <si>
    <t>12001184 -- SCIENCE BUFFS</t>
  </si>
  <si>
    <t>12001185 -- PERSIAN STUDENTS ORGANIZATION</t>
  </si>
  <si>
    <t>12001186 -- MIDDLE EASTERN STUDENT ASSOC</t>
  </si>
  <si>
    <t>12001187 -- DESIGN FOR AMERICA</t>
  </si>
  <si>
    <t>12001188 -- AICHE</t>
  </si>
  <si>
    <t>12001189 -- MEGSRRC</t>
  </si>
  <si>
    <t>12001190 -- QUIZ BOWL AT CU</t>
  </si>
  <si>
    <t>12001191 -- CU DRONE RACING CLUB</t>
  </si>
  <si>
    <t>12001192 -- AMERICAN WOMEN¿S MEDICAL ASSOC</t>
  </si>
  <si>
    <t>12001193 -- CIRCUIT BENDERS</t>
  </si>
  <si>
    <t>12001194 -- THE BOCO YOYO CLUB</t>
  </si>
  <si>
    <t>12001212 -- BUFF VEX ROBOTICS @ CU</t>
  </si>
  <si>
    <t>12001213 -- PATHS</t>
  </si>
  <si>
    <t>12001214 -- HUMANS VS ZOMBIES - CU BOULDER</t>
  </si>
  <si>
    <t>12001215 -- STDTS ORGANIZE FOR SYRIA - CUB</t>
  </si>
  <si>
    <t>12001216 -- CU TIMMY</t>
  </si>
  <si>
    <t>12001217 -- BOULDER CAMPUS MINISTRY</t>
  </si>
  <si>
    <t>12001218 -- INSPIRED DREAMERS</t>
  </si>
  <si>
    <t>12001219 -- ONE NOTE STAND</t>
  </si>
  <si>
    <t>12001220 -- MUSEUM CLUB</t>
  </si>
  <si>
    <t>12001221 -- OSTEM AT CU BOULDER</t>
  </si>
  <si>
    <t>12001222 -- KOREAN AM STDTS-BOULDER (KASB)</t>
  </si>
  <si>
    <t>12001223 -- AM SOCIETY FOR ENGIN MGMT - CU</t>
  </si>
  <si>
    <t>12001224 -- INTEGRATIVE PHYSIOLOGY CLUB</t>
  </si>
  <si>
    <t>12001225 -- U OF C BLDR SOC OF PHYSICS STU</t>
  </si>
  <si>
    <t>12001226 -- SURF CLUB AT CU</t>
  </si>
  <si>
    <t>12001227 -- BUFFS FOR BODY POSITIVITY</t>
  </si>
  <si>
    <t>12001228 -- BUFFS FOR REPRODUCTIVE JUSTIC</t>
  </si>
  <si>
    <t>12001229 -- THE CAVING CLUB AT CU</t>
  </si>
  <si>
    <t>12001230 -- CU SAILING</t>
  </si>
  <si>
    <t>12001231 -- CU BOULDER RACING TEAM</t>
  </si>
  <si>
    <t>12001232 -- THE MAGICIANS GUILD</t>
  </si>
  <si>
    <t>12001233 -- GRADUATE MUSICOLOGY SOCIETY</t>
  </si>
  <si>
    <t>12001234 -- THE POLYCULE</t>
  </si>
  <si>
    <t>12001235 -- CO DATA SCIENCE TEAM</t>
  </si>
  <si>
    <t>12001236 -- LATTER-DAY SAINTS STUDENT ASS</t>
  </si>
  <si>
    <t>12001308 -- STEMINAR-SOAC</t>
  </si>
  <si>
    <t>12001309 -- POLE FITNESS SOCIETY @ CU-SOAC</t>
  </si>
  <si>
    <t>12001310 -- BOULDER BLUES-SOAC</t>
  </si>
  <si>
    <t>12001311 -- PROFESSIONAL SALES CLUB-SOAC</t>
  </si>
  <si>
    <t>12001312 -- AIRPHOTO CLUB-SOAC</t>
  </si>
  <si>
    <t>12001313 -- MAGIC:THE GATHERING GUILD-SOAC</t>
  </si>
  <si>
    <t>12001314 -- INTERNATION SOCIALIST ORG-SOAC</t>
  </si>
  <si>
    <t>12001315 -- LASER SMASH PANCAKE CLUB-SOAC</t>
  </si>
  <si>
    <t>12001316 -- FEMME INTERNATION CU BLDR-SOAC</t>
  </si>
  <si>
    <t>12001317 -- ADHD SPACE CADETS-SOAC</t>
  </si>
  <si>
    <t>12001318 -- ODYSSEY OF THE MIND-SOAC</t>
  </si>
  <si>
    <t>12001319 -- THE JAM SOCIETY @ CU BLDR-SOAC</t>
  </si>
  <si>
    <t>12001321 -- CU CRYPTOCURRENCY CLUB-SOAC</t>
  </si>
  <si>
    <t>12001322 -- BUFFSSPEAK-SOAC</t>
  </si>
  <si>
    <t>12001323 -- WATER RESOURCES BOOK CLUB-SOAC</t>
  </si>
  <si>
    <t>12001324 -- KUWAITI STUDENT ASSOC-SOAC</t>
  </si>
  <si>
    <t>12001325 -- ANTHROPOLOGY CLUB-SOAC</t>
  </si>
  <si>
    <t>12001326 -- LEEDS BOOK CLUB-SOAC</t>
  </si>
  <si>
    <t>12001327 -- KEEP COLORADO GREEN-SOAC</t>
  </si>
  <si>
    <t>12001328 -- CU IN THE GARDEN-SOAC</t>
  </si>
  <si>
    <t>12001329 -- CU RAVE CLUB-SOAC</t>
  </si>
  <si>
    <t>12001330 -- BLDR WOMEN OF PHILOSOPHY-SOAC</t>
  </si>
  <si>
    <t>12001331 -- START-UP CLUB-SOAC</t>
  </si>
  <si>
    <t>12001332 -- LEFT RIGHT TIM IMPROV-SOAC</t>
  </si>
  <si>
    <t>12001334 -- REALITY CAMPUS MINISTRY-SOAC</t>
  </si>
  <si>
    <t>12001335 -- BOULDER FASHION CLUB-SOAC</t>
  </si>
  <si>
    <t>12001336 -- ASSOC OF HOLLIST WELLNESS-SOAC</t>
  </si>
  <si>
    <t>12001337 -- PREMEDICAL CLUB FOR ENGINEERS</t>
  </si>
  <si>
    <t>12001338 -- CU GAMING-SOAC</t>
  </si>
  <si>
    <t>12001339 -- CU BOULDER COLLEG MTNA-SOAC</t>
  </si>
  <si>
    <t>12001340 -- MECHA-SOAC</t>
  </si>
  <si>
    <t>12001341 -- SAUDI STUDENT ASSOC-SOAC</t>
  </si>
  <si>
    <t>12001342 -- CITIZENS CLIMATE LOBBY-SOAC</t>
  </si>
  <si>
    <t>12001343 -- STUDENTS FOR A FREE TIBET-SOAC</t>
  </si>
  <si>
    <t>12001344 -- THAI STUDENT ASSOCIATION-SOAC</t>
  </si>
  <si>
    <t>12001345 -- I AM THAT GIRL-SOAC</t>
  </si>
  <si>
    <t>12001346 -- GENUN UNA-USA-SOAC</t>
  </si>
  <si>
    <t>12001347 -- CU AMERICAN STRING TEACH-SOAC</t>
  </si>
  <si>
    <t>12001348 -- PSYCHOLOGY CLUB-SOAC</t>
  </si>
  <si>
    <t>12001349 -- BUFFSPORTS LIVE-SOAC</t>
  </si>
  <si>
    <t>12001350 -- CU BOULDER CANYONING CLUB-SOAC</t>
  </si>
  <si>
    <t>12001351 -- CYBERSECURITY CLUB-SOAC</t>
  </si>
  <si>
    <t>12001352 -- ENVIRON STUDIES &amp; DESIGN-SOAC</t>
  </si>
  <si>
    <t>12001353 -- ST JUDE AT CU-SOAC</t>
  </si>
  <si>
    <t>12001354 -- YOUNG DEM SOC OF AMERICA-SOAC</t>
  </si>
  <si>
    <t>12001355 -- DREAM TEAM BHANGRA-SOAC</t>
  </si>
  <si>
    <t>12001356 -- CU ASHRAE STUDENT CHAPTER</t>
  </si>
  <si>
    <t>12001357 -- HISPANC-LATINO ENGRS &amp; SCIENCE</t>
  </si>
  <si>
    <t>12001358 -- SHOOTING SPORTS AT CU</t>
  </si>
  <si>
    <t>12001418 -- CRITICAL EDUCATION SCHOLARS</t>
  </si>
  <si>
    <t>12001419 -- CU TROMBONE SOCIETY</t>
  </si>
  <si>
    <t>12001420 -- BRIDGES INTERNATIONAL</t>
  </si>
  <si>
    <t>12001421 -- ANIME ANONYMOUS</t>
  </si>
  <si>
    <t>12001422 -- AMATEUR RADIO CLUB</t>
  </si>
  <si>
    <t>12001423 -- QUADCOPTER CLUB</t>
  </si>
  <si>
    <t>12001424 -- COLLEGE REPUBLICANS</t>
  </si>
  <si>
    <t>12001425 -- PROJECT PENGYOU</t>
  </si>
  <si>
    <t>12001426 -- CU-BOULDER CHINESE BUS SOCIETY</t>
  </si>
  <si>
    <t>12001427 -- AMSA @ CU - SOAC</t>
  </si>
  <si>
    <t>12001428 -- SPAGHETTI CONFESSION - SOAC</t>
  </si>
  <si>
    <t>12001429 -- MEDICINE BOOK CLUB - SOAC</t>
  </si>
  <si>
    <t>12001430 -- ABHINAYA - SOAC</t>
  </si>
  <si>
    <t>12001431 -- CENKI - SOAC</t>
  </si>
  <si>
    <t>12001432 -- SIAM - SOAC</t>
  </si>
  <si>
    <t>12001433 -- BUFFS FOR DAY BY DAY - SOAC</t>
  </si>
  <si>
    <t>12001434 -- BEE CLUB - SOAC</t>
  </si>
  <si>
    <t>12001435 -- RAW CERAMICS - SOAC</t>
  </si>
  <si>
    <t>12001436 -- SOC OF AMER MILITARY ENG-SOAC</t>
  </si>
  <si>
    <t>12001437 -- CUSP - SOAC</t>
  </si>
  <si>
    <t>12001438 -- LEEDS SUPPLY CHAIN MNGT - SOAC</t>
  </si>
  <si>
    <t>12001439 -- ON THAT NOTE - SOAC</t>
  </si>
  <si>
    <t>12001440 -- SEE YOU SPEAK TOASTMASTER-SOAC</t>
  </si>
  <si>
    <t>12001441 -- CHEMUNITY - SOAC</t>
  </si>
  <si>
    <t>12001442 -- HANGTIME HAMMOCKING CLUB-SOAC</t>
  </si>
  <si>
    <t>12001505 -- THE PEBBLE - SOAC</t>
  </si>
  <si>
    <t>12001506 -- ARO&amp;ACE STUDENT GROUP - SOAC</t>
  </si>
  <si>
    <t>12001507 -- NUTRITION BUFFS - SOAC</t>
  </si>
  <si>
    <t>12001508 -- DENVER NUGGETS APPR CLUB-SOAC</t>
  </si>
  <si>
    <t>12001509 -- YOGA FOR PERFORMERS - SOAC</t>
  </si>
  <si>
    <t>12001510 -- COMPUTER GRAPHICS GROUP - SOAC</t>
  </si>
  <si>
    <t>12001511 -- CHEM AND BIOCHEM CLUB - SOAC</t>
  </si>
  <si>
    <t>12001512 -- BOULDER BUFF CHEERLEADING-SOAC</t>
  </si>
  <si>
    <t>12001513 -- CLASSICS CLUB - SOAC</t>
  </si>
  <si>
    <t>12001514 -- MAASU CONFERENCE CLUB - SOAC</t>
  </si>
  <si>
    <t>12001515 -- MYSTICS AND MASTICS - SOAC</t>
  </si>
  <si>
    <t>12001516 -- PICKLEBALL CLUB - SOAC</t>
  </si>
  <si>
    <t>12001517 -- COMBAT BOTS - SOAC</t>
  </si>
  <si>
    <t>12001518 -- THE ASSEMBLY - SOAC</t>
  </si>
  <si>
    <t>12001519 -- ACTIVE MINDS - SOAC</t>
  </si>
  <si>
    <t>12001520 -- WOMEN IN TECH CLUB - SOAC</t>
  </si>
  <si>
    <t>12001521 -- SIKH STUDENT ASSOC - SOAC</t>
  </si>
  <si>
    <t>12001522 -- THE HISTORY CLUB - SOAC</t>
  </si>
  <si>
    <t>12001523 -- ELEVATION - SOAC</t>
  </si>
  <si>
    <t>12001524 -- COLOMBIAN STUDENT ASSOC-SOAC</t>
  </si>
  <si>
    <t>12001525 -- COLORADO AUTO RALLY SPORT-SOAC</t>
  </si>
  <si>
    <t>12001526 -- CU BOULDER UNICEF CLUB-SOAC</t>
  </si>
  <si>
    <t>12001527 -- EXTREME MEAS A CAPPELLA-SOAC</t>
  </si>
  <si>
    <t>12001528 -- MARVEL SUPER MOVIE CLUB - SOAC</t>
  </si>
  <si>
    <t>12001529 -- FBLA - PHI BETA LAMBDA - SOAC</t>
  </si>
  <si>
    <t>12001531 -- COLORADO BHANGRA TEAM - SOAC</t>
  </si>
  <si>
    <t>12001532 -- APPLIED DATA SCIENCE CLUB-SOAC</t>
  </si>
  <si>
    <t>12001533 -- WOMEN'S IMPROV - SOAC</t>
  </si>
  <si>
    <t>12001534 -- QTPOC - SOAC</t>
  </si>
  <si>
    <t>12001535 -- CU SOLAR DECATHLON - SOAC</t>
  </si>
  <si>
    <t>12001536 -- PATAKAPELLA - SOAC</t>
  </si>
  <si>
    <t>12001537 -- CU HYPERLOOP - SOAC</t>
  </si>
  <si>
    <t>12001538 -- ARMOR - SOAC</t>
  </si>
  <si>
    <t>12001539 -- WOMENS LAW CAUCUS-SOAC</t>
  </si>
  <si>
    <t>12001541 -- SLOW FOODS YOUTH CU - SOAC</t>
  </si>
  <si>
    <t>12001542 -- BOOK CLUB FOR BUFFS - SOAC</t>
  </si>
  <si>
    <t>12001543 -- CU WOMEN IN BUSINESS - SOAC</t>
  </si>
  <si>
    <t>12001544 -- ILLUMINATING ENGINEER SOC-SOAC</t>
  </si>
  <si>
    <t>12001545 -- CU CORNHOLE CLUB - SOAC</t>
  </si>
  <si>
    <t>12001546 -- INFO SCIENCE GRAD STU ORG-SOAC</t>
  </si>
  <si>
    <t>12001547 -- ARCHITECTURAL ENG INST - SOAC</t>
  </si>
  <si>
    <t>12001548 -- DESIGN CLUB - SOAC</t>
  </si>
  <si>
    <t>12001549 -- SOC OF WOM IN SPACE &amp; EXP-SOAC</t>
  </si>
  <si>
    <t>12001550 -- CU DANCE MARATHON - SOAC</t>
  </si>
  <si>
    <t>12001551 -- NAT SOC OF PERSH &amp; RIFLES-SOAC</t>
  </si>
  <si>
    <t>12001552 -- COMP PROGRAMMING CLUB-SOAC</t>
  </si>
  <si>
    <t>12001553 -- CU ADVERTISING - SOAC</t>
  </si>
  <si>
    <t>12001554 -- CU ROTARACT CLUB - SOAC</t>
  </si>
  <si>
    <t>12001555 -- BUFFOONS - SOAC</t>
  </si>
  <si>
    <t>12001665 -- ASSOC FOR WOMEN IN MATH - SOAC</t>
  </si>
  <si>
    <t>12001666 -- STEM ROUTES - SOAC</t>
  </si>
  <si>
    <t>12001667 -- CESR FELLOWS LEEDS SCH BS-SOAC</t>
  </si>
  <si>
    <t>12001668 -- ROBOBOAT - SOAC</t>
  </si>
  <si>
    <t>12001669 -- CU ROBOTIC MINING TEAM-SOAC</t>
  </si>
  <si>
    <t>12001670 -- EN CONTACTO - SOAC</t>
  </si>
  <si>
    <t>12001671 -- BOULDERITE CHESS CLUB - SOAC</t>
  </si>
  <si>
    <t>12001672 -- ADOPTEE ASSOCIATION - SOAC</t>
  </si>
  <si>
    <t>12001673 -- CU SKATE SOCIETY - SOAC</t>
  </si>
  <si>
    <t>12001674 -- YANG GANG - SOAC</t>
  </si>
  <si>
    <t>12001675 -- LATIN ARTS SOCIETY - SOAC</t>
  </si>
  <si>
    <t>12001676 -- CROCHET &amp; CONVERSATION-SOAC</t>
  </si>
  <si>
    <t>12001677 -- TURNING POINT USA - SOAC</t>
  </si>
  <si>
    <t>12001678 -- BUFF SIMULATORS - SOAC</t>
  </si>
  <si>
    <t>12001678 -- SOAC #339</t>
  </si>
  <si>
    <t>12001679 -- DRAWING CLUB - SOAC</t>
  </si>
  <si>
    <t>12001679 -- SOAC #340</t>
  </si>
  <si>
    <t>12001680 -- COLORADO HISTORIAN - SOAC</t>
  </si>
  <si>
    <t>12001680 -- SOAC #341</t>
  </si>
  <si>
    <t>12001681 -- SOAC #342</t>
  </si>
  <si>
    <t>12001681 -- WOMEN OF COLOR IN STEM - SOAC</t>
  </si>
  <si>
    <t>12001682 -- CU BACHATA CONEXION - SOAC</t>
  </si>
  <si>
    <t>12001682 -- SOAC #343</t>
  </si>
  <si>
    <t>12001683 -- BRAZEN PROJECT - SOAC</t>
  </si>
  <si>
    <t>12001683 -- SOAC #344</t>
  </si>
  <si>
    <t>12001684 -- SOAC #345</t>
  </si>
  <si>
    <t>12001684 -- WOMEN OF COLOR COLLECTIVE-SOAC</t>
  </si>
  <si>
    <t>12001685 -- CU SPRINTING CLUB</t>
  </si>
  <si>
    <t>12001685 -- SOAC #346</t>
  </si>
  <si>
    <t>12001686 -- CU TECH 4 EXTREME ENVIRON-SOAC</t>
  </si>
  <si>
    <t>12001686 -- SOAC #347</t>
  </si>
  <si>
    <t>12001687 -- BACKCOUNTRY SQUATTERS-SOAC</t>
  </si>
  <si>
    <t>12001687 -- SOAC #348</t>
  </si>
  <si>
    <t>12001688 -- SOAC #349</t>
  </si>
  <si>
    <t>12001688 -- STUDENTS FOR TRUMP - SOAC</t>
  </si>
  <si>
    <t>12001689 -- PREGRAD RESEARCH PATHWAYS-SOAC</t>
  </si>
  <si>
    <t>12001689 -- SOAC #350</t>
  </si>
  <si>
    <t>12001754 -- SUN OF JAY - SOAC</t>
  </si>
  <si>
    <t>12001755 -- BUFFS FOR BERNIE - SOAC</t>
  </si>
  <si>
    <t>12001756 -- CELLULAR AGRICULTURE CLUB-SOAC</t>
  </si>
  <si>
    <t>12001757 -- HUMAN IMM VIRUS ED-(HIVE)-SOAC</t>
  </si>
  <si>
    <t>12001758 -- LEEDS OUTDOOR IND CLUB - SOAC</t>
  </si>
  <si>
    <t>12001759 -- CU PHYSICIAN ASSISTANT - SOAC</t>
  </si>
  <si>
    <t>12001760 -- MIXED CU - SOAC</t>
  </si>
  <si>
    <t>12001761 -- CU BOULDERING CLUB - SOAC</t>
  </si>
  <si>
    <t>12001762 -- ENVIRONMENTAL PRO DESIGN -SOAC</t>
  </si>
  <si>
    <t>12001763 -- RALPHIE'S CLOSET - SOAC</t>
  </si>
  <si>
    <t>12001764 -- AERO MED STUD RESID ORG - SOAC</t>
  </si>
  <si>
    <t>12001765 -- TIBETAN CULTURAL SOCIETY -SOAC</t>
  </si>
  <si>
    <t>12001766 -- CU 3D PRINTING - SOAC</t>
  </si>
  <si>
    <t>12001767 -- SCIENCE UNDER THE DOME - SOAC</t>
  </si>
  <si>
    <t>12001768 -- BRASA AT CU BOULDER - SOAC</t>
  </si>
  <si>
    <t>12001769 -- DOCUMENTARY INT. CLUB - SOAC</t>
  </si>
  <si>
    <t>12001770 -- FINANCIAL PLANNING ASSOC -SOAC</t>
  </si>
  <si>
    <t>12001771 -- CU BOULDER ROBOSUB TEAM - SOAC</t>
  </si>
  <si>
    <t>12001772 -- SOAC #369</t>
  </si>
  <si>
    <t>12001773 -- SOAC #370</t>
  </si>
  <si>
    <t>12001774 -- SOAC #371</t>
  </si>
  <si>
    <t>12001775 -- SOAC #372</t>
  </si>
  <si>
    <t>12001776 -- SOAC #373</t>
  </si>
  <si>
    <t>12001777 -- SOAC #374</t>
  </si>
  <si>
    <t>12001778 -- SOAC #375</t>
  </si>
  <si>
    <t>12068986 -- ASIAN UNITY - SOC</t>
  </si>
  <si>
    <t>12068989 -- NEUROSCIENCE CLUB-SGFB</t>
  </si>
  <si>
    <t>12068990 -- STDT ASSOC PRE-HEALTH-SOAC</t>
  </si>
  <si>
    <t>12068992 -- BLACK STUDENT ALLIANCE-SGFB</t>
  </si>
  <si>
    <t>12068993 -- SGFB MASTER</t>
  </si>
  <si>
    <t>12068994 -- SGFB OPERATIONS</t>
  </si>
  <si>
    <t>12068995 -- SGFB ALLOCATIONS</t>
  </si>
  <si>
    <t>12068996 -- SGFB COMMUNICATIONS</t>
  </si>
  <si>
    <t>12068997 -- GAY STRAIGHT ALLIANCE-SGFB</t>
  </si>
  <si>
    <t>12069000 -- AMNESTY INTERNATIONAL-SGFB</t>
  </si>
  <si>
    <t>12069001 -- CU MOCK TRIAL TEAM-SGFB</t>
  </si>
  <si>
    <t>12069006 -- BEST BUDDIES-SGFB</t>
  </si>
  <si>
    <t>12069008 -- BIODIESEL-SGFB</t>
  </si>
  <si>
    <t>12069011 -- CU INTERNATIONAL-SGFB</t>
  </si>
  <si>
    <t>12069012 -- UMAS-UNITED MEXICAN AMER-SGFB</t>
  </si>
  <si>
    <t>12069014 -- AFRICAN STUDENT ASSOC. - SGFB</t>
  </si>
  <si>
    <t>12069018 -- SENIOR CLASS COUNCIL-SGFB</t>
  </si>
  <si>
    <t>12069020 -- MULTICULTURAL BUSINESS STUDENT</t>
  </si>
  <si>
    <t>12069022 -- NATIONAL STUDENT SPEECH-LANGUA</t>
  </si>
  <si>
    <t>12069024 -- STUDENT WORKER ALLIANCE PRGM</t>
  </si>
  <si>
    <t>12069026 -- ONSTAGE-SGFB</t>
  </si>
  <si>
    <t>12069029 -- SEMS-SGFB</t>
  </si>
  <si>
    <t>12069032 -- ONE EIGHTY 180 11 - SGFB</t>
  </si>
  <si>
    <t>12069033 -- CU REAL ESTATE CLUB-SGFB</t>
  </si>
  <si>
    <t>12069034 -- CO NEW MUSIC ENSEMBLE ¿ SOAC</t>
  </si>
  <si>
    <t>12069035 -- CU BOULDER DRAGON BOAT - SOAC</t>
  </si>
  <si>
    <t>12069037 -- CU ROBOTICS CLUB-SGFB</t>
  </si>
  <si>
    <t>12069038 -- CU SOCIAL PSYCHOLOGY LAB-SGFB</t>
  </si>
  <si>
    <t>12069039 -- CU SEDS SGFB</t>
  </si>
  <si>
    <t>12069041 -- ENVS CLUB-SGFB</t>
  </si>
  <si>
    <t>12069042 -- AIESEC - SOAC</t>
  </si>
  <si>
    <t>12069043 -- GLOBAL BRIGADES-SGFB</t>
  </si>
  <si>
    <t>12069045 -- MCDB GRAD STU SYM COM-SGFB</t>
  </si>
  <si>
    <t>12069048 -- U OF C STUDENT VETS ASN-SGFB</t>
  </si>
  <si>
    <t>12069051 -- CU ENERGY: THE STUDENT ALLIANC</t>
  </si>
  <si>
    <t>12069053 -- HIP HOP DANCE TEAM - SGFB</t>
  </si>
  <si>
    <t>12069055 -- CMENC: COLLEGIATE MUSIC EDUCAT</t>
  </si>
  <si>
    <t>12069057 -- AIR FORCE RESERVE OFFICER TRAI</t>
  </si>
  <si>
    <t>12069060 -- CREATIVE WRITING ASS'N - SGFB</t>
  </si>
  <si>
    <t>12069061 -- CU RUSSIAN CLUB - SGFB</t>
  </si>
  <si>
    <t>12069062 -- CU TRUMPET ALLIANCE - SGFB</t>
  </si>
  <si>
    <t>12069068 -- CU EMS - SGFB</t>
  </si>
  <si>
    <t>12069069 -- BIOMEDICAL ENGINEERING SOCIETY</t>
  </si>
  <si>
    <t>12069071 -- CU INT'L AFFAIRS CLUB - SGFB</t>
  </si>
  <si>
    <t>12069076 -- ENGLISH GRAD STUDENT COUNCIL</t>
  </si>
  <si>
    <t>12069078 -- PROJECT NUR - SGFB</t>
  </si>
  <si>
    <t>12069079 -- ROCKY MTN INTERDISCIP HISTORY</t>
  </si>
  <si>
    <t>12069083 -- CU CATALAN CLUB SGFB</t>
  </si>
  <si>
    <t>12069084 -- COLORADO OCEAN COALITION-SOAC</t>
  </si>
  <si>
    <t>12069085 -- HISTORY GRADUATE STUDENTS ASSO</t>
  </si>
  <si>
    <t>12086989 -- SGFB - STUDENT ACTIVITIES</t>
  </si>
  <si>
    <t>UMC</t>
  </si>
  <si>
    <t>12000574 -- COLD STONE BUILD OUT</t>
  </si>
  <si>
    <t>CAA Operations</t>
  </si>
  <si>
    <t>12001556 -- ALCOHOL AGENT-TIPS</t>
  </si>
  <si>
    <t>12016080 -- UMC SUPPORT</t>
  </si>
  <si>
    <t>17202914 -- CAMPUS ALCOHOL AGENT</t>
  </si>
  <si>
    <t>17200088 -- UMC PLANT FUND</t>
  </si>
  <si>
    <t>Campus EMS</t>
  </si>
  <si>
    <t>17202939 -- CENTRALIZED EVENT MGMT</t>
  </si>
  <si>
    <t>12000620 -- BAR SALES</t>
  </si>
  <si>
    <t>CDS Rent</t>
  </si>
  <si>
    <t>12000621 -- CONCESSIONS MACKY</t>
  </si>
  <si>
    <t>12000716 -- COLD STONE</t>
  </si>
  <si>
    <t>12021718 -- UMC FOOD SERV III</t>
  </si>
  <si>
    <t>12025532 -- UMC FOOD SERVICE I</t>
  </si>
  <si>
    <t>12030748 -- UMC FOOD SERVICE II</t>
  </si>
  <si>
    <t>12035038 -- UMC-FS-TENANT CLEARING</t>
  </si>
  <si>
    <t>12035039 -- FS-STOREROOM SALES</t>
  </si>
  <si>
    <t>12035040 -- BOARD ROOM</t>
  </si>
  <si>
    <t>12035041 -- SNEAKERS</t>
  </si>
  <si>
    <t>12035042 -- EAST END CAFE</t>
  </si>
  <si>
    <t>12035043 -- COFFEE CART SALES</t>
  </si>
  <si>
    <t>12035044 -- HEARSAY</t>
  </si>
  <si>
    <t>12035045 -- CONNECTION DELIVERIES</t>
  </si>
  <si>
    <t>12035046 -- FS-BABY DOES</t>
  </si>
  <si>
    <t>12035047 -- FS-GRILL</t>
  </si>
  <si>
    <t>12035048 -- UMC-FOOD SERVICE SP-1</t>
  </si>
  <si>
    <t>12057546 -- SHAKESPEARE FESTIVAL CONCESS'N</t>
  </si>
  <si>
    <t>12057693 -- UNIVERSITY CLUB</t>
  </si>
  <si>
    <t>12058864 -- LIBRARY SATELLITE</t>
  </si>
  <si>
    <t>12069686 -- FS - GIFT CARDS</t>
  </si>
  <si>
    <t>12071737 -- FS-METABOLIC KITCHEN</t>
  </si>
  <si>
    <t>12074529 -- JAMBA JUICE</t>
  </si>
  <si>
    <t>12091074 -- FS-CAMPUS CASH</t>
  </si>
  <si>
    <t>12000897 -- CUSG DISCOUNTS</t>
  </si>
  <si>
    <t>CUSG Discounts</t>
  </si>
  <si>
    <t>12000896 -- 3RD FLOOR REN LOAN</t>
  </si>
  <si>
    <t>Internal Campus Loan</t>
  </si>
  <si>
    <t>12000651 -- 60TH ANNIV CELEB</t>
  </si>
  <si>
    <t>UMC Administration</t>
  </si>
  <si>
    <t>12000652 -- PAC12 CONFERENCE</t>
  </si>
  <si>
    <t>12000823 -- GLB REOPENING</t>
  </si>
  <si>
    <t>12001500 -- BUSINESS CONTINUITY</t>
  </si>
  <si>
    <t>12016650 -- UMC OPERATIONS</t>
  </si>
  <si>
    <t>12020401 -- UMC ADMINISTRATION</t>
  </si>
  <si>
    <t>12052067 -- UMC BOARD SCHOLARSHIP</t>
  </si>
  <si>
    <t>12091382 -- CAMPUS CASH</t>
  </si>
  <si>
    <t>13432910 -- UMC GIFT ACCOUNT</t>
  </si>
  <si>
    <t>13438294 -- VERLE PLUMB GIFT ACCOUNT</t>
  </si>
  <si>
    <t>13446906 -- SENIOR GIFTS</t>
  </si>
  <si>
    <t>13453650 -- SENIOR GIFT - 2002</t>
  </si>
  <si>
    <t>12000874 -- PANDA STU LEADERSHIP FUNDS</t>
  </si>
  <si>
    <t>UMC Admin-Leadership</t>
  </si>
  <si>
    <t>12000875 -- PIZZA STU LEADERSHIP FUNDS</t>
  </si>
  <si>
    <t>12000876 -- SUBWAY STU LEADERSHIP FUNDS</t>
  </si>
  <si>
    <t>13401634 -- PANDA LEADERSHIP FUNDING</t>
  </si>
  <si>
    <t>12001034 -- ART PROGRAM</t>
  </si>
  <si>
    <t>UMC Art Program</t>
  </si>
  <si>
    <t>12000167 -- FS RENOVATION MARKETING</t>
  </si>
  <si>
    <t>UMC Building Operations</t>
  </si>
  <si>
    <t>12012155 -- UMC COPY CENTER</t>
  </si>
  <si>
    <t>12015850 -- UMC MAINT &amp; OP I</t>
  </si>
  <si>
    <t>12019440 -- UMC ART SALES</t>
  </si>
  <si>
    <t>12021719 -- UMC MAINT &amp; OP III</t>
  </si>
  <si>
    <t>12035031 -- UMC-RENT-UMC ROOMS</t>
  </si>
  <si>
    <t>12035032 -- UMC-RENT-UMC ATMS</t>
  </si>
  <si>
    <t>12035033 -- UMC-RENT-UMC EQUIPMENT</t>
  </si>
  <si>
    <t>12035034 -- UMC-RENT UMC OPERATOR</t>
  </si>
  <si>
    <t>12035035 -- UMC-RENT-UMC LOCKER</t>
  </si>
  <si>
    <t>12035036 -- UMC-VENDING</t>
  </si>
  <si>
    <t>12035037 -- UMC-BUILDING SP-1</t>
  </si>
  <si>
    <t>12057692 -- UNIVERSITY CLUB</t>
  </si>
  <si>
    <t>UMC Business Office</t>
  </si>
  <si>
    <t>12000487 -- EMPLOYEE MEAL PROGRAM</t>
  </si>
  <si>
    <t>12010045 -- PIZZA VENDOR</t>
  </si>
  <si>
    <t>12010275 -- SUBWAY</t>
  </si>
  <si>
    <t>12017912 -- ASIAN FOOD</t>
  </si>
  <si>
    <t>12022390 -- UMC BUSINESS OFFICE</t>
  </si>
  <si>
    <t>12023336 -- UMC 1986 BOND GAR</t>
  </si>
  <si>
    <t>12031643 -- SF CAPITAL PROJECTS</t>
  </si>
  <si>
    <t>UMC Capital</t>
  </si>
  <si>
    <t>12001204 -- SHOE RENTAL</t>
  </si>
  <si>
    <t>UMC Connection</t>
  </si>
  <si>
    <t>12014693 -- UMC GAMES AREA</t>
  </si>
  <si>
    <t>12028972 -- UMC GAMES AREA I</t>
  </si>
  <si>
    <t>12030744 -- UMC GAMES AREA II</t>
  </si>
  <si>
    <t>12035027 -- UMC GAMES-FOOD AND DRINK</t>
  </si>
  <si>
    <t>12035028 -- UMC GAMES-VIDEO GAMES</t>
  </si>
  <si>
    <t>12035029 -- UMC - SUMMER CAMPS</t>
  </si>
  <si>
    <t>12035030 -- UMC-GAMES SP1</t>
  </si>
  <si>
    <t>12000161 -- FS RENOVATION LOAN</t>
  </si>
  <si>
    <t>UMC Debt Service</t>
  </si>
  <si>
    <t>12041568 -- UMC EXPANSION</t>
  </si>
  <si>
    <t>12046905 -- UMC EXPANSION BONDS FEES</t>
  </si>
  <si>
    <t>17333223 -- UMC EXPANSION</t>
  </si>
  <si>
    <t>UMC Evening Program</t>
  </si>
  <si>
    <t>12021440 -- UMC SCHEDULING</t>
  </si>
  <si>
    <t>UMC Events Planning</t>
  </si>
  <si>
    <t>12030742 -- UMC MAINT &amp; OP II</t>
  </si>
  <si>
    <t>UMC IT</t>
  </si>
  <si>
    <t>17800105 -- R&amp;R IT</t>
  </si>
  <si>
    <t>12047508 -- UMC MARKETING</t>
  </si>
  <si>
    <t>UMC Marketing</t>
  </si>
  <si>
    <t>12014330 -- NIGHT WALK NIGHT RID</t>
  </si>
  <si>
    <t>UMC Night Ride</t>
  </si>
  <si>
    <t>13402362 -- NIGHT RIDE GIFT FUND</t>
  </si>
  <si>
    <t>13424036 -- UMC PARENT'S ASSOC GIFTS</t>
  </si>
  <si>
    <t>17800026 -- R&amp;R CU NIGHTRIDE</t>
  </si>
  <si>
    <t>12000188 -- REPAIR OF FREIGHT ELEVATOR-UMC</t>
  </si>
  <si>
    <t>UMC Projects</t>
  </si>
  <si>
    <t>12000202 -- ECRF BUNDLE #2</t>
  </si>
  <si>
    <t>12000318 -- UMC TENT - SOR</t>
  </si>
  <si>
    <t>12000454 -- SOR SECURITY CAMERAS</t>
  </si>
  <si>
    <t>12000469 -- SOR BALLRM RENOVATION PGM PLAN</t>
  </si>
  <si>
    <t>12000497 -- LED LIGHTING PROJECT</t>
  </si>
  <si>
    <t>12000510 -- 4TH FLOOR AIR PROJECT</t>
  </si>
  <si>
    <t>12000538 -- BALLROOM RENOVATION</t>
  </si>
  <si>
    <t>12000736 -- SUSTAINABLE PROJECTS</t>
  </si>
  <si>
    <t>12000745 -- SF4 UNIT FOR FOOD SERVICES</t>
  </si>
  <si>
    <t>12000746 -- SF5&amp;6 BOOKSTORE</t>
  </si>
  <si>
    <t>12000780 -- PRIOR YEAR EARMARKS</t>
  </si>
  <si>
    <t>12000851 -- NIGHTRIDE DISPATCH SYS</t>
  </si>
  <si>
    <t>12000852 -- SPACE REMODEL PROJECT</t>
  </si>
  <si>
    <t>12000878 -- HVAC&amp;ENERGY PROJECTS</t>
  </si>
  <si>
    <t>12000960 -- UMC FLOOR REPLACEMENT</t>
  </si>
  <si>
    <t>12000961 -- OCHNR OFFICE REMODEL</t>
  </si>
  <si>
    <t>12000978 -- BOWLING EQUIPMENT REPLACEMENT</t>
  </si>
  <si>
    <t>12000979 -- CARPET REPLACEMENT</t>
  </si>
  <si>
    <t>12001010 -- PROGRAM PLAN ROOF</t>
  </si>
  <si>
    <t>12001029 -- OFFICE SPACE REMODEL</t>
  </si>
  <si>
    <t>12001072 -- WDININGROOM CARPET</t>
  </si>
  <si>
    <t>12001074 -- 5TH FLOOR AIR CONDITIONING</t>
  </si>
  <si>
    <t>12001075 -- CONNECTION RESTROOM REMODEL</t>
  </si>
  <si>
    <t>12001076 -- E DINING ROOM INSULATION</t>
  </si>
  <si>
    <t>12001077 -- N&amp;E DINING ROOM HVAC PROJ</t>
  </si>
  <si>
    <t>12001078 -- DECK REPAIR</t>
  </si>
  <si>
    <t>12001200 -- DOOR COUNTERS</t>
  </si>
  <si>
    <t>12001201 -- PAINT AND SIGNAGE</t>
  </si>
  <si>
    <t>12001202 -- SMART ROOMS</t>
  </si>
  <si>
    <t>12001237 -- DDC CONTROLS ALL UMC</t>
  </si>
  <si>
    <t>12001287 -- RECOMM MECH SYSTEMS</t>
  </si>
  <si>
    <t>12001302 -- EAST DOCK SNOWMELT</t>
  </si>
  <si>
    <t>12001303 -- CONNECTION PROGRAM PLAN</t>
  </si>
  <si>
    <t>12001304 -- ELECTRICAL PANEL PROJECT</t>
  </si>
  <si>
    <t>12001305 -- CR1740-KITCHEN HALLWAY UPGRADE</t>
  </si>
  <si>
    <t>12001494 -- REMODEL PROGRAM SPACE</t>
  </si>
  <si>
    <t>12001495 -- UMC401 REMODEL PROJECT</t>
  </si>
  <si>
    <t>12001496 -- 4TH FLOOR DDC CONTROLS</t>
  </si>
  <si>
    <t>12001497 -- ELECTRICAL SWITCHGEAR</t>
  </si>
  <si>
    <t>12001641 -- RE-KEY BUILDING PROJECT</t>
  </si>
  <si>
    <t>12001745 -- ATRIUM PROJECT</t>
  </si>
  <si>
    <t>12020412 -- NSF EXPANSION</t>
  </si>
  <si>
    <t>12030132 -- VACANT 98-99</t>
  </si>
  <si>
    <t>12030146 -- SF 2 WAY RADIO</t>
  </si>
  <si>
    <t>12031665 -- FF &amp; E</t>
  </si>
  <si>
    <t>12046970 -- MURAL PROJECT</t>
  </si>
  <si>
    <t>12052201 -- UMC FINISH PROJECTS</t>
  </si>
  <si>
    <t>12058418 -- GENDER NEUTRAL RESTROOM</t>
  </si>
  <si>
    <t>12061490 -- UMC ROOF REPAIR</t>
  </si>
  <si>
    <t>12061491 -- FOOD SERVICE POS SYSTEM</t>
  </si>
  <si>
    <t>12063249 -- SORCE OFFICE</t>
  </si>
  <si>
    <t>12064804 -- FS RENOVATION STUDY</t>
  </si>
  <si>
    <t>12064888 -- TIMEKEEPING SYSTEM</t>
  </si>
  <si>
    <t>12065324 -- BLAST CHILLER</t>
  </si>
  <si>
    <t>12068871 -- UMC ESCO PROJECTS</t>
  </si>
  <si>
    <t>12069287 -- CONNECTION INSULATION</t>
  </si>
  <si>
    <t>12075855 -- UPGRADE TELCOMM CLOSET 46A</t>
  </si>
  <si>
    <t>12085202 -- EEF WINDOWS</t>
  </si>
  <si>
    <t>17202937 -- VCSA GEN FUND SUPPT</t>
  </si>
  <si>
    <t>17811213 -- CAPITAL FUND UMC</t>
  </si>
  <si>
    <t>17831599 -- UMC R&amp;R 12</t>
  </si>
  <si>
    <t>17831603 -- UMC R&amp;R 11</t>
  </si>
  <si>
    <t>17831652 -- UMC R&amp;R #3</t>
  </si>
  <si>
    <t>17831658 -- UMC R&amp;R #2</t>
  </si>
  <si>
    <t>17831670 -- UMC R&amp;R #1</t>
  </si>
  <si>
    <t>12024213 -- UMC RECEPTION DESK</t>
  </si>
  <si>
    <t>UMC Reception Desk</t>
  </si>
  <si>
    <t>12017680 -- UMC SALARY SAVINGS</t>
  </si>
  <si>
    <t>UMC Salary Savings</t>
  </si>
  <si>
    <t>12001639 -- UMC SECURITY</t>
  </si>
  <si>
    <t>UMC Security</t>
  </si>
  <si>
    <t>VRC</t>
  </si>
  <si>
    <t>12000945 -- ALT BREAKS TRIP #1</t>
  </si>
  <si>
    <t>VRC Alt Breaks</t>
  </si>
  <si>
    <t>12000946 -- ALT BREAKS TRIP #2</t>
  </si>
  <si>
    <t>12000947 -- ALT BREAKS TRIP #3</t>
  </si>
  <si>
    <t>12000948 -- ALT BREAKS TRIP #4</t>
  </si>
  <si>
    <t>12000949 -- ALT BREAKS TRIP #5</t>
  </si>
  <si>
    <t>12000950 -- ALT BREAKS TRIP #6</t>
  </si>
  <si>
    <t>12000951 -- ALT BREAKS TRIP #7</t>
  </si>
  <si>
    <t>12000952 -- ALT BREAKS TRIP #8</t>
  </si>
  <si>
    <t>12000953 -- ALT BREAKS TRIP #9</t>
  </si>
  <si>
    <t>12000954 -- ALT BREAKS TRIP #10</t>
  </si>
  <si>
    <t>12000955 -- ALT BREAKS TRIP #11</t>
  </si>
  <si>
    <t>12000956 -- ALT BREAKS TRIP #12</t>
  </si>
  <si>
    <t>12000957 -- ALT BREAKS TRIP #13</t>
  </si>
  <si>
    <t>12000958 -- ALT BREAKS TRIP #14</t>
  </si>
  <si>
    <t>12000959 -- ALT BREAKS TRIP #15</t>
  </si>
  <si>
    <t>12001362 -- VRC PAYROLL SUSPENSE</t>
  </si>
  <si>
    <t>12000482 -- VRC - CU IN THE COMMUNITY</t>
  </si>
  <si>
    <t>VRC CU in the Community</t>
  </si>
  <si>
    <t>12000482 -- VRC - DAY OF SERVICE</t>
  </si>
  <si>
    <t>12067207 -- VRC CONFERENCE</t>
  </si>
  <si>
    <t>12022564 -- VOLUNTEER RESOURCE CENTER</t>
  </si>
  <si>
    <t>VRC Operations</t>
  </si>
  <si>
    <t>12066028 -- VRC INTERNS PROGRAM</t>
  </si>
  <si>
    <t>Index</t>
  </si>
  <si>
    <t>Row</t>
  </si>
  <si>
    <t>Fiscal Year</t>
  </si>
  <si>
    <t>Unidentified Speedtypes</t>
  </si>
  <si>
    <t>FY</t>
  </si>
  <si>
    <t>Weights</t>
  </si>
  <si>
    <t>Seasonalized</t>
  </si>
  <si>
    <t>YTD - Seasonal</t>
  </si>
  <si>
    <t>Net</t>
  </si>
  <si>
    <t>Program Name</t>
  </si>
  <si>
    <t>Revenues</t>
  </si>
  <si>
    <t>Expenses</t>
  </si>
  <si>
    <t xml:space="preserve">&amp; Debt </t>
  </si>
  <si>
    <t>Position</t>
  </si>
  <si>
    <t>Balance</t>
  </si>
  <si>
    <t>Projected</t>
  </si>
  <si>
    <t>Beginning Balance</t>
  </si>
  <si>
    <t>Transfers</t>
  </si>
  <si>
    <t>Unadjusted Balance</t>
  </si>
  <si>
    <t>Earmarks</t>
  </si>
  <si>
    <t>Unencumbered Balance</t>
  </si>
  <si>
    <t>Fund Balance Name</t>
  </si>
  <si>
    <t>Student Legal Services</t>
  </si>
  <si>
    <t>30-Jun-20</t>
  </si>
  <si>
    <t>12057163 -- VRC/ALTERNATIVE BREAK PROG</t>
  </si>
  <si>
    <t>Unidentified Lvl 6 Account Codes</t>
  </si>
  <si>
    <t>12001320 -- CO HOMELESS AST W/MED PRO-SOAC</t>
  </si>
  <si>
    <t>12069075 -- ENGINEERS W/O BORDERS-RWANDA</t>
  </si>
  <si>
    <t>12001540 -- FORUM ON SCIENCE, ETHICS-SOAC</t>
  </si>
  <si>
    <t>12069074 -- ENGINEERS W/O BORDERS-NEPAL</t>
  </si>
  <si>
    <t>12000829 -- CULT LINGUIST/SOCIAL PRAC-SOAC</t>
  </si>
  <si>
    <t>12000837 -- ENGINEERS W/O BORDERS PAR-SOAC</t>
  </si>
  <si>
    <t>12000843 -- CATALYSIS/SURFACE SCIENCE-SOAC</t>
  </si>
  <si>
    <t>12069046 -- PERFORMERS W/O BORDERS-SGFB</t>
  </si>
  <si>
    <t>12019481 -- CUSG CCS/LEG</t>
  </si>
  <si>
    <t>12028443 -- OCSS NIGHTRIDE/WALK</t>
  </si>
  <si>
    <t>12030457 -- FITNESS EQPMNT/WEIGHT RM</t>
  </si>
  <si>
    <t>12024013 -- TA/PT</t>
  </si>
  <si>
    <t>12086896 -- MAINTENANCE - PARTS/SUPPLIES</t>
  </si>
  <si>
    <t>12023696 -- MEMBERSHIP/USE FEE</t>
  </si>
  <si>
    <t>12028595 -- SHORTAGE/OVERAGE</t>
  </si>
  <si>
    <t>12001036 -- CLUBS EMT/TRAINERS</t>
  </si>
  <si>
    <t>12001046 -- HOCKEY, MEN'S SF</t>
  </si>
  <si>
    <t>12001047 -- HOCKEY, WOMEN'S SF</t>
  </si>
  <si>
    <t>12001048 -- KAYAK, SF</t>
  </si>
  <si>
    <t>12001049 -- LACROSSE, MEN'S SF</t>
  </si>
  <si>
    <t>12001050 -- LACROSSE, WOMEN'S SF</t>
  </si>
  <si>
    <t>12001051 -- RACQUETBALL, SF</t>
  </si>
  <si>
    <t>12001053 -- RUGBY, MEN'S SF</t>
  </si>
  <si>
    <t>12001054 -- RUGBY, WOMEN'S SF</t>
  </si>
  <si>
    <t>12001056 -- SOCCER, MEN'S SF</t>
  </si>
  <si>
    <t>12001057 -- SOCCER, WOMEN'S SF</t>
  </si>
  <si>
    <t>12001059 -- SWIMMING/DIVING SF</t>
  </si>
  <si>
    <t>12001064 -- ULTIMATE, MEN'S SF</t>
  </si>
  <si>
    <t>12001065 -- ULTIMATE, WOMEN'S SF</t>
  </si>
  <si>
    <t>12001066 -- VOLLEYBALL, MEN'S SF</t>
  </si>
  <si>
    <t>12001067 -- VOLLEYBALL, WOMEN'S SF</t>
  </si>
  <si>
    <t>12001068 -- WATER POLO, MEN'S SF</t>
  </si>
  <si>
    <t>12001069 -- WATER POLO, WOMEN'S SF</t>
  </si>
  <si>
    <t>12001070 -- WRESTLING, SF</t>
  </si>
  <si>
    <t>12001247 -- HOCKEY, MEN'S 2ND TEAM SF</t>
  </si>
  <si>
    <t>12000486 -- STYRO/COMPOSTABLE REPLACEMENT</t>
  </si>
  <si>
    <t>12001286 -- EVENING PROG/ASSESSMENT</t>
  </si>
  <si>
    <t>12001210 -- DDC CONTROLS 2ND/3RD FLOOR</t>
  </si>
  <si>
    <t>12001301 -- WRC AIR/DX SYSTEM</t>
  </si>
  <si>
    <t>12001569 -- WIRELESS/CELLULAR</t>
  </si>
  <si>
    <t>12074873 -- ASPEN ROOMS AIR-SF/CAPITAL</t>
  </si>
  <si>
    <t>UMC Support</t>
  </si>
  <si>
    <t>Useful Keyboard Shortcuts</t>
  </si>
  <si>
    <t>Ctrl + Shift + Q</t>
  </si>
  <si>
    <t>Returns you to the top left range of the active sheet</t>
  </si>
  <si>
    <t>Ctrl + Shift + A</t>
  </si>
  <si>
    <t>Returns you to this sheet</t>
  </si>
  <si>
    <t xml:space="preserve">Ctrl + Shift + Z </t>
  </si>
  <si>
    <t>Fills selected cells with `0` if the selected cells have a light gold background color (Only relevant for SB reports)</t>
  </si>
  <si>
    <t>Unique Programs</t>
  </si>
  <si>
    <t>Unique Fund Balances</t>
  </si>
  <si>
    <t>Report Created</t>
  </si>
  <si>
    <t>Ctrl + Shift + H</t>
  </si>
  <si>
    <t>Hides/unhides the reference sheets</t>
  </si>
  <si>
    <t>12001557 -- NIRSA SPORTS TOURNAMENTS</t>
  </si>
  <si>
    <t>University Memorial Center</t>
  </si>
  <si>
    <t>Seasonal Budget</t>
  </si>
  <si>
    <t>FY 19</t>
  </si>
  <si>
    <t>FY 17</t>
  </si>
  <si>
    <t>FY 18</t>
  </si>
  <si>
    <t>Roll Up</t>
  </si>
  <si>
    <t>Created In</t>
  </si>
  <si>
    <t>C:\Users\grega\Google Drive\CUSG\Seasonalized Budget Generator\FY 21 FD II\CUSG FINANCIAL DETAIL II.csv</t>
  </si>
  <si>
    <t>CU Student Government - Proper</t>
  </si>
  <si>
    <t>Program</t>
  </si>
  <si>
    <t>BudColumn</t>
  </si>
  <si>
    <t>ActColumn</t>
  </si>
  <si>
    <t>BUDGET</t>
  </si>
  <si>
    <t>ACTUALS</t>
  </si>
  <si>
    <t>SPDTYPE</t>
  </si>
  <si>
    <t>ACCT</t>
  </si>
  <si>
    <t>220100 -- STUDENT ACTIVITY FEES</t>
  </si>
  <si>
    <t>407600 -- STD HR PAY</t>
  </si>
  <si>
    <t>428301 -- ALL STD/OTH PER FRINGE BEN</t>
  </si>
  <si>
    <t>460000 -- OPERATING EXPENSE GEN BUDGET</t>
  </si>
  <si>
    <t>960100 -- GENERAL ADMIN RECHARGE</t>
  </si>
  <si>
    <t>960402 -- CSI GENERAL ADMIN RECHARGE</t>
  </si>
  <si>
    <t>960200 -- GENERAL INFRASTRUCT RECHARGE</t>
  </si>
  <si>
    <t>997100 -- CASH TRANSFER OUT W/IN CAMPUS</t>
  </si>
  <si>
    <t>995100 -- CASH TRANSFER IN W/IN CAMPUS</t>
  </si>
  <si>
    <t>552601 -- OTHER OPERATING SUPPLIES</t>
  </si>
  <si>
    <t>997000 -- CASH TRNSFRS OUT GENERL BUDGET</t>
  </si>
  <si>
    <t>552606 -- OTHER OPERATING CONSULTANTS</t>
  </si>
  <si>
    <t>220120 -- MANDATORY STUDENT FEES (CCHE)</t>
  </si>
  <si>
    <t>407500 -- STD HR PAY GEN BDG</t>
  </si>
  <si>
    <t>407700 -- STD ONC WS PAY</t>
  </si>
  <si>
    <t>422050 -- FELL PT OTH BEN</t>
  </si>
  <si>
    <t>427500 -- STD HR BEN GEN BDG</t>
  </si>
  <si>
    <t>500214 -- IT CONNECTIVITY FEE</t>
  </si>
  <si>
    <t>495202 -- STD FELL STIPENDS HRMS</t>
  </si>
  <si>
    <t>550300 -- STUDENT FUNCTIONS</t>
  </si>
  <si>
    <t>550400 -- OF-TRAINING FUNCTION</t>
  </si>
  <si>
    <t>537604 -- UNIFORMS</t>
  </si>
  <si>
    <t>552699 -- ID OTHER OPER SERVICES</t>
  </si>
  <si>
    <t>550100 -- OFFICIAL FUNCTIONS</t>
  </si>
  <si>
    <t>700100 -- EMPLOYEE TRAVEL - IN STATE</t>
  </si>
  <si>
    <t>702000 -- NON-EMPLOYEE TRAVEL - IN STATE</t>
  </si>
  <si>
    <t>552603 -- OTHR OPERATING EQUIP RENTAL</t>
  </si>
  <si>
    <t>502899 -- ID RENTALS</t>
  </si>
  <si>
    <t>502800 -- SPACE RENTALS</t>
  </si>
  <si>
    <t>552602 -- OTHER OPERATING SERVICES</t>
  </si>
  <si>
    <t>552610 -- SIGNS/MURALS/BANNERS</t>
  </si>
  <si>
    <t>537600 -- EQUIPMENT &lt; $5000</t>
  </si>
  <si>
    <t>537699 -- ID EQUIPMENT &lt;$5,000</t>
  </si>
  <si>
    <t>480101 -- OFFICE SUPPLIES</t>
  </si>
  <si>
    <t>550105 -- PERF/SUPP AWARDS NCASH NONEMPL</t>
  </si>
  <si>
    <t>508715 -- PROMOTIONS</t>
  </si>
  <si>
    <t>552605 -- OTHR OPERATING CNTRCT SERVICES</t>
  </si>
  <si>
    <t>487602 -- PRT/PUB/REPRO SERVICES</t>
  </si>
  <si>
    <t>480112 -- PARKING PERMITS</t>
  </si>
  <si>
    <t>487699 -- ID PRINT, PUBL &amp; REPROD CHGS</t>
  </si>
  <si>
    <t>507601 -- RECRUIT/PROCURE ADV SUPPLIES</t>
  </si>
  <si>
    <t>500100 -- IT SUPPLIES</t>
  </si>
  <si>
    <t>500400 -- IT SOFTWARE LICENSES</t>
  </si>
  <si>
    <t>500500 -- IT MAINTENANCE AGREEMENTS</t>
  </si>
  <si>
    <t>508702 -- GENERAL ADV SERVICES</t>
  </si>
  <si>
    <t>509999 -- ID ADVRTSG NON-RECRUIT/PROCURE</t>
  </si>
  <si>
    <t>500800 -- COMPUTERS (BUNDLED&lt; $5000)</t>
  </si>
  <si>
    <t>497603 -- MOTOR VEHICLE EQUIPMENT RENTAL</t>
  </si>
  <si>
    <t>550108 -- NONCSH PARTICIP/RECOG NONEMPL</t>
  </si>
  <si>
    <t>553201 -- COMPANY CARD UNALLOWABLE EXP</t>
  </si>
  <si>
    <t>700000 -- TRAVEL GENERAL BUDGET</t>
  </si>
  <si>
    <t>550200 -- CONFERENCES</t>
  </si>
  <si>
    <t>700200 -- EMPLOYEE TRAVEL - OUT-OF-STATE</t>
  </si>
  <si>
    <t>702100 -- NONEMPLOYEE TRVL -OUT OF STATE</t>
  </si>
  <si>
    <t>553000 -- CONFERENCE REGISTRATION FEES</t>
  </si>
  <si>
    <t>485118 -- FEDERAL EXPRESS</t>
  </si>
  <si>
    <t>515188 -- ID SECURITY SERVICES</t>
  </si>
  <si>
    <t>552625 -- STUDENT ACTIVITIES</t>
  </si>
  <si>
    <t>552499 -- ID OFFICIAL FUNCTIONS</t>
  </si>
  <si>
    <t>405400 -- CLASS PTT PAY</t>
  </si>
  <si>
    <t>425803 -- ALLCLASS P/TGR FRINGE BEN</t>
  </si>
  <si>
    <t>508701 -- GENERAL ADV SUPPLIES</t>
  </si>
  <si>
    <t>490104 -- PHOTOGRAPHY SERVICES</t>
  </si>
  <si>
    <t>250100 -- SALES/SERVICES OF EDUC ACTVT</t>
  </si>
  <si>
    <t>515192 -- ID BLDG MAINT &amp; REPAIR</t>
  </si>
  <si>
    <t>517601 -- CUSTODIAL SERVICES</t>
  </si>
  <si>
    <t>400000 -- FAC FTP SAL GEN BDG</t>
  </si>
  <si>
    <t>553204 -- COMPANY CARD-DISPUTED CHARGES</t>
  </si>
  <si>
    <t>254840 -- SSEA MISC REV</t>
  </si>
  <si>
    <t>480109 -- BOTTLED WATER</t>
  </si>
  <si>
    <t>480116 -- PAPER</t>
  </si>
  <si>
    <t>501200 -- OTHER IT HARDWARE &lt; $5000</t>
  </si>
  <si>
    <t>487610 -- COPY MACHINE RENTAL</t>
  </si>
  <si>
    <t>515108 -- BUILDING RENOVATION &amp; REMODEL</t>
  </si>
  <si>
    <t>537603 -- FURNITURE &lt; $5000</t>
  </si>
  <si>
    <t>485107 -- POSTAGE</t>
  </si>
  <si>
    <t>530101 -- LAB &amp; TECH SHOP SUPPLIES</t>
  </si>
  <si>
    <t>510300 -- LICENSES</t>
  </si>
  <si>
    <t>480118 -- OFFICE SUPPLIES-TECHNICAL</t>
  </si>
  <si>
    <t>500200 -- IT SERVICES</t>
  </si>
  <si>
    <t>517600 -- CUSTODIAL SUPPLIES</t>
  </si>
  <si>
    <t>550106 -- NONCASH RECOGNITION EMPLOYEES</t>
  </si>
  <si>
    <t>490103 -- PHOTOGRAPHY SUPPLIES</t>
  </si>
  <si>
    <t>545102 -- INSURANCE SERVICES</t>
  </si>
  <si>
    <t>480117 -- TONER</t>
  </si>
  <si>
    <t>485101 -- POSTAL SUPPLIES</t>
  </si>
  <si>
    <t>512600 -- SUBSCRPTS/BKS/PERIOD/SCORES</t>
  </si>
  <si>
    <t>485102 -- POSTAL SERVICES</t>
  </si>
  <si>
    <t>480103 -- OFFICE EQUIPMENT RENTAL</t>
  </si>
  <si>
    <t>390001 -- ID MISC REVENUE</t>
  </si>
  <si>
    <t>487601 -- PRT/PUB/REPRO SUPPLIES</t>
  </si>
  <si>
    <t>405000 -- CLASS FTP SAL GEN BDG</t>
  </si>
  <si>
    <t>405100 -- CLASS FTP PAY</t>
  </si>
  <si>
    <t>405341 -- CLASS FTT OTH PAY</t>
  </si>
  <si>
    <t>425000 -- CLASS FTP BEN GEN BDG</t>
  </si>
  <si>
    <t>425802 -- ALLCLASS FTP FRINGE BEN</t>
  </si>
  <si>
    <t>501500 -- NETWORKS &lt; $5000</t>
  </si>
  <si>
    <t>527601 -- INSTRUCTIONAL SUPPLIES</t>
  </si>
  <si>
    <t>405130 -- CLASS FTP OVERTIME PAY</t>
  </si>
  <si>
    <t>402900 -- O/E PTT PAY</t>
  </si>
  <si>
    <t>422728 -- ALL O/E P/TGR FRINGE BEN</t>
  </si>
  <si>
    <t>Export Type</t>
  </si>
  <si>
    <t>Compact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</si>
</sst>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3" formatCode="_(* #,##0.00_);_(* \(#,##0.00\);_(* &quot;-&quot;??_);_(@_)"/>
    <numFmt numFmtId="164" formatCode="[$-409]d/mmm/yy;@"/>
    <numFmt numFmtId="165" formatCode="0.0%"/>
    <numFmt numFmtId="166" formatCode="mm/dd/yy;@"/>
    <numFmt numFmtId="167" formatCode="[$-F400]h:mm:ss\ AM/PM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 MT"/>
    </font>
    <font>
      <b/>
      <u/>
      <sz val="1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FB87C"/>
        <bgColor indexed="64"/>
      </patternFill>
    </fill>
    <fill>
      <patternFill patternType="solid">
        <fgColor rgb="FFDCCB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D4D4D4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5" fillId="0" borderId="0"/>
  </cellStyleXfs>
  <cellXfs count="250">
    <xf numFmtId="0" fontId="0" fillId="0" borderId="0" xfId="0"/>
    <xf numFmtId="164" fontId="4" fillId="0" borderId="0" xfId="0" applyNumberFormat="1" applyFont="1" applyAlignment="1">
      <alignment horizontal="center"/>
    </xf>
    <xf numFmtId="42" fontId="7" fillId="0" borderId="2" xfId="2" applyNumberFormat="1" applyFont="1" applyBorder="1" applyAlignment="1">
      <alignment horizontal="center"/>
    </xf>
    <xf numFmtId="165" fontId="7" fillId="0" borderId="0" xfId="2" applyNumberFormat="1" applyFont="1" applyAlignment="1">
      <alignment horizontal="center" vertical="center"/>
    </xf>
    <xf numFmtId="0" fontId="0" fillId="0" borderId="2" xfId="0" applyBorder="1"/>
    <xf numFmtId="166" fontId="8" fillId="0" borderId="0" xfId="2" applyNumberFormat="1" applyFont="1" applyAlignment="1">
      <alignment vertical="center"/>
    </xf>
    <xf numFmtId="42" fontId="9" fillId="0" borderId="2" xfId="2" applyNumberFormat="1" applyFont="1" applyBorder="1" applyAlignment="1">
      <alignment horizontal="center"/>
    </xf>
    <xf numFmtId="165" fontId="9" fillId="0" borderId="0" xfId="2" applyNumberFormat="1" applyFont="1" applyAlignment="1">
      <alignment horizontal="center" vertical="center"/>
    </xf>
    <xf numFmtId="0" fontId="8" fillId="0" borderId="0" xfId="2" applyFont="1" applyAlignment="1">
      <alignment horizontal="center"/>
    </xf>
    <xf numFmtId="0" fontId="8" fillId="0" borderId="1" xfId="2" applyFont="1" applyBorder="1" applyAlignment="1">
      <alignment horizontal="right"/>
    </xf>
    <xf numFmtId="42" fontId="7" fillId="0" borderId="5" xfId="2" applyNumberFormat="1" applyFont="1" applyBorder="1" applyAlignment="1">
      <alignment horizontal="center"/>
    </xf>
    <xf numFmtId="165" fontId="10" fillId="0" borderId="1" xfId="2" applyNumberFormat="1" applyFont="1" applyBorder="1" applyAlignment="1">
      <alignment horizontal="center" vertical="center"/>
    </xf>
    <xf numFmtId="42" fontId="10" fillId="0" borderId="5" xfId="2" applyNumberFormat="1" applyFont="1" applyBorder="1" applyAlignment="1">
      <alignment horizontal="center"/>
    </xf>
    <xf numFmtId="0" fontId="11" fillId="0" borderId="0" xfId="2" applyFont="1" applyAlignment="1">
      <alignment horizontal="left"/>
    </xf>
    <xf numFmtId="42" fontId="7" fillId="0" borderId="7" xfId="2" applyNumberFormat="1" applyFont="1" applyBorder="1"/>
    <xf numFmtId="42" fontId="7" fillId="0" borderId="7" xfId="2" applyNumberFormat="1" applyFont="1" applyBorder="1" applyAlignment="1">
      <alignment horizontal="right"/>
    </xf>
    <xf numFmtId="42" fontId="7" fillId="0" borderId="2" xfId="2" applyNumberFormat="1" applyFont="1" applyBorder="1"/>
    <xf numFmtId="0" fontId="7" fillId="0" borderId="4" xfId="2" applyFont="1" applyBorder="1" applyAlignment="1">
      <alignment horizontal="center" vertical="center"/>
    </xf>
    <xf numFmtId="0" fontId="7" fillId="2" borderId="8" xfId="2" applyFont="1" applyFill="1" applyBorder="1" applyAlignment="1">
      <alignment horizontal="left" indent="1"/>
    </xf>
    <xf numFmtId="42" fontId="7" fillId="2" borderId="9" xfId="2" applyNumberFormat="1" applyFont="1" applyFill="1" applyBorder="1"/>
    <xf numFmtId="165" fontId="7" fillId="2" borderId="8" xfId="1" applyNumberFormat="1" applyFont="1" applyFill="1" applyBorder="1" applyAlignment="1">
      <alignment horizontal="center" vertical="center"/>
    </xf>
    <xf numFmtId="165" fontId="7" fillId="2" borderId="8" xfId="3" applyNumberFormat="1" applyFont="1" applyFill="1" applyBorder="1" applyAlignment="1">
      <alignment horizontal="center" vertical="center"/>
    </xf>
    <xf numFmtId="0" fontId="2" fillId="2" borderId="10" xfId="2" applyFont="1" applyFill="1" applyBorder="1" applyAlignment="1">
      <alignment horizontal="center" vertical="center"/>
    </xf>
    <xf numFmtId="0" fontId="7" fillId="2" borderId="0" xfId="2" applyFont="1" applyFill="1" applyAlignment="1">
      <alignment horizontal="left" indent="1"/>
    </xf>
    <xf numFmtId="42" fontId="7" fillId="2" borderId="2" xfId="2" applyNumberFormat="1" applyFont="1" applyFill="1" applyBorder="1"/>
    <xf numFmtId="42" fontId="7" fillId="2" borderId="2" xfId="2" applyNumberFormat="1" applyFont="1" applyFill="1" applyBorder="1" applyAlignment="1">
      <alignment horizontal="right"/>
    </xf>
    <xf numFmtId="165" fontId="7" fillId="2" borderId="0" xfId="1" applyNumberFormat="1" applyFont="1" applyFill="1" applyBorder="1" applyAlignment="1">
      <alignment horizontal="center" vertical="center"/>
    </xf>
    <xf numFmtId="165" fontId="7" fillId="2" borderId="0" xfId="3" applyNumberFormat="1" applyFont="1" applyFill="1" applyBorder="1" applyAlignment="1">
      <alignment horizontal="center" vertical="center"/>
    </xf>
    <xf numFmtId="1" fontId="2" fillId="2" borderId="4" xfId="2" applyNumberFormat="1" applyFont="1" applyFill="1" applyBorder="1" applyAlignment="1">
      <alignment horizontal="center" vertical="center"/>
    </xf>
    <xf numFmtId="0" fontId="7" fillId="2" borderId="11" xfId="2" applyFont="1" applyFill="1" applyBorder="1" applyAlignment="1">
      <alignment horizontal="left" indent="1"/>
    </xf>
    <xf numFmtId="42" fontId="7" fillId="2" borderId="7" xfId="2" applyNumberFormat="1" applyFont="1" applyFill="1" applyBorder="1"/>
    <xf numFmtId="42" fontId="7" fillId="2" borderId="7" xfId="2" applyNumberFormat="1" applyFont="1" applyFill="1" applyBorder="1" applyAlignment="1">
      <alignment horizontal="right"/>
    </xf>
    <xf numFmtId="165" fontId="7" fillId="2" borderId="11" xfId="1" applyNumberFormat="1" applyFont="1" applyFill="1" applyBorder="1" applyAlignment="1">
      <alignment horizontal="center" vertical="center"/>
    </xf>
    <xf numFmtId="165" fontId="7" fillId="2" borderId="11" xfId="3" applyNumberFormat="1" applyFont="1" applyFill="1" applyBorder="1" applyAlignment="1">
      <alignment horizontal="center" vertical="center"/>
    </xf>
    <xf numFmtId="1" fontId="2" fillId="2" borderId="12" xfId="2" applyNumberFormat="1" applyFont="1" applyFill="1" applyBorder="1" applyAlignment="1">
      <alignment horizontal="center" vertical="center"/>
    </xf>
    <xf numFmtId="0" fontId="12" fillId="0" borderId="2" xfId="0" applyFont="1" applyBorder="1"/>
    <xf numFmtId="0" fontId="13" fillId="3" borderId="13" xfId="2" applyFont="1" applyFill="1" applyBorder="1" applyAlignment="1">
      <alignment horizontal="right"/>
    </xf>
    <xf numFmtId="42" fontId="14" fillId="3" borderId="14" xfId="2" applyNumberFormat="1" applyFont="1" applyFill="1" applyBorder="1"/>
    <xf numFmtId="165" fontId="14" fillId="3" borderId="13" xfId="1" applyNumberFormat="1" applyFont="1" applyFill="1" applyBorder="1" applyAlignment="1">
      <alignment horizontal="center" vertical="center"/>
    </xf>
    <xf numFmtId="165" fontId="14" fillId="3" borderId="13" xfId="3" applyNumberFormat="1" applyFont="1" applyFill="1" applyBorder="1" applyAlignment="1">
      <alignment horizontal="center" vertical="center"/>
    </xf>
    <xf numFmtId="1" fontId="15" fillId="3" borderId="15" xfId="2" applyNumberFormat="1" applyFont="1" applyFill="1" applyBorder="1" applyAlignment="1">
      <alignment horizontal="center" vertical="center"/>
    </xf>
    <xf numFmtId="0" fontId="7" fillId="0" borderId="0" xfId="2" applyFont="1" applyAlignment="1">
      <alignment horizontal="left"/>
    </xf>
    <xf numFmtId="42" fontId="10" fillId="0" borderId="16" xfId="2" applyNumberFormat="1" applyFont="1" applyBorder="1"/>
    <xf numFmtId="42" fontId="10" fillId="0" borderId="0" xfId="2" applyNumberFormat="1" applyFont="1"/>
    <xf numFmtId="165" fontId="10" fillId="0" borderId="16" xfId="1" applyNumberFormat="1" applyFont="1" applyFill="1" applyBorder="1" applyAlignment="1">
      <alignment horizontal="center" vertical="center"/>
    </xf>
    <xf numFmtId="165" fontId="10" fillId="0" borderId="16" xfId="3" applyNumberFormat="1" applyFont="1" applyFill="1" applyBorder="1" applyAlignment="1">
      <alignment horizontal="center" vertical="center"/>
    </xf>
    <xf numFmtId="1" fontId="10" fillId="0" borderId="16" xfId="2" applyNumberFormat="1" applyFont="1" applyBorder="1" applyAlignment="1">
      <alignment horizontal="center" vertical="center"/>
    </xf>
    <xf numFmtId="0" fontId="1" fillId="0" borderId="0" xfId="0" applyFont="1"/>
    <xf numFmtId="42" fontId="7" fillId="0" borderId="11" xfId="2" applyNumberFormat="1" applyFont="1" applyBorder="1"/>
    <xf numFmtId="42" fontId="7" fillId="0" borderId="0" xfId="2" applyNumberFormat="1" applyFont="1"/>
    <xf numFmtId="165" fontId="7" fillId="0" borderId="11" xfId="1" applyNumberFormat="1" applyFont="1" applyFill="1" applyBorder="1" applyAlignment="1">
      <alignment horizontal="center" vertical="center"/>
    </xf>
    <xf numFmtId="165" fontId="7" fillId="0" borderId="11" xfId="3" applyNumberFormat="1" applyFont="1" applyFill="1" applyBorder="1" applyAlignment="1">
      <alignment horizontal="center" vertical="center"/>
    </xf>
    <xf numFmtId="1" fontId="7" fillId="0" borderId="11" xfId="2" applyNumberFormat="1" applyFont="1" applyBorder="1" applyAlignment="1">
      <alignment horizontal="center" vertical="center"/>
    </xf>
    <xf numFmtId="1" fontId="2" fillId="2" borderId="10" xfId="2" applyNumberFormat="1" applyFont="1" applyFill="1" applyBorder="1" applyAlignment="1">
      <alignment horizontal="center" vertical="center"/>
    </xf>
    <xf numFmtId="0" fontId="1" fillId="0" borderId="2" xfId="0" applyFont="1" applyBorder="1"/>
    <xf numFmtId="0" fontId="7" fillId="2" borderId="17" xfId="2" applyFont="1" applyFill="1" applyBorder="1" applyAlignment="1">
      <alignment horizontal="left" indent="1"/>
    </xf>
    <xf numFmtId="42" fontId="7" fillId="2" borderId="6" xfId="2" applyNumberFormat="1" applyFont="1" applyFill="1" applyBorder="1"/>
    <xf numFmtId="42" fontId="7" fillId="2" borderId="5" xfId="2" applyNumberFormat="1" applyFont="1" applyFill="1" applyBorder="1"/>
    <xf numFmtId="165" fontId="7" fillId="2" borderId="17" xfId="1" applyNumberFormat="1" applyFont="1" applyFill="1" applyBorder="1" applyAlignment="1">
      <alignment horizontal="center" vertical="center"/>
    </xf>
    <xf numFmtId="165" fontId="7" fillId="2" borderId="17" xfId="3" applyNumberFormat="1" applyFont="1" applyFill="1" applyBorder="1" applyAlignment="1">
      <alignment horizontal="center" vertical="center"/>
    </xf>
    <xf numFmtId="1" fontId="2" fillId="2" borderId="6" xfId="2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 vertical="center"/>
    </xf>
    <xf numFmtId="0" fontId="11" fillId="0" borderId="19" xfId="2" applyFont="1" applyBorder="1" applyAlignment="1">
      <alignment horizontal="right"/>
    </xf>
    <xf numFmtId="42" fontId="7" fillId="0" borderId="20" xfId="2" applyNumberFormat="1" applyFont="1" applyBorder="1"/>
    <xf numFmtId="42" fontId="7" fillId="0" borderId="20" xfId="2" quotePrefix="1" applyNumberFormat="1" applyFont="1" applyBorder="1"/>
    <xf numFmtId="165" fontId="7" fillId="0" borderId="19" xfId="1" applyNumberFormat="1" applyFont="1" applyFill="1" applyBorder="1" applyAlignment="1">
      <alignment horizontal="center" vertical="center"/>
    </xf>
    <xf numFmtId="165" fontId="7" fillId="0" borderId="19" xfId="3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1" fillId="0" borderId="19" xfId="2" applyFont="1" applyBorder="1" applyAlignment="1">
      <alignment horizontal="left"/>
    </xf>
    <xf numFmtId="42" fontId="1" fillId="0" borderId="19" xfId="0" applyNumberFormat="1" applyFont="1" applyBorder="1"/>
    <xf numFmtId="165" fontId="1" fillId="0" borderId="19" xfId="1" applyNumberFormat="1" applyFont="1" applyFill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7" fillId="2" borderId="22" xfId="2" applyFont="1" applyFill="1" applyBorder="1" applyAlignment="1">
      <alignment horizontal="left" indent="1"/>
    </xf>
    <xf numFmtId="42" fontId="7" fillId="2" borderId="23" xfId="2" applyNumberFormat="1" applyFont="1" applyFill="1" applyBorder="1"/>
    <xf numFmtId="165" fontId="7" fillId="2" borderId="22" xfId="1" applyNumberFormat="1" applyFont="1" applyFill="1" applyBorder="1" applyAlignment="1">
      <alignment horizontal="center" vertical="center"/>
    </xf>
    <xf numFmtId="165" fontId="7" fillId="2" borderId="22" xfId="3" applyNumberFormat="1" applyFont="1" applyFill="1" applyBorder="1" applyAlignment="1">
      <alignment horizontal="center" vertical="center"/>
    </xf>
    <xf numFmtId="1" fontId="2" fillId="2" borderId="24" xfId="2" applyNumberFormat="1" applyFont="1" applyFill="1" applyBorder="1" applyAlignment="1">
      <alignment horizontal="center" vertical="center"/>
    </xf>
    <xf numFmtId="42" fontId="7" fillId="0" borderId="21" xfId="2" applyNumberFormat="1" applyFont="1" applyBorder="1"/>
    <xf numFmtId="1" fontId="2" fillId="0" borderId="21" xfId="2" applyNumberFormat="1" applyFont="1" applyBorder="1" applyAlignment="1">
      <alignment horizontal="center" vertical="center"/>
    </xf>
    <xf numFmtId="42" fontId="7" fillId="0" borderId="19" xfId="2" applyNumberFormat="1" applyFont="1" applyBorder="1"/>
    <xf numFmtId="0" fontId="7" fillId="0" borderId="19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horizontal="center" vertical="center"/>
    </xf>
    <xf numFmtId="165" fontId="7" fillId="0" borderId="19" xfId="2" applyNumberFormat="1" applyFont="1" applyBorder="1" applyAlignment="1">
      <alignment horizontal="center" vertical="center"/>
    </xf>
    <xf numFmtId="165" fontId="7" fillId="2" borderId="8" xfId="2" applyNumberFormat="1" applyFont="1" applyFill="1" applyBorder="1" applyAlignment="1">
      <alignment horizontal="center" vertical="center"/>
    </xf>
    <xf numFmtId="165" fontId="7" fillId="2" borderId="0" xfId="2" applyNumberFormat="1" applyFont="1" applyFill="1" applyAlignment="1">
      <alignment horizontal="center" vertical="center"/>
    </xf>
    <xf numFmtId="0" fontId="7" fillId="2" borderId="1" xfId="2" applyFont="1" applyFill="1" applyBorder="1" applyAlignment="1">
      <alignment horizontal="left" indent="1"/>
    </xf>
    <xf numFmtId="165" fontId="7" fillId="2" borderId="1" xfId="1" applyNumberFormat="1" applyFont="1" applyFill="1" applyBorder="1" applyAlignment="1">
      <alignment horizontal="center" vertical="center"/>
    </xf>
    <xf numFmtId="165" fontId="7" fillId="2" borderId="1" xfId="2" applyNumberFormat="1" applyFont="1" applyFill="1" applyBorder="1" applyAlignment="1">
      <alignment horizontal="center" vertical="center"/>
    </xf>
    <xf numFmtId="165" fontId="7" fillId="2" borderId="11" xfId="2" applyNumberFormat="1" applyFont="1" applyFill="1" applyBorder="1" applyAlignment="1">
      <alignment horizontal="center" vertical="center"/>
    </xf>
    <xf numFmtId="0" fontId="11" fillId="0" borderId="25" xfId="2" applyFont="1" applyBorder="1" applyAlignment="1">
      <alignment horizontal="right"/>
    </xf>
    <xf numFmtId="42" fontId="7" fillId="0" borderId="19" xfId="2" quotePrefix="1" applyNumberFormat="1" applyFont="1" applyBorder="1"/>
    <xf numFmtId="165" fontId="7" fillId="0" borderId="25" xfId="1" applyNumberFormat="1" applyFont="1" applyFill="1" applyBorder="1" applyAlignment="1">
      <alignment horizontal="center" vertical="center"/>
    </xf>
    <xf numFmtId="0" fontId="12" fillId="0" borderId="0" xfId="0" applyFont="1"/>
    <xf numFmtId="0" fontId="11" fillId="0" borderId="26" xfId="2" applyFont="1" applyBorder="1" applyAlignment="1">
      <alignment horizontal="left"/>
    </xf>
    <xf numFmtId="42" fontId="7" fillId="0" borderId="26" xfId="2" applyNumberFormat="1" applyFont="1" applyBorder="1"/>
    <xf numFmtId="165" fontId="7" fillId="0" borderId="26" xfId="1" applyNumberFormat="1" applyFont="1" applyFill="1" applyBorder="1" applyAlignment="1">
      <alignment horizontal="center" vertical="center"/>
    </xf>
    <xf numFmtId="165" fontId="7" fillId="0" borderId="26" xfId="2" applyNumberFormat="1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right"/>
    </xf>
    <xf numFmtId="42" fontId="7" fillId="0" borderId="2" xfId="2" quotePrefix="1" applyNumberFormat="1" applyFont="1" applyBorder="1"/>
    <xf numFmtId="165" fontId="7" fillId="0" borderId="0" xfId="3" applyNumberFormat="1" applyFont="1" applyFill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165" fontId="14" fillId="3" borderId="13" xfId="2" applyNumberFormat="1" applyFont="1" applyFill="1" applyBorder="1" applyAlignment="1">
      <alignment horizontal="center" vertical="center"/>
    </xf>
    <xf numFmtId="0" fontId="0" fillId="0" borderId="16" xfId="0" applyBorder="1"/>
    <xf numFmtId="165" fontId="10" fillId="0" borderId="16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6" xfId="2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42" fontId="9" fillId="0" borderId="4" xfId="2" applyNumberFormat="1" applyFont="1" applyBorder="1" applyAlignment="1">
      <alignment horizontal="center" vertical="center"/>
    </xf>
    <xf numFmtId="42" fontId="9" fillId="0" borderId="0" xfId="2" applyNumberFormat="1" applyFont="1" applyAlignment="1">
      <alignment horizontal="center" vertical="center"/>
    </xf>
    <xf numFmtId="42" fontId="9" fillId="0" borderId="3" xfId="2" applyNumberFormat="1" applyFont="1" applyBorder="1" applyAlignment="1">
      <alignment horizontal="center" vertical="center"/>
    </xf>
    <xf numFmtId="42" fontId="9" fillId="0" borderId="4" xfId="2" applyNumberFormat="1" applyFont="1" applyBorder="1" applyAlignment="1">
      <alignment horizontal="center"/>
    </xf>
    <xf numFmtId="42" fontId="9" fillId="0" borderId="0" xfId="2" applyNumberFormat="1" applyFont="1" applyAlignment="1">
      <alignment horizontal="center"/>
    </xf>
    <xf numFmtId="0" fontId="8" fillId="0" borderId="18" xfId="2" applyFont="1" applyBorder="1" applyAlignment="1">
      <alignment horizontal="right"/>
    </xf>
    <xf numFmtId="42" fontId="7" fillId="0" borderId="4" xfId="2" applyNumberFormat="1" applyFont="1" applyBorder="1" applyAlignment="1">
      <alignment horizontal="center"/>
    </xf>
    <xf numFmtId="42" fontId="7" fillId="0" borderId="0" xfId="2" applyNumberFormat="1" applyFont="1" applyAlignment="1">
      <alignment horizontal="center"/>
    </xf>
    <xf numFmtId="42" fontId="7" fillId="0" borderId="27" xfId="2" applyNumberFormat="1" applyFont="1" applyBorder="1"/>
    <xf numFmtId="42" fontId="7" fillId="0" borderId="28" xfId="2" applyNumberFormat="1" applyFont="1" applyBorder="1"/>
    <xf numFmtId="0" fontId="7" fillId="0" borderId="8" xfId="2" applyFont="1" applyBorder="1" applyAlignment="1">
      <alignment horizontal="left" indent="1"/>
    </xf>
    <xf numFmtId="42" fontId="7" fillId="4" borderId="4" xfId="2" applyNumberFormat="1" applyFont="1" applyFill="1" applyBorder="1"/>
    <xf numFmtId="42" fontId="7" fillId="2" borderId="0" xfId="2" applyNumberFormat="1" applyFont="1" applyFill="1"/>
    <xf numFmtId="42" fontId="7" fillId="5" borderId="4" xfId="2" applyNumberFormat="1" applyFont="1" applyFill="1" applyBorder="1"/>
    <xf numFmtId="42" fontId="7" fillId="2" borderId="4" xfId="2" applyNumberFormat="1" applyFont="1" applyFill="1" applyBorder="1"/>
    <xf numFmtId="0" fontId="7" fillId="0" borderId="0" xfId="2" applyFont="1" applyAlignment="1">
      <alignment horizontal="left" indent="1"/>
    </xf>
    <xf numFmtId="42" fontId="7" fillId="2" borderId="0" xfId="2" applyNumberFormat="1" applyFont="1" applyFill="1" applyAlignment="1">
      <alignment horizontal="right"/>
    </xf>
    <xf numFmtId="42" fontId="7" fillId="2" borderId="4" xfId="2" applyNumberFormat="1" applyFont="1" applyFill="1" applyBorder="1" applyAlignment="1">
      <alignment horizontal="right"/>
    </xf>
    <xf numFmtId="0" fontId="7" fillId="0" borderId="11" xfId="2" applyFont="1" applyBorder="1" applyAlignment="1">
      <alignment horizontal="left" indent="1"/>
    </xf>
    <xf numFmtId="42" fontId="7" fillId="4" borderId="12" xfId="2" applyNumberFormat="1" applyFont="1" applyFill="1" applyBorder="1"/>
    <xf numFmtId="42" fontId="7" fillId="5" borderId="12" xfId="2" applyNumberFormat="1" applyFont="1" applyFill="1" applyBorder="1"/>
    <xf numFmtId="0" fontId="13" fillId="0" borderId="13" xfId="2" applyFont="1" applyBorder="1" applyAlignment="1">
      <alignment horizontal="right"/>
    </xf>
    <xf numFmtId="42" fontId="14" fillId="3" borderId="15" xfId="2" applyNumberFormat="1" applyFont="1" applyFill="1" applyBorder="1"/>
    <xf numFmtId="42" fontId="14" fillId="3" borderId="13" xfId="2" applyNumberFormat="1" applyFont="1" applyFill="1" applyBorder="1"/>
    <xf numFmtId="0" fontId="7" fillId="0" borderId="0" xfId="2" applyFont="1" applyAlignment="1">
      <alignment horizontal="center"/>
    </xf>
    <xf numFmtId="42" fontId="7" fillId="4" borderId="10" xfId="2" applyNumberFormat="1" applyFont="1" applyFill="1" applyBorder="1"/>
    <xf numFmtId="42" fontId="7" fillId="2" borderId="10" xfId="2" applyNumberFormat="1" applyFont="1" applyFill="1" applyBorder="1"/>
    <xf numFmtId="0" fontId="7" fillId="0" borderId="1" xfId="2" applyFont="1" applyBorder="1" applyAlignment="1">
      <alignment horizontal="left" indent="1"/>
    </xf>
    <xf numFmtId="42" fontId="7" fillId="4" borderId="6" xfId="2" applyNumberFormat="1" applyFont="1" applyFill="1" applyBorder="1"/>
    <xf numFmtId="42" fontId="7" fillId="2" borderId="1" xfId="2" applyNumberFormat="1" applyFont="1" applyFill="1" applyBorder="1"/>
    <xf numFmtId="42" fontId="7" fillId="5" borderId="6" xfId="2" applyNumberFormat="1" applyFont="1" applyFill="1" applyBorder="1"/>
    <xf numFmtId="42" fontId="7" fillId="2" borderId="11" xfId="2" applyNumberFormat="1" applyFont="1" applyFill="1" applyBorder="1"/>
    <xf numFmtId="42" fontId="7" fillId="2" borderId="12" xfId="2" applyNumberFormat="1" applyFont="1" applyFill="1" applyBorder="1"/>
    <xf numFmtId="42" fontId="7" fillId="0" borderId="0" xfId="2" quotePrefix="1" applyNumberFormat="1" applyFont="1"/>
    <xf numFmtId="42" fontId="7" fillId="0" borderId="21" xfId="2" quotePrefix="1" applyNumberFormat="1" applyFont="1" applyBorder="1"/>
    <xf numFmtId="42" fontId="7" fillId="0" borderId="12" xfId="2" applyNumberFormat="1" applyFont="1" applyBorder="1"/>
    <xf numFmtId="42" fontId="7" fillId="0" borderId="4" xfId="2" quotePrefix="1" applyNumberFormat="1" applyFont="1" applyBorder="1"/>
    <xf numFmtId="42" fontId="7" fillId="0" borderId="4" xfId="2" applyNumberFormat="1" applyFont="1" applyBorder="1"/>
    <xf numFmtId="0" fontId="0" fillId="0" borderId="0" xfId="0" applyAlignment="1">
      <alignment horizontal="center"/>
    </xf>
    <xf numFmtId="0" fontId="0" fillId="6" borderId="0" xfId="0" applyFill="1"/>
    <xf numFmtId="0" fontId="3" fillId="6" borderId="0" xfId="0" applyFont="1" applyFill="1" applyAlignment="1">
      <alignment horizontal="right"/>
    </xf>
    <xf numFmtId="0" fontId="0" fillId="8" borderId="0" xfId="0" applyFill="1"/>
    <xf numFmtId="0" fontId="3" fillId="8" borderId="0" xfId="0" applyFont="1" applyFill="1" applyAlignment="1">
      <alignment horizontal="right"/>
    </xf>
    <xf numFmtId="0" fontId="0" fillId="10" borderId="0" xfId="0" applyFill="1"/>
    <xf numFmtId="0" fontId="3" fillId="10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 indent="2"/>
    </xf>
    <xf numFmtId="0" fontId="3" fillId="0" borderId="0" xfId="0" applyFont="1" applyAlignment="1">
      <alignment horizontal="left"/>
    </xf>
    <xf numFmtId="0" fontId="19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3" fillId="0" borderId="29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5" applyNumberFormat="1" applyFont="1" applyFill="1" applyBorder="1" applyAlignment="1">
      <alignment horizontal="right"/>
    </xf>
    <xf numFmtId="42" fontId="11" fillId="0" borderId="30" xfId="6" applyNumberFormat="1" applyFont="1" applyBorder="1" applyAlignment="1">
      <alignment horizontal="center"/>
    </xf>
    <xf numFmtId="42" fontId="3" fillId="0" borderId="31" xfId="6" applyNumberFormat="1" applyFont="1" applyBorder="1" applyAlignment="1">
      <alignment horizontal="center"/>
    </xf>
    <xf numFmtId="42" fontId="11" fillId="0" borderId="8" xfId="6" applyNumberFormat="1" applyFont="1" applyBorder="1" applyAlignment="1">
      <alignment horizontal="center"/>
    </xf>
    <xf numFmtId="42" fontId="3" fillId="0" borderId="8" xfId="6" applyNumberFormat="1" applyFont="1" applyBorder="1" applyAlignment="1">
      <alignment horizontal="center"/>
    </xf>
    <xf numFmtId="165" fontId="3" fillId="0" borderId="31" xfId="1" applyNumberFormat="1" applyFont="1" applyBorder="1" applyAlignment="1">
      <alignment horizontal="center"/>
    </xf>
    <xf numFmtId="42" fontId="3" fillId="0" borderId="31" xfId="0" applyNumberFormat="1" applyFont="1" applyBorder="1" applyAlignment="1">
      <alignment horizontal="center"/>
    </xf>
    <xf numFmtId="0" fontId="11" fillId="0" borderId="0" xfId="5" applyNumberFormat="1" applyFont="1" applyFill="1" applyBorder="1" applyAlignment="1">
      <alignment horizontal="left"/>
    </xf>
    <xf numFmtId="42" fontId="11" fillId="0" borderId="32" xfId="6" applyNumberFormat="1" applyFont="1" applyBorder="1" applyAlignment="1">
      <alignment horizontal="center"/>
    </xf>
    <xf numFmtId="42" fontId="11" fillId="0" borderId="33" xfId="6" applyNumberFormat="1" applyFont="1" applyBorder="1" applyAlignment="1">
      <alignment horizontal="center"/>
    </xf>
    <xf numFmtId="42" fontId="11" fillId="0" borderId="0" xfId="6" applyNumberFormat="1" applyFont="1" applyAlignment="1">
      <alignment horizontal="center"/>
    </xf>
    <xf numFmtId="165" fontId="11" fillId="0" borderId="33" xfId="1" applyNumberFormat="1" applyFont="1" applyBorder="1" applyAlignment="1">
      <alignment horizontal="center"/>
    </xf>
    <xf numFmtId="42" fontId="3" fillId="0" borderId="33" xfId="0" applyNumberFormat="1" applyFont="1" applyBorder="1" applyAlignment="1">
      <alignment horizontal="center" vertical="center"/>
    </xf>
    <xf numFmtId="42" fontId="21" fillId="0" borderId="8" xfId="0" applyNumberFormat="1" applyFont="1" applyBorder="1" applyAlignment="1">
      <alignment horizontal="left"/>
    </xf>
    <xf numFmtId="0" fontId="21" fillId="0" borderId="0" xfId="4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2" fillId="0" borderId="0" xfId="0" applyFont="1"/>
    <xf numFmtId="42" fontId="0" fillId="0" borderId="0" xfId="0" applyNumberFormat="1"/>
    <xf numFmtId="42" fontId="0" fillId="0" borderId="13" xfId="0" applyNumberFormat="1" applyBorder="1"/>
    <xf numFmtId="42" fontId="0" fillId="0" borderId="11" xfId="0" applyNumberFormat="1" applyBorder="1"/>
    <xf numFmtId="42" fontId="0" fillId="0" borderId="19" xfId="0" applyNumberFormat="1" applyBorder="1"/>
    <xf numFmtId="42" fontId="0" fillId="0" borderId="34" xfId="0" applyNumberFormat="1" applyBorder="1"/>
    <xf numFmtId="0" fontId="23" fillId="0" borderId="0" xfId="0" applyFont="1"/>
    <xf numFmtId="0" fontId="0" fillId="0" borderId="11" xfId="0" applyBorder="1"/>
    <xf numFmtId="42" fontId="21" fillId="0" borderId="0" xfId="0" applyNumberFormat="1" applyFont="1" applyBorder="1" applyAlignment="1">
      <alignment horizontal="left"/>
    </xf>
    <xf numFmtId="165" fontId="21" fillId="0" borderId="8" xfId="1" applyNumberFormat="1" applyFont="1" applyBorder="1" applyAlignment="1">
      <alignment horizontal="left"/>
    </xf>
    <xf numFmtId="165" fontId="21" fillId="0" borderId="0" xfId="1" applyNumberFormat="1" applyFont="1" applyBorder="1" applyAlignment="1">
      <alignment horizontal="left"/>
    </xf>
    <xf numFmtId="0" fontId="21" fillId="0" borderId="8" xfId="4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0" fillId="0" borderId="0" xfId="0" applyBorder="1"/>
    <xf numFmtId="9" fontId="0" fillId="0" borderId="35" xfId="1" applyFont="1" applyFill="1" applyBorder="1" applyAlignment="1">
      <alignment horizontal="center"/>
    </xf>
    <xf numFmtId="0" fontId="3" fillId="0" borderId="35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19" fillId="0" borderId="0" xfId="0" applyFont="1" applyAlignment="1">
      <alignment horizontal="left" indent="1"/>
    </xf>
    <xf numFmtId="0" fontId="3" fillId="0" borderId="0" xfId="0" applyFont="1" applyFill="1" applyBorder="1" applyAlignment="1">
      <alignment horizontal="center"/>
    </xf>
    <xf numFmtId="9" fontId="0" fillId="0" borderId="0" xfId="1" applyFont="1" applyFill="1" applyBorder="1" applyAlignment="1">
      <alignment horizontal="center"/>
    </xf>
    <xf numFmtId="0" fontId="0" fillId="0" borderId="0" xfId="0"/>
    <xf numFmtId="165" fontId="21" fillId="0" borderId="0" xfId="0" applyNumberFormat="1" applyFont="1" applyBorder="1" applyAlignment="1">
      <alignment horizontal="left"/>
    </xf>
    <xf numFmtId="42" fontId="7" fillId="12" borderId="4" xfId="2" applyNumberFormat="1" applyFont="1" applyFill="1" applyBorder="1"/>
    <xf numFmtId="42" fontId="7" fillId="12" borderId="4" xfId="2" applyNumberFormat="1" applyFont="1" applyFill="1" applyBorder="1" applyAlignment="1">
      <alignment horizontal="right"/>
    </xf>
    <xf numFmtId="42" fontId="7" fillId="12" borderId="10" xfId="2" applyNumberFormat="1" applyFont="1" applyFill="1" applyBorder="1"/>
    <xf numFmtId="42" fontId="7" fillId="12" borderId="6" xfId="2" applyNumberFormat="1" applyFont="1" applyFill="1" applyBorder="1"/>
    <xf numFmtId="42" fontId="7" fillId="12" borderId="12" xfId="2" applyNumberFormat="1" applyFont="1" applyFill="1" applyBorder="1"/>
    <xf numFmtId="42" fontId="7" fillId="13" borderId="4" xfId="2" applyNumberFormat="1" applyFont="1" applyFill="1" applyBorder="1"/>
    <xf numFmtId="42" fontId="7" fillId="13" borderId="4" xfId="2" applyNumberFormat="1" applyFont="1" applyFill="1" applyBorder="1" applyAlignment="1">
      <alignment horizontal="right"/>
    </xf>
    <xf numFmtId="42" fontId="7" fillId="13" borderId="10" xfId="2" applyNumberFormat="1" applyFont="1" applyFill="1" applyBorder="1"/>
    <xf numFmtId="42" fontId="7" fillId="13" borderId="6" xfId="2" applyNumberFormat="1" applyFont="1" applyFill="1" applyBorder="1"/>
    <xf numFmtId="42" fontId="7" fillId="13" borderId="12" xfId="2" applyNumberFormat="1" applyFont="1" applyFill="1" applyBorder="1"/>
    <xf numFmtId="42" fontId="7" fillId="12" borderId="0" xfId="2" applyNumberFormat="1" applyFont="1" applyFill="1"/>
    <xf numFmtId="42" fontId="7" fillId="12" borderId="0" xfId="2" applyNumberFormat="1" applyFont="1" applyFill="1" applyAlignment="1">
      <alignment horizontal="right"/>
    </xf>
    <xf numFmtId="42" fontId="7" fillId="12" borderId="1" xfId="2" applyNumberFormat="1" applyFont="1" applyFill="1" applyBorder="1"/>
    <xf numFmtId="42" fontId="7" fillId="12" borderId="11" xfId="2" applyNumberFormat="1" applyFont="1" applyFill="1" applyBorder="1"/>
    <xf numFmtId="42" fontId="7" fillId="13" borderId="0" xfId="2" applyNumberFormat="1" applyFont="1" applyFill="1"/>
    <xf numFmtId="42" fontId="7" fillId="13" borderId="0" xfId="2" applyNumberFormat="1" applyFont="1" applyFill="1" applyAlignment="1">
      <alignment horizontal="right"/>
    </xf>
    <xf numFmtId="42" fontId="7" fillId="13" borderId="1" xfId="2" applyNumberFormat="1" applyFont="1" applyFill="1" applyBorder="1"/>
    <xf numFmtId="42" fontId="7" fillId="13" borderId="11" xfId="2" applyNumberFormat="1" applyFont="1" applyFill="1" applyBorder="1"/>
    <xf numFmtId="167" fontId="0" fillId="0" borderId="0" xfId="0" applyNumberFormat="1"/>
    <xf numFmtId="0" fontId="0" fillId="0" borderId="0" xfId="0"/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6" fillId="0" borderId="0" xfId="2" applyFont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3" xfId="2" applyFont="1" applyBorder="1" applyAlignment="1">
      <alignment horizontal="center" textRotation="90"/>
    </xf>
    <xf numFmtId="0" fontId="7" fillId="0" borderId="4" xfId="2" applyFont="1" applyBorder="1" applyAlignment="1">
      <alignment horizontal="center" textRotation="90"/>
    </xf>
    <xf numFmtId="0" fontId="7" fillId="0" borderId="6" xfId="2" applyFont="1" applyBorder="1" applyAlignment="1">
      <alignment horizontal="center" textRotation="90"/>
    </xf>
    <xf numFmtId="42" fontId="3" fillId="0" borderId="0" xfId="0" applyNumberFormat="1" applyFont="1" applyAlignment="1">
      <alignment horizontal="center"/>
    </xf>
    <xf numFmtId="42" fontId="1" fillId="0" borderId="0" xfId="0" applyNumberFormat="1" applyFont="1" applyAlignment="1">
      <alignment horizontal="center"/>
    </xf>
    <xf numFmtId="47" fontId="0" fillId="0" borderId="0" xfId="0" applyNumberFormat="1"/>
  </cellXfs>
  <cellStyles count="7">
    <cellStyle name="Comma 2" xfId="5" xr:uid="{0263C870-0C48-4492-99FA-4F562F325CCA}"/>
    <cellStyle name="Hyperlink" xfId="4" builtinId="8"/>
    <cellStyle name="Normal" xfId="0" builtinId="0"/>
    <cellStyle name="Normal 2" xfId="2" xr:uid="{6DD55FB8-F0C0-4841-93AF-E979BD3517E7}"/>
    <cellStyle name="Normal 3" xfId="6" xr:uid="{B2B946BE-0032-42F3-B194-F2032A326D24}"/>
    <cellStyle name="Percent" xfId="1" builtinId="5"/>
    <cellStyle name="Percent 2" xfId="3" xr:uid="{4928C4C9-2F1B-4C7F-B8C7-12C6246FFC5D}"/>
  </cellStyles>
  <dxfs count="296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114300</xdr:rowOff>
        </xdr:from>
        <xdr:to>
          <xdr:col>2</xdr:col>
          <xdr:colOff>518160</xdr:colOff>
          <xdr:row>4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Quarterly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7</xdr:row>
          <xdr:rowOff>114300</xdr:rowOff>
        </xdr:from>
        <xdr:to>
          <xdr:col>2</xdr:col>
          <xdr:colOff>518160</xdr:colOff>
          <xdr:row>9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Seasonal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12</xdr:row>
          <xdr:rowOff>114300</xdr:rowOff>
        </xdr:from>
        <xdr:to>
          <xdr:col>2</xdr:col>
          <xdr:colOff>518160</xdr:colOff>
          <xdr:row>14</xdr:row>
          <xdr:rowOff>76200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510540</xdr:colOff>
          <xdr:row>1</xdr:row>
          <xdr:rowOff>99060</xdr:rowOff>
        </xdr:from>
        <xdr:to>
          <xdr:col>9</xdr:col>
          <xdr:colOff>45720</xdr:colOff>
          <xdr:row>4</xdr:row>
          <xdr:rowOff>45720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Python Modules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ega/Google%20Drive/CUSG/Quarterly%20Report%20Generator/Quarterly%20Report%20Generator%20v.6.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reate Report"/>
      <sheetName val="Account Codes"/>
      <sheetName val="Consolidation Lists"/>
      <sheetName val="Draft"/>
      <sheetName val="Fund Balance"/>
      <sheetName val="Rev.Exp All Pgms"/>
      <sheetName val="Roll Up"/>
      <sheetName val="Administration"/>
      <sheetName val="Bear Creek Rec"/>
      <sheetName val="Building Services"/>
      <sheetName val="Capital"/>
      <sheetName val="Check-Out "/>
      <sheetName val="Equipment Services"/>
      <sheetName val="Events-Facilities Svcs"/>
      <sheetName val="FitWell Programs"/>
      <sheetName val="Inclusive Sports Summit"/>
      <sheetName val="Intramural"/>
      <sheetName val="IT"/>
      <sheetName val="Lockers"/>
      <sheetName val="Maintenance"/>
      <sheetName val="Marketing"/>
      <sheetName val="Membership"/>
      <sheetName val="Outdoor Programs"/>
      <sheetName val="Pools"/>
      <sheetName val="Pro Shop-Vending"/>
      <sheetName val="Rec Fields"/>
      <sheetName val="Rink"/>
      <sheetName val="SF Rev (2011 Expansion)"/>
      <sheetName val="SF Rev (Pre-2011 Expansion)"/>
      <sheetName val="Special Events"/>
      <sheetName val="Student Fee Sport Clubs"/>
      <sheetName val="Training Room"/>
    </sheetNames>
    <sheetDataSet>
      <sheetData sheetId="0" refreshError="1"/>
      <sheetData sheetId="1">
        <row r="3">
          <cell r="F3" t="str">
            <v>SLS</v>
          </cell>
        </row>
        <row r="4">
          <cell r="F4">
            <v>4</v>
          </cell>
        </row>
        <row r="5">
          <cell r="F5">
            <v>20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17900-13A6-4003-9ACF-6E9117329A10}" name="Table2" displayName="Table2" ref="B1:F351" totalsRowShown="0" headerRowDxfId="295">
  <autoFilter ref="B1:F351" xr:uid="{D1EB6663-4705-4869-A367-19C97BD9DB6B}"/>
  <sortState xmlns:xlrd2="http://schemas.microsoft.com/office/spreadsheetml/2017/richdata2" ref="B2:F349">
    <sortCondition ref="B2:B349"/>
    <sortCondition ref="C2:C349"/>
    <sortCondition ref="E2:E349"/>
  </sortState>
  <tableColumns count="5">
    <tableColumn id="1" xr3:uid="{8A008EAD-BAC9-4453-8613-9867DB560284}" name="Row" dataDxfId="294"/>
    <tableColumn id="2" xr3:uid="{727DC2D2-95D9-4077-A475-E2FA9344A2EB}" name="Line Item Account" dataDxfId="293"/>
    <tableColumn id="3" xr3:uid="{673AD01B-576A-4F3A-8E1E-049D3E66E59A}" name="Account Code"/>
    <tableColumn id="4" xr3:uid="{F6AC6D58-FB76-474C-AFF7-A266410DDF4E}" name="Lower" dataDxfId="292"/>
    <tableColumn id="5" xr3:uid="{3DC7AD54-1E32-48C2-9FD0-E391248FCDD3}" name="Upper" dataDxfId="29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C0613A-6C0A-4853-82DD-6845859B17F8}" name="CLtable" displayName="CLtable" ref="B1:E977" totalsRowShown="0" headerRowDxfId="290">
  <autoFilter ref="B1:E977" xr:uid="{1B85E987-E511-417B-B24E-5BE2D9E0D4B0}">
    <filterColumn colId="0">
      <filters>
        <filter val="CUSG"/>
      </filters>
    </filterColumn>
  </autoFilter>
  <sortState xmlns:xlrd2="http://schemas.microsoft.com/office/spreadsheetml/2017/richdata2" ref="B792:E955">
    <sortCondition ref="B2:B137"/>
    <sortCondition ref="D2:D137"/>
    <sortCondition ref="C2:C137"/>
  </sortState>
  <tableColumns count="4">
    <tableColumn id="1" xr3:uid="{268583B7-D929-48B7-9443-DCC66A9E1A73}" name="Cost Center"/>
    <tableColumn id="2" xr3:uid="{4EEEFDA5-DAC2-4407-8281-3C92D84F028E}" name="Speedtype"/>
    <tableColumn id="3" xr3:uid="{0016023E-3566-4136-A11F-8E221E8332A1}" name="Consolidate Into" dataDxfId="289"/>
    <tableColumn id="4" xr3:uid="{5AB36047-3801-4D65-A80C-5DF1D1975220}" name="Fund Balance" dataDxfId="288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F9F2B-4260-4438-A0EC-39CE21F09F8E}">
  <sheetPr codeName="Sheet2">
    <tabColor theme="9" tint="0.39997558519241921"/>
  </sheetPr>
  <dimension ref="A2:U27"/>
  <sheetViews>
    <sheetView showGridLines="0" tabSelected="1" workbookViewId="0">
      <selection activeCell="D19" sqref="D19"/>
    </sheetView>
  </sheetViews>
  <sheetFormatPr defaultRowHeight="14.4"/>
  <cols>
    <col min="1" max="1" width="14" customWidth="1"/>
    <col min="2" max="3" width="12.77734375" customWidth="1"/>
    <col min="4" max="4" width="12.77734375" style="108" customWidth="1"/>
    <col min="5" max="5" width="12.77734375" style="154" customWidth="1"/>
    <col min="13" max="13" width="1.44140625" customWidth="1"/>
    <col min="14" max="14" width="43.21875" bestFit="1" customWidth="1"/>
    <col min="15" max="15" width="1.77734375" customWidth="1"/>
    <col min="16" max="16" width="29.109375" bestFit="1" customWidth="1"/>
    <col min="17" max="18" width="77.77734375" customWidth="1"/>
    <col min="19" max="19" width="23" style="211" bestFit="1" customWidth="1"/>
    <col min="20" max="20" width="8.88671875" style="212"/>
    <col min="21" max="21" width="19.77734375" style="211" bestFit="1" customWidth="1"/>
  </cols>
  <sheetData>
    <row r="2" spans="1:21">
      <c r="A2" s="240"/>
      <c r="B2" s="240"/>
      <c r="C2" s="240"/>
      <c r="D2" s="240"/>
      <c r="E2" s="240"/>
      <c r="N2" s="175" t="s">
        <v>1505</v>
      </c>
      <c r="O2" s="175"/>
      <c r="P2" s="175" t="s">
        <v>1527</v>
      </c>
      <c r="S2" s="175" t="s">
        <v>1577</v>
      </c>
      <c r="T2" s="210"/>
      <c r="U2" s="175" t="s">
        <v>1578</v>
      </c>
    </row>
    <row r="3" spans="1:21">
      <c r="A3" s="155"/>
      <c r="B3" s="155"/>
      <c r="C3" s="155"/>
      <c r="D3" s="156" t="s">
        <v>181</v>
      </c>
      <c r="E3" s="161" t="s">
        <v>1296</v>
      </c>
      <c r="S3" s="211" t="s">
        <v>710</v>
      </c>
      <c r="T3" s="212" t="s">
        <v>3</v>
      </c>
      <c r="U3" s="211" t="s">
        <v>3</v>
      </c>
    </row>
    <row r="4" spans="1:21">
      <c r="A4" s="155"/>
      <c r="B4" s="155"/>
      <c r="C4" s="155"/>
      <c r="D4" s="156" t="s">
        <v>72</v>
      </c>
      <c r="E4" s="161">
        <v>4</v>
      </c>
      <c r="S4" s="211" t="s">
        <v>711</v>
      </c>
      <c r="T4" s="212" t="s">
        <v>712</v>
      </c>
      <c r="U4" s="211" t="s">
        <v>712</v>
      </c>
    </row>
    <row r="5" spans="1:21">
      <c r="A5" s="155"/>
      <c r="B5" s="155"/>
      <c r="C5" s="155"/>
      <c r="D5" s="156" t="s">
        <v>1504</v>
      </c>
      <c r="E5" s="161">
        <v>20</v>
      </c>
      <c r="S5" s="211" t="s">
        <v>714</v>
      </c>
      <c r="T5" s="212" t="s">
        <v>712</v>
      </c>
    </row>
    <row r="6" spans="1:21">
      <c r="S6" s="211" t="s">
        <v>716</v>
      </c>
      <c r="T6" s="212" t="s">
        <v>3</v>
      </c>
    </row>
    <row r="7" spans="1:21">
      <c r="A7" s="240"/>
      <c r="B7" s="240"/>
      <c r="C7" s="240"/>
      <c r="D7" s="240"/>
      <c r="E7" s="240"/>
      <c r="S7" s="211" t="s">
        <v>718</v>
      </c>
      <c r="T7" s="212" t="s">
        <v>3</v>
      </c>
    </row>
    <row r="8" spans="1:21">
      <c r="A8" s="157"/>
      <c r="B8" s="157"/>
      <c r="C8" s="157"/>
      <c r="D8" s="158" t="s">
        <v>181</v>
      </c>
      <c r="E8" s="162" t="s">
        <v>708</v>
      </c>
      <c r="G8" s="174" t="s">
        <v>1506</v>
      </c>
      <c r="H8" s="209">
        <v>19</v>
      </c>
      <c r="I8" s="209">
        <v>18</v>
      </c>
      <c r="J8" s="209">
        <v>17</v>
      </c>
      <c r="K8" s="213"/>
      <c r="L8" s="213"/>
      <c r="M8" s="207"/>
      <c r="S8" s="211" t="s">
        <v>720</v>
      </c>
      <c r="T8" s="212" t="s">
        <v>3</v>
      </c>
    </row>
    <row r="9" spans="1:21">
      <c r="A9" s="157"/>
      <c r="B9" s="157"/>
      <c r="C9" s="157"/>
      <c r="D9" s="158" t="s">
        <v>182</v>
      </c>
      <c r="E9" s="162">
        <v>3</v>
      </c>
      <c r="G9" s="174" t="s">
        <v>1507</v>
      </c>
      <c r="H9" s="208">
        <v>0.33333000000000002</v>
      </c>
      <c r="I9" s="208">
        <v>0.33333000000000002</v>
      </c>
      <c r="J9" s="208">
        <v>0.33333000000000002</v>
      </c>
      <c r="K9" s="214"/>
      <c r="L9" s="214"/>
      <c r="M9" s="207"/>
      <c r="S9" s="211" t="s">
        <v>722</v>
      </c>
      <c r="T9" s="212" t="s">
        <v>3</v>
      </c>
    </row>
    <row r="10" spans="1:21">
      <c r="A10" s="157"/>
      <c r="B10" s="157"/>
      <c r="C10" s="157"/>
      <c r="D10" s="158" t="s">
        <v>183</v>
      </c>
      <c r="E10" s="162">
        <v>17</v>
      </c>
      <c r="S10" s="211" t="s">
        <v>724</v>
      </c>
      <c r="T10" s="212" t="s">
        <v>3</v>
      </c>
    </row>
    <row r="11" spans="1:21">
      <c r="S11" s="211" t="s">
        <v>726</v>
      </c>
      <c r="T11" s="212" t="s">
        <v>3</v>
      </c>
    </row>
    <row r="12" spans="1:21">
      <c r="A12" s="240"/>
      <c r="B12" s="240"/>
      <c r="C12" s="240"/>
      <c r="D12" s="240"/>
      <c r="E12" s="240"/>
      <c r="S12" s="211" t="s">
        <v>728</v>
      </c>
      <c r="T12" s="212" t="s">
        <v>3</v>
      </c>
    </row>
    <row r="13" spans="1:21">
      <c r="A13" s="159"/>
      <c r="B13" s="159"/>
      <c r="C13" s="159"/>
      <c r="D13" s="160" t="s">
        <v>184</v>
      </c>
      <c r="E13" s="163" t="b">
        <v>0</v>
      </c>
      <c r="S13" s="211" t="s">
        <v>730</v>
      </c>
      <c r="T13" s="212" t="s">
        <v>3</v>
      </c>
    </row>
    <row r="14" spans="1:21">
      <c r="A14" s="159"/>
      <c r="B14" s="159"/>
      <c r="C14" s="159"/>
      <c r="D14" s="160" t="s">
        <v>1700</v>
      </c>
      <c r="E14" s="163" t="s">
        <v>1701</v>
      </c>
      <c r="S14" s="211" t="s">
        <v>732</v>
      </c>
      <c r="T14" s="212" t="s">
        <v>712</v>
      </c>
    </row>
    <row r="15" spans="1:21">
      <c r="A15" s="159"/>
      <c r="B15" s="159"/>
      <c r="C15" s="159"/>
      <c r="D15" s="160"/>
      <c r="E15" s="163"/>
      <c r="S15" s="211" t="s">
        <v>734</v>
      </c>
      <c r="T15" s="212" t="s">
        <v>712</v>
      </c>
    </row>
    <row r="16" spans="1:21">
      <c r="S16" s="211" t="s">
        <v>736</v>
      </c>
      <c r="T16" s="212" t="s">
        <v>3</v>
      </c>
    </row>
    <row r="17" spans="1:20">
      <c r="A17" t="s">
        <v>185</v>
      </c>
      <c r="B17" t="s">
        <v>1590</v>
      </c>
      <c r="S17" s="211" t="s">
        <v>738</v>
      </c>
      <c r="T17" s="212" t="s">
        <v>3</v>
      </c>
    </row>
    <row r="18" spans="1:20">
      <c r="A18" t="s">
        <v>1579</v>
      </c>
      <c r="B18" t="s">
        <v>1584</v>
      </c>
      <c r="S18" s="211" t="s">
        <v>740</v>
      </c>
      <c r="T18" s="212" t="s">
        <v>3</v>
      </c>
    </row>
    <row r="19" spans="1:20">
      <c r="A19" t="s">
        <v>1589</v>
      </c>
      <c r="B19" s="235">
        <v>4.5138888526707888E-4</v>
      </c>
      <c r="S19" s="211" t="s">
        <v>742</v>
      </c>
      <c r="T19" s="212" t="s">
        <v>3</v>
      </c>
    </row>
    <row r="20" spans="1:20">
      <c r="S20" s="211" t="s">
        <v>744</v>
      </c>
      <c r="T20" s="212" t="s">
        <v>3</v>
      </c>
    </row>
    <row r="21" spans="1:20">
      <c r="S21" s="211" t="s">
        <v>746</v>
      </c>
      <c r="T21" s="212" t="s">
        <v>712</v>
      </c>
    </row>
    <row r="22" spans="1:20">
      <c r="A22" s="240" t="s">
        <v>1570</v>
      </c>
      <c r="B22" s="240"/>
      <c r="C22" s="240"/>
      <c r="D22" s="240"/>
      <c r="E22" s="240"/>
      <c r="S22" s="211" t="s">
        <v>748</v>
      </c>
      <c r="T22" s="212" t="s">
        <v>712</v>
      </c>
    </row>
    <row r="23" spans="1:20">
      <c r="A23" s="168" t="s">
        <v>1571</v>
      </c>
      <c r="B23" s="239" t="s">
        <v>1572</v>
      </c>
      <c r="C23" s="239"/>
      <c r="D23" s="239"/>
      <c r="E23" s="239"/>
      <c r="S23" s="211" t="s">
        <v>750</v>
      </c>
      <c r="T23" s="212" t="s">
        <v>3</v>
      </c>
    </row>
    <row r="24" spans="1:20">
      <c r="A24" s="168" t="s">
        <v>1573</v>
      </c>
      <c r="B24" s="239" t="s">
        <v>1574</v>
      </c>
      <c r="C24" s="239"/>
      <c r="D24" s="239"/>
      <c r="E24" s="239"/>
    </row>
    <row r="25" spans="1:20" ht="14.4" customHeight="1">
      <c r="A25" s="168" t="s">
        <v>1575</v>
      </c>
      <c r="B25" s="241" t="s">
        <v>1576</v>
      </c>
      <c r="C25" s="241"/>
      <c r="D25" s="241"/>
      <c r="E25" s="241"/>
    </row>
    <row r="26" spans="1:20">
      <c r="B26" s="241"/>
      <c r="C26" s="241"/>
      <c r="D26" s="241"/>
      <c r="E26" s="241"/>
    </row>
    <row r="27" spans="1:20">
      <c r="A27" s="168" t="s">
        <v>1580</v>
      </c>
      <c r="B27" s="239" t="s">
        <v>1581</v>
      </c>
      <c r="C27" s="239"/>
      <c r="D27" s="239"/>
      <c r="E27" s="239"/>
    </row>
  </sheetData>
  <mergeCells count="8">
    <mergeCell ref="B27:E27"/>
    <mergeCell ref="A22:E22"/>
    <mergeCell ref="A2:E2"/>
    <mergeCell ref="A7:E7"/>
    <mergeCell ref="A12:E12"/>
    <mergeCell ref="B25:E26"/>
    <mergeCell ref="B24:E24"/>
    <mergeCell ref="B23:E23"/>
  </mergeCells>
  <dataValidations count="6">
    <dataValidation type="list" showInputMessage="1" showErrorMessage="1" sqref="E13" xr:uid="{11B75CBB-95CE-4703-BC62-CE47B6B9D231}">
      <formula1>"True,False"</formula1>
    </dataValidation>
    <dataValidation type="list" showInputMessage="1" showErrorMessage="1" sqref="E14" xr:uid="{356C5DBF-A5CB-4335-90B2-DD0E8CC1AE17}">
      <formula1>"Standard,Compact"</formula1>
    </dataValidation>
    <dataValidation type="list" showInputMessage="1" showErrorMessage="1" sqref="E3 E8" xr:uid="{31B4EC9B-65E4-47D2-9133-470FD7186A6D}">
      <formula1>"CEB,CSI,CUSG,DSB,ECNTR,KVCU,OCHNR,REC,SOAC,SLS,UMC,VRC"</formula1>
    </dataValidation>
    <dataValidation type="list" showInputMessage="1" showErrorMessage="1" sqref="E4" xr:uid="{616F26AE-9C13-4214-9A4B-F8A550187E63}">
      <formula1>"1,2,3,4"</formula1>
    </dataValidation>
    <dataValidation type="whole" allowBlank="1" showInputMessage="1" showErrorMessage="1" sqref="E5 E10" xr:uid="{209C606A-032B-4DA6-B4D2-9BCBF1527487}">
      <formula1>10</formula1>
      <formula2>40</formula2>
    </dataValidation>
    <dataValidation type="list" showInputMessage="1" showErrorMessage="1" sqref="E9" xr:uid="{ACE40327-3774-483C-93EE-BD2125EF1F98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QR">
                <anchor moveWithCells="1" sizeWithCells="1">
                  <from>
                    <xdr:col>0</xdr:col>
                    <xdr:colOff>274320</xdr:colOff>
                    <xdr:row>2</xdr:row>
                    <xdr:rowOff>114300</xdr:rowOff>
                  </from>
                  <to>
                    <xdr:col>2</xdr:col>
                    <xdr:colOff>518160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B">
                <anchor moveWithCells="1" sizeWithCells="1">
                  <from>
                    <xdr:col>0</xdr:col>
                    <xdr:colOff>274320</xdr:colOff>
                    <xdr:row>7</xdr:row>
                    <xdr:rowOff>114300</xdr:rowOff>
                  </from>
                  <to>
                    <xdr:col>2</xdr:col>
                    <xdr:colOff>518160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export">
                <anchor moveWithCells="1" sizeWithCells="1">
                  <from>
                    <xdr:col>0</xdr:col>
                    <xdr:colOff>274320</xdr:colOff>
                    <xdr:row>12</xdr:row>
                    <xdr:rowOff>114300</xdr:rowOff>
                  </from>
                  <to>
                    <xdr:col>2</xdr:col>
                    <xdr:colOff>518160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SetupPython">
                <anchor moveWithCells="1" sizeWithCells="1">
                  <from>
                    <xdr:col>5</xdr:col>
                    <xdr:colOff>510540</xdr:colOff>
                    <xdr:row>1</xdr:row>
                    <xdr:rowOff>99060</xdr:rowOff>
                  </from>
                  <to>
                    <xdr:col>9</xdr:col>
                    <xdr:colOff>45720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20B9-4C84-495C-AF45-E8316F5D2D43}">
  <sheetPr codeName="Sheet1">
    <tabColor theme="2" tint="-9.9978637043366805E-2"/>
  </sheetPr>
  <dimension ref="A1:L1856"/>
  <sheetViews>
    <sheetView zoomScale="115" zoomScaleNormal="115" workbookViewId="0">
      <pane ySplit="1" topLeftCell="A2" activePane="bottomLeft" state="frozen"/>
      <selection pane="bottomLeft"/>
    </sheetView>
  </sheetViews>
  <sheetFormatPr defaultRowHeight="14.4"/>
  <cols>
    <col min="1" max="1" width="9.77734375" customWidth="1"/>
  </cols>
  <sheetData>
    <row r="1" spans="1:12">
      <c r="A1" s="249">
        <v>3.5659722222222225E-5</v>
      </c>
      <c r="B1" t="s">
        <v>0</v>
      </c>
      <c r="C1" t="s">
        <v>1592</v>
      </c>
      <c r="D1" t="s">
        <v>1506</v>
      </c>
      <c r="E1" t="s">
        <v>72</v>
      </c>
      <c r="F1" t="s">
        <v>1503</v>
      </c>
      <c r="G1" t="s">
        <v>1593</v>
      </c>
      <c r="H1" t="s">
        <v>1594</v>
      </c>
      <c r="I1" t="s">
        <v>1595</v>
      </c>
      <c r="J1" t="s">
        <v>1596</v>
      </c>
      <c r="K1" t="s">
        <v>1597</v>
      </c>
      <c r="L1" t="s">
        <v>1598</v>
      </c>
    </row>
    <row r="2" spans="1:12">
      <c r="A2">
        <v>0</v>
      </c>
      <c r="B2" t="s">
        <v>712</v>
      </c>
      <c r="C2" t="s">
        <v>711</v>
      </c>
      <c r="D2">
        <v>2017</v>
      </c>
      <c r="E2">
        <v>1</v>
      </c>
      <c r="F2">
        <v>8</v>
      </c>
      <c r="G2">
        <v>5</v>
      </c>
      <c r="H2">
        <v>9</v>
      </c>
      <c r="I2">
        <v>-26635</v>
      </c>
      <c r="J2">
        <v>-6980.880000000001</v>
      </c>
      <c r="K2" t="s">
        <v>1536</v>
      </c>
      <c r="L2" t="s">
        <v>1599</v>
      </c>
    </row>
    <row r="3" spans="1:12">
      <c r="A3">
        <v>1</v>
      </c>
      <c r="B3" t="s">
        <v>712</v>
      </c>
      <c r="C3" t="s">
        <v>711</v>
      </c>
      <c r="D3">
        <v>2017</v>
      </c>
      <c r="E3">
        <v>1</v>
      </c>
      <c r="F3">
        <v>17</v>
      </c>
      <c r="G3">
        <v>5</v>
      </c>
      <c r="H3">
        <v>9</v>
      </c>
      <c r="I3">
        <v>0</v>
      </c>
      <c r="J3">
        <v>-64</v>
      </c>
      <c r="K3" t="s">
        <v>1536</v>
      </c>
      <c r="L3" t="s">
        <v>1600</v>
      </c>
    </row>
    <row r="4" spans="1:12">
      <c r="A4">
        <v>2</v>
      </c>
      <c r="B4" t="s">
        <v>712</v>
      </c>
      <c r="C4" t="s">
        <v>711</v>
      </c>
      <c r="D4">
        <v>2017</v>
      </c>
      <c r="E4">
        <v>1</v>
      </c>
      <c r="F4">
        <v>20</v>
      </c>
      <c r="G4">
        <v>5</v>
      </c>
      <c r="H4">
        <v>9</v>
      </c>
      <c r="I4">
        <v>0</v>
      </c>
      <c r="J4">
        <v>-0.71</v>
      </c>
      <c r="K4" t="s">
        <v>1536</v>
      </c>
      <c r="L4" t="s">
        <v>1601</v>
      </c>
    </row>
    <row r="5" spans="1:12">
      <c r="A5">
        <v>3</v>
      </c>
      <c r="B5" t="s">
        <v>712</v>
      </c>
      <c r="C5" t="s">
        <v>711</v>
      </c>
      <c r="D5">
        <v>2017</v>
      </c>
      <c r="E5">
        <v>1</v>
      </c>
      <c r="F5">
        <v>23</v>
      </c>
      <c r="G5">
        <v>5</v>
      </c>
      <c r="H5">
        <v>9</v>
      </c>
      <c r="I5">
        <v>25000</v>
      </c>
      <c r="J5">
        <v>0</v>
      </c>
      <c r="K5" t="s">
        <v>1536</v>
      </c>
      <c r="L5" t="s">
        <v>1602</v>
      </c>
    </row>
    <row r="6" spans="1:12">
      <c r="A6">
        <v>4</v>
      </c>
      <c r="B6" t="s">
        <v>712</v>
      </c>
      <c r="C6" t="s">
        <v>711</v>
      </c>
      <c r="D6">
        <v>2017</v>
      </c>
      <c r="E6">
        <v>1</v>
      </c>
      <c r="F6">
        <v>40</v>
      </c>
      <c r="G6">
        <v>5</v>
      </c>
      <c r="H6">
        <v>9</v>
      </c>
      <c r="I6">
        <v>1510</v>
      </c>
      <c r="J6">
        <v>-1.9500000000000002</v>
      </c>
      <c r="K6" t="s">
        <v>1536</v>
      </c>
      <c r="L6" t="s">
        <v>1603</v>
      </c>
    </row>
    <row r="7" spans="1:12">
      <c r="A7">
        <v>5</v>
      </c>
      <c r="B7" t="s">
        <v>712</v>
      </c>
      <c r="C7" t="s">
        <v>711</v>
      </c>
      <c r="D7">
        <v>2017</v>
      </c>
      <c r="E7">
        <v>1</v>
      </c>
      <c r="F7">
        <v>40</v>
      </c>
      <c r="G7">
        <v>5</v>
      </c>
      <c r="H7">
        <v>9</v>
      </c>
      <c r="I7">
        <v>0</v>
      </c>
      <c r="J7">
        <v>-1.96</v>
      </c>
      <c r="K7" t="s">
        <v>1536</v>
      </c>
      <c r="L7" t="s">
        <v>1604</v>
      </c>
    </row>
    <row r="8" spans="1:12">
      <c r="A8">
        <v>6</v>
      </c>
      <c r="B8" t="s">
        <v>712</v>
      </c>
      <c r="C8" t="s">
        <v>711</v>
      </c>
      <c r="D8">
        <v>2017</v>
      </c>
      <c r="E8">
        <v>1</v>
      </c>
      <c r="F8">
        <v>41</v>
      </c>
      <c r="G8">
        <v>5</v>
      </c>
      <c r="H8">
        <v>9</v>
      </c>
      <c r="I8">
        <v>125</v>
      </c>
      <c r="J8">
        <v>-0.32</v>
      </c>
      <c r="K8" t="s">
        <v>1536</v>
      </c>
      <c r="L8" t="s">
        <v>1605</v>
      </c>
    </row>
    <row r="9" spans="1:12">
      <c r="A9">
        <v>7</v>
      </c>
      <c r="B9" t="s">
        <v>712</v>
      </c>
      <c r="C9" t="s">
        <v>711</v>
      </c>
      <c r="D9">
        <v>2017</v>
      </c>
      <c r="E9">
        <v>2</v>
      </c>
      <c r="F9">
        <v>8</v>
      </c>
      <c r="G9">
        <v>5</v>
      </c>
      <c r="H9">
        <v>13</v>
      </c>
      <c r="I9">
        <v>0</v>
      </c>
      <c r="J9">
        <v>9000.2200000000012</v>
      </c>
      <c r="K9" t="s">
        <v>1536</v>
      </c>
      <c r="L9" t="s">
        <v>1599</v>
      </c>
    </row>
    <row r="10" spans="1:12">
      <c r="A10">
        <v>8</v>
      </c>
      <c r="B10" t="s">
        <v>712</v>
      </c>
      <c r="C10" t="s">
        <v>711</v>
      </c>
      <c r="D10">
        <v>2017</v>
      </c>
      <c r="E10">
        <v>3</v>
      </c>
      <c r="F10">
        <v>8</v>
      </c>
      <c r="G10">
        <v>5</v>
      </c>
      <c r="H10">
        <v>17</v>
      </c>
      <c r="I10">
        <v>0</v>
      </c>
      <c r="J10">
        <v>-6772.1500000000015</v>
      </c>
      <c r="K10" t="s">
        <v>1536</v>
      </c>
      <c r="L10" t="s">
        <v>1599</v>
      </c>
    </row>
    <row r="11" spans="1:12">
      <c r="A11">
        <v>9</v>
      </c>
      <c r="B11" t="s">
        <v>712</v>
      </c>
      <c r="C11" t="s">
        <v>711</v>
      </c>
      <c r="D11">
        <v>2017</v>
      </c>
      <c r="E11">
        <v>4</v>
      </c>
      <c r="F11">
        <v>8</v>
      </c>
      <c r="G11">
        <v>5</v>
      </c>
      <c r="H11">
        <v>21</v>
      </c>
      <c r="I11">
        <v>0</v>
      </c>
      <c r="J11">
        <v>-1795.8700000000001</v>
      </c>
      <c r="K11" t="s">
        <v>1536</v>
      </c>
      <c r="L11" t="s">
        <v>1599</v>
      </c>
    </row>
    <row r="12" spans="1:12">
      <c r="A12">
        <v>10</v>
      </c>
      <c r="B12" t="s">
        <v>712</v>
      </c>
      <c r="C12" t="s">
        <v>711</v>
      </c>
      <c r="D12">
        <v>2017</v>
      </c>
      <c r="E12">
        <v>4</v>
      </c>
      <c r="F12">
        <v>45</v>
      </c>
      <c r="G12">
        <v>5</v>
      </c>
      <c r="H12">
        <v>21</v>
      </c>
      <c r="I12">
        <v>0</v>
      </c>
      <c r="J12">
        <v>6617.62</v>
      </c>
      <c r="K12" t="s">
        <v>1536</v>
      </c>
      <c r="L12" t="s">
        <v>1606</v>
      </c>
    </row>
    <row r="13" spans="1:12">
      <c r="A13">
        <v>11</v>
      </c>
      <c r="B13" t="s">
        <v>712</v>
      </c>
      <c r="C13" t="s">
        <v>711</v>
      </c>
      <c r="D13">
        <v>2018</v>
      </c>
      <c r="E13">
        <v>1</v>
      </c>
      <c r="F13">
        <v>8</v>
      </c>
      <c r="G13">
        <v>4</v>
      </c>
      <c r="H13">
        <v>8</v>
      </c>
      <c r="I13">
        <v>-26635</v>
      </c>
      <c r="J13">
        <v>-13317</v>
      </c>
      <c r="K13" t="s">
        <v>1536</v>
      </c>
      <c r="L13" t="s">
        <v>1599</v>
      </c>
    </row>
    <row r="14" spans="1:12">
      <c r="A14">
        <v>12</v>
      </c>
      <c r="B14" t="s">
        <v>712</v>
      </c>
      <c r="C14" t="s">
        <v>711</v>
      </c>
      <c r="D14">
        <v>2018</v>
      </c>
      <c r="E14">
        <v>1</v>
      </c>
      <c r="F14">
        <v>23</v>
      </c>
      <c r="G14">
        <v>4</v>
      </c>
      <c r="H14">
        <v>8</v>
      </c>
      <c r="I14">
        <v>25000</v>
      </c>
      <c r="J14">
        <v>0</v>
      </c>
      <c r="K14" t="s">
        <v>1536</v>
      </c>
      <c r="L14" t="s">
        <v>1602</v>
      </c>
    </row>
    <row r="15" spans="1:12">
      <c r="A15">
        <v>13</v>
      </c>
      <c r="B15" t="s">
        <v>712</v>
      </c>
      <c r="C15" t="s">
        <v>711</v>
      </c>
      <c r="D15">
        <v>2018</v>
      </c>
      <c r="E15">
        <v>1</v>
      </c>
      <c r="F15">
        <v>40</v>
      </c>
      <c r="G15">
        <v>4</v>
      </c>
      <c r="H15">
        <v>8</v>
      </c>
      <c r="I15">
        <v>1510</v>
      </c>
      <c r="J15">
        <v>0</v>
      </c>
      <c r="K15" t="s">
        <v>1536</v>
      </c>
      <c r="L15" t="s">
        <v>1603</v>
      </c>
    </row>
    <row r="16" spans="1:12">
      <c r="A16">
        <v>14</v>
      </c>
      <c r="B16" t="s">
        <v>712</v>
      </c>
      <c r="C16" t="s">
        <v>711</v>
      </c>
      <c r="D16">
        <v>2018</v>
      </c>
      <c r="E16">
        <v>1</v>
      </c>
      <c r="F16">
        <v>41</v>
      </c>
      <c r="G16">
        <v>4</v>
      </c>
      <c r="H16">
        <v>8</v>
      </c>
      <c r="I16">
        <v>125</v>
      </c>
      <c r="J16">
        <v>0</v>
      </c>
      <c r="K16" t="s">
        <v>1536</v>
      </c>
      <c r="L16" t="s">
        <v>1605</v>
      </c>
    </row>
    <row r="17" spans="1:12">
      <c r="A17">
        <v>15</v>
      </c>
      <c r="B17" t="s">
        <v>712</v>
      </c>
      <c r="C17" t="s">
        <v>711</v>
      </c>
      <c r="D17">
        <v>2018</v>
      </c>
      <c r="E17">
        <v>1</v>
      </c>
      <c r="F17">
        <v>45</v>
      </c>
      <c r="G17">
        <v>4</v>
      </c>
      <c r="H17">
        <v>8</v>
      </c>
      <c r="I17">
        <v>0</v>
      </c>
      <c r="J17">
        <v>1068</v>
      </c>
      <c r="K17" t="s">
        <v>1536</v>
      </c>
      <c r="L17" t="s">
        <v>1606</v>
      </c>
    </row>
    <row r="18" spans="1:12">
      <c r="A18">
        <v>16</v>
      </c>
      <c r="B18" t="s">
        <v>712</v>
      </c>
      <c r="C18" t="s">
        <v>711</v>
      </c>
      <c r="D18">
        <v>2018</v>
      </c>
      <c r="E18">
        <v>2</v>
      </c>
      <c r="F18">
        <v>45</v>
      </c>
      <c r="G18">
        <v>4</v>
      </c>
      <c r="H18">
        <v>12</v>
      </c>
      <c r="I18">
        <v>0</v>
      </c>
      <c r="J18">
        <v>9840.81</v>
      </c>
      <c r="K18" t="s">
        <v>1536</v>
      </c>
      <c r="L18" t="s">
        <v>1606</v>
      </c>
    </row>
    <row r="19" spans="1:12">
      <c r="A19">
        <v>17</v>
      </c>
      <c r="B19" t="s">
        <v>712</v>
      </c>
      <c r="C19" t="s">
        <v>711</v>
      </c>
      <c r="D19">
        <v>2018</v>
      </c>
      <c r="E19">
        <v>3</v>
      </c>
      <c r="F19">
        <v>8</v>
      </c>
      <c r="G19">
        <v>4</v>
      </c>
      <c r="H19">
        <v>16</v>
      </c>
      <c r="I19">
        <v>0</v>
      </c>
      <c r="J19">
        <v>-13318</v>
      </c>
      <c r="K19" t="s">
        <v>1536</v>
      </c>
      <c r="L19" t="s">
        <v>1599</v>
      </c>
    </row>
    <row r="20" spans="1:12">
      <c r="A20">
        <v>18</v>
      </c>
      <c r="B20" t="s">
        <v>712</v>
      </c>
      <c r="C20" t="s">
        <v>711</v>
      </c>
      <c r="D20">
        <v>2018</v>
      </c>
      <c r="E20">
        <v>3</v>
      </c>
      <c r="F20">
        <v>45</v>
      </c>
      <c r="G20">
        <v>4</v>
      </c>
      <c r="H20">
        <v>16</v>
      </c>
      <c r="I20">
        <v>0</v>
      </c>
      <c r="J20">
        <v>10036</v>
      </c>
      <c r="K20" t="s">
        <v>1536</v>
      </c>
      <c r="L20" t="s">
        <v>1606</v>
      </c>
    </row>
    <row r="21" spans="1:12">
      <c r="A21">
        <v>19</v>
      </c>
      <c r="B21" t="s">
        <v>712</v>
      </c>
      <c r="C21" t="s">
        <v>711</v>
      </c>
      <c r="D21">
        <v>2018</v>
      </c>
      <c r="E21">
        <v>4</v>
      </c>
      <c r="F21">
        <v>11</v>
      </c>
      <c r="G21">
        <v>4</v>
      </c>
      <c r="H21">
        <v>20</v>
      </c>
      <c r="I21">
        <v>0</v>
      </c>
      <c r="J21">
        <v>-5189.08</v>
      </c>
      <c r="K21" t="s">
        <v>1536</v>
      </c>
      <c r="L21" t="s">
        <v>1607</v>
      </c>
    </row>
    <row r="22" spans="1:12">
      <c r="A22">
        <v>20</v>
      </c>
      <c r="B22" t="s">
        <v>712</v>
      </c>
      <c r="C22" t="s">
        <v>711</v>
      </c>
      <c r="D22">
        <v>2018</v>
      </c>
      <c r="E22">
        <v>4</v>
      </c>
      <c r="F22">
        <v>29</v>
      </c>
      <c r="G22">
        <v>4</v>
      </c>
      <c r="H22">
        <v>20</v>
      </c>
      <c r="I22">
        <v>0</v>
      </c>
      <c r="J22">
        <v>65.97</v>
      </c>
      <c r="K22" t="s">
        <v>1536</v>
      </c>
      <c r="L22" t="s">
        <v>1608</v>
      </c>
    </row>
    <row r="23" spans="1:12">
      <c r="A23">
        <v>21</v>
      </c>
      <c r="B23" t="s">
        <v>712</v>
      </c>
      <c r="C23" t="s">
        <v>711</v>
      </c>
      <c r="D23">
        <v>2018</v>
      </c>
      <c r="E23">
        <v>4</v>
      </c>
      <c r="F23">
        <v>40</v>
      </c>
      <c r="G23">
        <v>4</v>
      </c>
      <c r="H23">
        <v>20</v>
      </c>
      <c r="I23">
        <v>0</v>
      </c>
      <c r="J23">
        <v>2.0700000000000003</v>
      </c>
      <c r="K23" t="s">
        <v>1536</v>
      </c>
      <c r="L23" t="s">
        <v>1603</v>
      </c>
    </row>
    <row r="24" spans="1:12">
      <c r="A24">
        <v>22</v>
      </c>
      <c r="B24" t="s">
        <v>712</v>
      </c>
      <c r="C24" t="s">
        <v>711</v>
      </c>
      <c r="D24">
        <v>2018</v>
      </c>
      <c r="E24">
        <v>4</v>
      </c>
      <c r="F24">
        <v>40</v>
      </c>
      <c r="G24">
        <v>4</v>
      </c>
      <c r="H24">
        <v>20</v>
      </c>
      <c r="I24">
        <v>0</v>
      </c>
      <c r="J24">
        <v>2.08</v>
      </c>
      <c r="K24" t="s">
        <v>1536</v>
      </c>
      <c r="L24" t="s">
        <v>1604</v>
      </c>
    </row>
    <row r="25" spans="1:12">
      <c r="A25">
        <v>23</v>
      </c>
      <c r="B25" t="s">
        <v>712</v>
      </c>
      <c r="C25" t="s">
        <v>711</v>
      </c>
      <c r="D25">
        <v>2018</v>
      </c>
      <c r="E25">
        <v>4</v>
      </c>
      <c r="F25">
        <v>41</v>
      </c>
      <c r="G25">
        <v>4</v>
      </c>
      <c r="H25">
        <v>20</v>
      </c>
      <c r="I25">
        <v>0</v>
      </c>
      <c r="J25">
        <v>0.34</v>
      </c>
      <c r="K25" t="s">
        <v>1536</v>
      </c>
      <c r="L25" t="s">
        <v>1605</v>
      </c>
    </row>
    <row r="26" spans="1:12">
      <c r="A26">
        <v>24</v>
      </c>
      <c r="B26" t="s">
        <v>712</v>
      </c>
      <c r="C26" t="s">
        <v>711</v>
      </c>
      <c r="D26">
        <v>2018</v>
      </c>
      <c r="E26">
        <v>4</v>
      </c>
      <c r="F26">
        <v>45</v>
      </c>
      <c r="G26">
        <v>4</v>
      </c>
      <c r="H26">
        <v>20</v>
      </c>
      <c r="I26">
        <v>0</v>
      </c>
      <c r="J26">
        <v>10808.81</v>
      </c>
      <c r="K26" t="s">
        <v>1536</v>
      </c>
      <c r="L26" t="s">
        <v>1606</v>
      </c>
    </row>
    <row r="27" spans="1:12">
      <c r="A27">
        <v>25</v>
      </c>
      <c r="B27" t="s">
        <v>712</v>
      </c>
      <c r="C27" t="s">
        <v>711</v>
      </c>
      <c r="D27">
        <v>2019</v>
      </c>
      <c r="E27">
        <v>1</v>
      </c>
      <c r="F27">
        <v>8</v>
      </c>
      <c r="G27">
        <v>3</v>
      </c>
      <c r="H27">
        <v>7</v>
      </c>
      <c r="I27">
        <v>-26700</v>
      </c>
      <c r="J27">
        <v>-13350</v>
      </c>
      <c r="K27" t="s">
        <v>1536</v>
      </c>
      <c r="L27" t="s">
        <v>1599</v>
      </c>
    </row>
    <row r="28" spans="1:12">
      <c r="A28">
        <v>26</v>
      </c>
      <c r="B28" t="s">
        <v>712</v>
      </c>
      <c r="C28" t="s">
        <v>711</v>
      </c>
      <c r="D28">
        <v>2019</v>
      </c>
      <c r="E28">
        <v>1</v>
      </c>
      <c r="F28">
        <v>45</v>
      </c>
      <c r="G28">
        <v>3</v>
      </c>
      <c r="H28">
        <v>7</v>
      </c>
      <c r="I28">
        <v>26700</v>
      </c>
      <c r="J28">
        <v>0</v>
      </c>
      <c r="K28" t="s">
        <v>1536</v>
      </c>
      <c r="L28" t="s">
        <v>1609</v>
      </c>
    </row>
    <row r="29" spans="1:12">
      <c r="A29">
        <v>27</v>
      </c>
      <c r="B29" t="s">
        <v>712</v>
      </c>
      <c r="C29" t="s">
        <v>711</v>
      </c>
      <c r="D29">
        <v>2019</v>
      </c>
      <c r="E29">
        <v>2</v>
      </c>
      <c r="F29">
        <v>45</v>
      </c>
      <c r="G29">
        <v>3</v>
      </c>
      <c r="H29">
        <v>11</v>
      </c>
      <c r="I29">
        <v>0</v>
      </c>
      <c r="J29">
        <v>22343.469999999998</v>
      </c>
      <c r="K29" t="s">
        <v>1536</v>
      </c>
      <c r="L29" t="s">
        <v>1606</v>
      </c>
    </row>
    <row r="30" spans="1:12">
      <c r="A30">
        <v>28</v>
      </c>
      <c r="B30" t="s">
        <v>712</v>
      </c>
      <c r="C30" t="s">
        <v>711</v>
      </c>
      <c r="D30">
        <v>2019</v>
      </c>
      <c r="E30">
        <v>3</v>
      </c>
      <c r="F30">
        <v>8</v>
      </c>
      <c r="G30">
        <v>3</v>
      </c>
      <c r="H30">
        <v>15</v>
      </c>
      <c r="I30">
        <v>0</v>
      </c>
      <c r="J30">
        <v>-13350</v>
      </c>
      <c r="K30" t="s">
        <v>1536</v>
      </c>
      <c r="L30" t="s">
        <v>1599</v>
      </c>
    </row>
    <row r="31" spans="1:12">
      <c r="A31">
        <v>29</v>
      </c>
      <c r="B31" t="s">
        <v>712</v>
      </c>
      <c r="C31" t="s">
        <v>711</v>
      </c>
      <c r="D31">
        <v>2019</v>
      </c>
      <c r="E31">
        <v>3</v>
      </c>
      <c r="F31">
        <v>11</v>
      </c>
      <c r="G31">
        <v>3</v>
      </c>
      <c r="H31">
        <v>15</v>
      </c>
      <c r="I31">
        <v>0</v>
      </c>
      <c r="J31">
        <v>-10296.969999999999</v>
      </c>
      <c r="K31" t="s">
        <v>1536</v>
      </c>
      <c r="L31" t="s">
        <v>1607</v>
      </c>
    </row>
    <row r="32" spans="1:12">
      <c r="A32">
        <v>30</v>
      </c>
      <c r="B32" t="s">
        <v>712</v>
      </c>
      <c r="C32" t="s">
        <v>711</v>
      </c>
      <c r="D32">
        <v>2019</v>
      </c>
      <c r="E32">
        <v>3</v>
      </c>
      <c r="F32">
        <v>45</v>
      </c>
      <c r="G32">
        <v>3</v>
      </c>
      <c r="H32">
        <v>15</v>
      </c>
      <c r="I32">
        <v>0</v>
      </c>
      <c r="J32">
        <v>16623.21</v>
      </c>
      <c r="K32" t="s">
        <v>1536</v>
      </c>
      <c r="L32" t="s">
        <v>1606</v>
      </c>
    </row>
    <row r="33" spans="1:12">
      <c r="A33">
        <v>31</v>
      </c>
      <c r="B33" t="s">
        <v>712</v>
      </c>
      <c r="C33" t="s">
        <v>711</v>
      </c>
      <c r="D33">
        <v>2019</v>
      </c>
      <c r="E33">
        <v>4</v>
      </c>
      <c r="F33">
        <v>11</v>
      </c>
      <c r="G33">
        <v>3</v>
      </c>
      <c r="H33">
        <v>19</v>
      </c>
      <c r="I33">
        <v>0</v>
      </c>
      <c r="J33">
        <v>-4713.0300000000007</v>
      </c>
      <c r="K33" t="s">
        <v>1536</v>
      </c>
      <c r="L33" t="s">
        <v>1607</v>
      </c>
    </row>
    <row r="34" spans="1:12">
      <c r="A34">
        <v>32</v>
      </c>
      <c r="B34" t="s">
        <v>712</v>
      </c>
      <c r="C34" t="s">
        <v>711</v>
      </c>
      <c r="D34">
        <v>2019</v>
      </c>
      <c r="E34">
        <v>4</v>
      </c>
      <c r="F34">
        <v>29</v>
      </c>
      <c r="G34">
        <v>3</v>
      </c>
      <c r="H34">
        <v>19</v>
      </c>
      <c r="I34">
        <v>0</v>
      </c>
      <c r="J34">
        <v>0</v>
      </c>
      <c r="K34" t="s">
        <v>1536</v>
      </c>
      <c r="L34" t="s">
        <v>1610</v>
      </c>
    </row>
    <row r="35" spans="1:12">
      <c r="A35">
        <v>33</v>
      </c>
      <c r="B35" t="s">
        <v>712</v>
      </c>
      <c r="C35" t="s">
        <v>711</v>
      </c>
      <c r="D35">
        <v>2019</v>
      </c>
      <c r="E35">
        <v>4</v>
      </c>
      <c r="F35">
        <v>40</v>
      </c>
      <c r="G35">
        <v>3</v>
      </c>
      <c r="H35">
        <v>19</v>
      </c>
      <c r="I35">
        <v>0</v>
      </c>
      <c r="J35">
        <v>0</v>
      </c>
      <c r="K35" t="s">
        <v>1536</v>
      </c>
      <c r="L35" t="s">
        <v>1603</v>
      </c>
    </row>
    <row r="36" spans="1:12">
      <c r="A36">
        <v>34</v>
      </c>
      <c r="B36" t="s">
        <v>712</v>
      </c>
      <c r="C36" t="s">
        <v>711</v>
      </c>
      <c r="D36">
        <v>2019</v>
      </c>
      <c r="E36">
        <v>4</v>
      </c>
      <c r="F36">
        <v>40</v>
      </c>
      <c r="G36">
        <v>3</v>
      </c>
      <c r="H36">
        <v>19</v>
      </c>
      <c r="I36">
        <v>0</v>
      </c>
      <c r="J36">
        <v>0</v>
      </c>
      <c r="K36" t="s">
        <v>1536</v>
      </c>
      <c r="L36" t="s">
        <v>1604</v>
      </c>
    </row>
    <row r="37" spans="1:12">
      <c r="A37">
        <v>35</v>
      </c>
      <c r="B37" t="s">
        <v>712</v>
      </c>
      <c r="C37" t="s">
        <v>711</v>
      </c>
      <c r="D37">
        <v>2019</v>
      </c>
      <c r="E37">
        <v>4</v>
      </c>
      <c r="F37">
        <v>41</v>
      </c>
      <c r="G37">
        <v>3</v>
      </c>
      <c r="H37">
        <v>19</v>
      </c>
      <c r="I37">
        <v>0</v>
      </c>
      <c r="J37">
        <v>0</v>
      </c>
      <c r="K37" t="s">
        <v>1536</v>
      </c>
      <c r="L37" t="s">
        <v>1605</v>
      </c>
    </row>
    <row r="38" spans="1:12">
      <c r="A38">
        <v>36</v>
      </c>
      <c r="B38" t="s">
        <v>712</v>
      </c>
      <c r="C38" t="s">
        <v>711</v>
      </c>
      <c r="D38">
        <v>2019</v>
      </c>
      <c r="E38">
        <v>4</v>
      </c>
      <c r="F38">
        <v>45</v>
      </c>
      <c r="G38">
        <v>3</v>
      </c>
      <c r="H38">
        <v>19</v>
      </c>
      <c r="I38">
        <v>0</v>
      </c>
      <c r="J38">
        <v>2743.32</v>
      </c>
      <c r="K38" t="s">
        <v>1536</v>
      </c>
      <c r="L38" t="s">
        <v>1606</v>
      </c>
    </row>
    <row r="39" spans="1:12">
      <c r="A39">
        <v>37</v>
      </c>
      <c r="B39" t="s">
        <v>712</v>
      </c>
      <c r="C39" t="s">
        <v>711</v>
      </c>
      <c r="D39">
        <v>2020</v>
      </c>
      <c r="E39">
        <v>1</v>
      </c>
      <c r="F39">
        <v>8</v>
      </c>
      <c r="G39">
        <v>2</v>
      </c>
      <c r="H39">
        <v>6</v>
      </c>
      <c r="I39">
        <v>-36700</v>
      </c>
      <c r="J39">
        <v>0</v>
      </c>
      <c r="K39" t="s">
        <v>1536</v>
      </c>
      <c r="L39" t="s">
        <v>1599</v>
      </c>
    </row>
    <row r="40" spans="1:12">
      <c r="A40">
        <v>38</v>
      </c>
      <c r="B40" t="s">
        <v>712</v>
      </c>
      <c r="C40" t="s">
        <v>711</v>
      </c>
      <c r="D40">
        <v>2020</v>
      </c>
      <c r="E40">
        <v>1</v>
      </c>
      <c r="F40">
        <v>8</v>
      </c>
      <c r="G40">
        <v>2</v>
      </c>
      <c r="H40">
        <v>6</v>
      </c>
      <c r="I40">
        <v>0</v>
      </c>
      <c r="J40">
        <v>-18350</v>
      </c>
      <c r="K40" t="s">
        <v>1536</v>
      </c>
      <c r="L40" t="s">
        <v>1611</v>
      </c>
    </row>
    <row r="41" spans="1:12">
      <c r="A41">
        <v>39</v>
      </c>
      <c r="B41" t="s">
        <v>712</v>
      </c>
      <c r="C41" t="s">
        <v>711</v>
      </c>
      <c r="D41">
        <v>2020</v>
      </c>
      <c r="E41">
        <v>1</v>
      </c>
      <c r="F41">
        <v>45</v>
      </c>
      <c r="G41">
        <v>2</v>
      </c>
      <c r="H41">
        <v>6</v>
      </c>
      <c r="I41">
        <v>36700</v>
      </c>
      <c r="J41">
        <v>0</v>
      </c>
      <c r="K41" t="s">
        <v>1536</v>
      </c>
      <c r="L41" t="s">
        <v>1609</v>
      </c>
    </row>
    <row r="42" spans="1:12">
      <c r="A42">
        <v>40</v>
      </c>
      <c r="B42" t="s">
        <v>712</v>
      </c>
      <c r="C42" t="s">
        <v>711</v>
      </c>
      <c r="D42">
        <v>2020</v>
      </c>
      <c r="E42">
        <v>1</v>
      </c>
      <c r="F42">
        <v>45</v>
      </c>
      <c r="G42">
        <v>2</v>
      </c>
      <c r="H42">
        <v>6</v>
      </c>
      <c r="I42">
        <v>0</v>
      </c>
      <c r="J42">
        <v>6982.57</v>
      </c>
      <c r="K42" t="s">
        <v>1536</v>
      </c>
      <c r="L42" t="s">
        <v>1606</v>
      </c>
    </row>
    <row r="43" spans="1:12">
      <c r="A43">
        <v>41</v>
      </c>
      <c r="B43" t="s">
        <v>712</v>
      </c>
      <c r="C43" t="s">
        <v>711</v>
      </c>
      <c r="D43">
        <v>2020</v>
      </c>
      <c r="E43">
        <v>2</v>
      </c>
      <c r="F43">
        <v>45</v>
      </c>
      <c r="G43">
        <v>2</v>
      </c>
      <c r="H43">
        <v>10</v>
      </c>
      <c r="I43">
        <v>0</v>
      </c>
      <c r="J43">
        <v>15837.570000000002</v>
      </c>
      <c r="K43" t="s">
        <v>1536</v>
      </c>
      <c r="L43" t="s">
        <v>1606</v>
      </c>
    </row>
    <row r="44" spans="1:12">
      <c r="A44">
        <v>42</v>
      </c>
      <c r="B44" t="s">
        <v>712</v>
      </c>
      <c r="C44" t="s">
        <v>711</v>
      </c>
      <c r="D44">
        <v>2020</v>
      </c>
      <c r="E44">
        <v>3</v>
      </c>
      <c r="F44">
        <v>8</v>
      </c>
      <c r="G44">
        <v>2</v>
      </c>
      <c r="H44">
        <v>14</v>
      </c>
      <c r="I44">
        <v>0</v>
      </c>
      <c r="J44">
        <v>-18350</v>
      </c>
      <c r="K44" t="s">
        <v>1536</v>
      </c>
      <c r="L44" t="s">
        <v>1611</v>
      </c>
    </row>
    <row r="45" spans="1:12">
      <c r="A45">
        <v>43</v>
      </c>
      <c r="B45" t="s">
        <v>712</v>
      </c>
      <c r="C45" t="s">
        <v>711</v>
      </c>
      <c r="D45">
        <v>2020</v>
      </c>
      <c r="E45">
        <v>3</v>
      </c>
      <c r="F45">
        <v>11</v>
      </c>
      <c r="G45">
        <v>2</v>
      </c>
      <c r="H45">
        <v>14</v>
      </c>
      <c r="I45">
        <v>0</v>
      </c>
      <c r="J45">
        <v>-1578.0000000000002</v>
      </c>
      <c r="K45" t="s">
        <v>1536</v>
      </c>
      <c r="L45" t="s">
        <v>1607</v>
      </c>
    </row>
    <row r="46" spans="1:12">
      <c r="A46">
        <v>44</v>
      </c>
      <c r="B46" t="s">
        <v>712</v>
      </c>
      <c r="C46" t="s">
        <v>711</v>
      </c>
      <c r="D46">
        <v>2020</v>
      </c>
      <c r="E46">
        <v>3</v>
      </c>
      <c r="F46">
        <v>45</v>
      </c>
      <c r="G46">
        <v>2</v>
      </c>
      <c r="H46">
        <v>14</v>
      </c>
      <c r="I46">
        <v>0</v>
      </c>
      <c r="J46">
        <v>14096.389999999996</v>
      </c>
      <c r="K46" t="s">
        <v>1536</v>
      </c>
      <c r="L46" t="s">
        <v>1606</v>
      </c>
    </row>
    <row r="47" spans="1:12">
      <c r="A47">
        <v>45</v>
      </c>
      <c r="B47" t="s">
        <v>712</v>
      </c>
      <c r="C47" t="s">
        <v>711</v>
      </c>
      <c r="D47">
        <v>2020</v>
      </c>
      <c r="E47">
        <v>4</v>
      </c>
      <c r="F47">
        <v>11</v>
      </c>
      <c r="G47">
        <v>2</v>
      </c>
      <c r="H47">
        <v>18</v>
      </c>
      <c r="I47">
        <v>0</v>
      </c>
      <c r="J47">
        <v>-7431.8099999999995</v>
      </c>
      <c r="K47" t="s">
        <v>1536</v>
      </c>
      <c r="L47" t="s">
        <v>1607</v>
      </c>
    </row>
    <row r="48" spans="1:12">
      <c r="A48">
        <v>46</v>
      </c>
      <c r="B48" t="s">
        <v>712</v>
      </c>
      <c r="C48" t="s">
        <v>711</v>
      </c>
      <c r="D48">
        <v>2020</v>
      </c>
      <c r="E48">
        <v>4</v>
      </c>
      <c r="F48">
        <v>45</v>
      </c>
      <c r="G48">
        <v>2</v>
      </c>
      <c r="H48">
        <v>18</v>
      </c>
      <c r="I48">
        <v>0</v>
      </c>
      <c r="J48">
        <v>8793.2800000000007</v>
      </c>
      <c r="K48" t="s">
        <v>1536</v>
      </c>
      <c r="L48" t="s">
        <v>1606</v>
      </c>
    </row>
    <row r="49" spans="1:12">
      <c r="A49">
        <v>47</v>
      </c>
      <c r="B49" t="s">
        <v>712</v>
      </c>
      <c r="C49" t="s">
        <v>714</v>
      </c>
      <c r="D49">
        <v>2017</v>
      </c>
      <c r="E49">
        <v>4</v>
      </c>
      <c r="F49">
        <v>11</v>
      </c>
      <c r="G49">
        <v>5</v>
      </c>
      <c r="H49">
        <v>21</v>
      </c>
      <c r="I49">
        <v>0</v>
      </c>
      <c r="J49">
        <v>-6617.62</v>
      </c>
      <c r="K49" t="s">
        <v>713</v>
      </c>
      <c r="L49" t="s">
        <v>1607</v>
      </c>
    </row>
    <row r="50" spans="1:12">
      <c r="A50">
        <v>48</v>
      </c>
      <c r="B50" t="s">
        <v>712</v>
      </c>
      <c r="C50" t="s">
        <v>714</v>
      </c>
      <c r="D50">
        <v>2018</v>
      </c>
      <c r="E50">
        <v>4</v>
      </c>
      <c r="F50">
        <v>11</v>
      </c>
      <c r="G50">
        <v>4</v>
      </c>
      <c r="H50">
        <v>20</v>
      </c>
      <c r="I50">
        <v>0</v>
      </c>
      <c r="J50">
        <v>-5917.01</v>
      </c>
      <c r="K50" t="s">
        <v>713</v>
      </c>
      <c r="L50" t="s">
        <v>1607</v>
      </c>
    </row>
    <row r="51" spans="1:12">
      <c r="A51">
        <v>49</v>
      </c>
      <c r="B51" t="s">
        <v>712</v>
      </c>
      <c r="C51" t="s">
        <v>714</v>
      </c>
      <c r="D51">
        <v>2019</v>
      </c>
      <c r="E51">
        <v>3</v>
      </c>
      <c r="F51">
        <v>45</v>
      </c>
      <c r="G51">
        <v>3</v>
      </c>
      <c r="H51">
        <v>15</v>
      </c>
      <c r="I51">
        <v>0</v>
      </c>
      <c r="J51">
        <v>9127.2999999999993</v>
      </c>
      <c r="K51" t="s">
        <v>713</v>
      </c>
      <c r="L51" t="s">
        <v>1606</v>
      </c>
    </row>
    <row r="52" spans="1:12">
      <c r="A52">
        <v>50</v>
      </c>
      <c r="B52" t="s">
        <v>712</v>
      </c>
      <c r="C52" t="s">
        <v>714</v>
      </c>
      <c r="D52">
        <v>2019</v>
      </c>
      <c r="E52">
        <v>4</v>
      </c>
      <c r="F52">
        <v>11</v>
      </c>
      <c r="G52">
        <v>3</v>
      </c>
      <c r="H52">
        <v>19</v>
      </c>
      <c r="I52">
        <v>0</v>
      </c>
      <c r="J52">
        <v>-35.61</v>
      </c>
      <c r="K52" t="s">
        <v>713</v>
      </c>
      <c r="L52" t="s">
        <v>1607</v>
      </c>
    </row>
    <row r="53" spans="1:12">
      <c r="A53">
        <v>51</v>
      </c>
      <c r="B53" t="s">
        <v>712</v>
      </c>
      <c r="C53" t="s">
        <v>714</v>
      </c>
      <c r="D53">
        <v>2019</v>
      </c>
      <c r="E53">
        <v>4</v>
      </c>
      <c r="F53">
        <v>45</v>
      </c>
      <c r="G53">
        <v>3</v>
      </c>
      <c r="H53">
        <v>19</v>
      </c>
      <c r="I53">
        <v>0</v>
      </c>
      <c r="J53">
        <v>2072.4299999999998</v>
      </c>
      <c r="K53" t="s">
        <v>713</v>
      </c>
      <c r="L53" t="s">
        <v>1606</v>
      </c>
    </row>
    <row r="54" spans="1:12">
      <c r="A54">
        <v>52</v>
      </c>
      <c r="B54" t="s">
        <v>712</v>
      </c>
      <c r="C54" t="s">
        <v>714</v>
      </c>
      <c r="D54">
        <v>2020</v>
      </c>
      <c r="E54">
        <v>4</v>
      </c>
      <c r="F54">
        <v>11</v>
      </c>
      <c r="G54">
        <v>2</v>
      </c>
      <c r="H54">
        <v>18</v>
      </c>
      <c r="I54">
        <v>0</v>
      </c>
      <c r="J54">
        <v>-29636.32</v>
      </c>
      <c r="K54" t="s">
        <v>713</v>
      </c>
      <c r="L54" t="s">
        <v>1607</v>
      </c>
    </row>
    <row r="55" spans="1:12">
      <c r="A55">
        <v>53</v>
      </c>
      <c r="B55" t="s">
        <v>712</v>
      </c>
      <c r="C55" t="s">
        <v>732</v>
      </c>
      <c r="D55">
        <v>2017</v>
      </c>
      <c r="E55">
        <v>1</v>
      </c>
      <c r="F55">
        <v>8</v>
      </c>
      <c r="G55">
        <v>5</v>
      </c>
      <c r="H55">
        <v>9</v>
      </c>
      <c r="I55">
        <v>-95320</v>
      </c>
      <c r="J55">
        <v>-47660</v>
      </c>
      <c r="K55" t="s">
        <v>731</v>
      </c>
      <c r="L55" t="s">
        <v>1599</v>
      </c>
    </row>
    <row r="56" spans="1:12">
      <c r="A56">
        <v>54</v>
      </c>
      <c r="B56" t="s">
        <v>712</v>
      </c>
      <c r="C56" t="s">
        <v>732</v>
      </c>
      <c r="D56">
        <v>2017</v>
      </c>
      <c r="E56">
        <v>1</v>
      </c>
      <c r="F56">
        <v>17</v>
      </c>
      <c r="G56">
        <v>5</v>
      </c>
      <c r="H56">
        <v>9</v>
      </c>
      <c r="I56">
        <v>88408</v>
      </c>
      <c r="J56">
        <v>0</v>
      </c>
      <c r="K56" t="s">
        <v>731</v>
      </c>
      <c r="L56" t="s">
        <v>1612</v>
      </c>
    </row>
    <row r="57" spans="1:12">
      <c r="A57">
        <v>55</v>
      </c>
      <c r="B57" t="s">
        <v>712</v>
      </c>
      <c r="C57" t="s">
        <v>732</v>
      </c>
      <c r="D57">
        <v>2017</v>
      </c>
      <c r="E57">
        <v>1</v>
      </c>
      <c r="F57">
        <v>17</v>
      </c>
      <c r="G57">
        <v>5</v>
      </c>
      <c r="H57">
        <v>9</v>
      </c>
      <c r="I57">
        <v>0</v>
      </c>
      <c r="J57">
        <v>4708.57</v>
      </c>
      <c r="K57" t="s">
        <v>731</v>
      </c>
      <c r="L57" t="s">
        <v>1600</v>
      </c>
    </row>
    <row r="58" spans="1:12">
      <c r="A58">
        <v>56</v>
      </c>
      <c r="B58" t="s">
        <v>712</v>
      </c>
      <c r="C58" t="s">
        <v>732</v>
      </c>
      <c r="D58">
        <v>2017</v>
      </c>
      <c r="E58">
        <v>1</v>
      </c>
      <c r="F58">
        <v>17</v>
      </c>
      <c r="G58">
        <v>5</v>
      </c>
      <c r="H58">
        <v>9</v>
      </c>
      <c r="I58">
        <v>0</v>
      </c>
      <c r="J58">
        <v>0</v>
      </c>
      <c r="K58" t="s">
        <v>731</v>
      </c>
      <c r="L58" t="s">
        <v>1613</v>
      </c>
    </row>
    <row r="59" spans="1:12">
      <c r="A59">
        <v>57</v>
      </c>
      <c r="B59" t="s">
        <v>712</v>
      </c>
      <c r="C59" t="s">
        <v>732</v>
      </c>
      <c r="D59">
        <v>2017</v>
      </c>
      <c r="E59">
        <v>1</v>
      </c>
      <c r="F59">
        <v>18</v>
      </c>
      <c r="G59">
        <v>5</v>
      </c>
      <c r="H59">
        <v>9</v>
      </c>
      <c r="I59">
        <v>0</v>
      </c>
      <c r="J59">
        <v>1.92</v>
      </c>
      <c r="K59" t="s">
        <v>731</v>
      </c>
      <c r="L59" t="s">
        <v>1614</v>
      </c>
    </row>
    <row r="60" spans="1:12">
      <c r="A60">
        <v>58</v>
      </c>
      <c r="B60" t="s">
        <v>712</v>
      </c>
      <c r="C60" t="s">
        <v>732</v>
      </c>
      <c r="D60">
        <v>2017</v>
      </c>
      <c r="E60">
        <v>1</v>
      </c>
      <c r="F60">
        <v>20</v>
      </c>
      <c r="G60">
        <v>5</v>
      </c>
      <c r="H60">
        <v>9</v>
      </c>
      <c r="I60">
        <v>1061</v>
      </c>
      <c r="J60">
        <v>0</v>
      </c>
      <c r="K60" t="s">
        <v>731</v>
      </c>
      <c r="L60" t="s">
        <v>1615</v>
      </c>
    </row>
    <row r="61" spans="1:12">
      <c r="A61">
        <v>59</v>
      </c>
      <c r="B61" t="s">
        <v>712</v>
      </c>
      <c r="C61" t="s">
        <v>732</v>
      </c>
      <c r="D61">
        <v>2017</v>
      </c>
      <c r="E61">
        <v>1</v>
      </c>
      <c r="F61">
        <v>20</v>
      </c>
      <c r="G61">
        <v>5</v>
      </c>
      <c r="H61">
        <v>9</v>
      </c>
      <c r="I61">
        <v>0</v>
      </c>
      <c r="J61">
        <v>56.44</v>
      </c>
      <c r="K61" t="s">
        <v>731</v>
      </c>
      <c r="L61" t="s">
        <v>1601</v>
      </c>
    </row>
    <row r="62" spans="1:12">
      <c r="A62">
        <v>60</v>
      </c>
      <c r="B62" t="s">
        <v>712</v>
      </c>
      <c r="C62" t="s">
        <v>732</v>
      </c>
      <c r="D62">
        <v>2017</v>
      </c>
      <c r="E62">
        <v>1</v>
      </c>
      <c r="F62">
        <v>25</v>
      </c>
      <c r="G62">
        <v>5</v>
      </c>
      <c r="H62">
        <v>9</v>
      </c>
      <c r="I62">
        <v>0</v>
      </c>
      <c r="J62">
        <v>329.46</v>
      </c>
      <c r="K62" t="s">
        <v>731</v>
      </c>
      <c r="L62" t="s">
        <v>1616</v>
      </c>
    </row>
    <row r="63" spans="1:12">
      <c r="A63">
        <v>61</v>
      </c>
      <c r="B63" t="s">
        <v>712</v>
      </c>
      <c r="C63" t="s">
        <v>732</v>
      </c>
      <c r="D63">
        <v>2017</v>
      </c>
      <c r="E63">
        <v>1</v>
      </c>
      <c r="F63">
        <v>29</v>
      </c>
      <c r="G63">
        <v>5</v>
      </c>
      <c r="H63">
        <v>9</v>
      </c>
      <c r="I63">
        <v>0</v>
      </c>
      <c r="J63">
        <v>6555.8</v>
      </c>
      <c r="K63" t="s">
        <v>731</v>
      </c>
      <c r="L63" t="s">
        <v>1617</v>
      </c>
    </row>
    <row r="64" spans="1:12">
      <c r="A64">
        <v>62</v>
      </c>
      <c r="B64" t="s">
        <v>712</v>
      </c>
      <c r="C64" t="s">
        <v>732</v>
      </c>
      <c r="D64">
        <v>2017</v>
      </c>
      <c r="E64">
        <v>1</v>
      </c>
      <c r="F64">
        <v>40</v>
      </c>
      <c r="G64">
        <v>5</v>
      </c>
      <c r="H64">
        <v>9</v>
      </c>
      <c r="I64">
        <v>5404</v>
      </c>
      <c r="J64">
        <v>351.89</v>
      </c>
      <c r="K64" t="s">
        <v>731</v>
      </c>
      <c r="L64" t="s">
        <v>1603</v>
      </c>
    </row>
    <row r="65" spans="1:12">
      <c r="A65">
        <v>63</v>
      </c>
      <c r="B65" t="s">
        <v>712</v>
      </c>
      <c r="C65" t="s">
        <v>732</v>
      </c>
      <c r="D65">
        <v>2017</v>
      </c>
      <c r="E65">
        <v>1</v>
      </c>
      <c r="F65">
        <v>40</v>
      </c>
      <c r="G65">
        <v>5</v>
      </c>
      <c r="H65">
        <v>9</v>
      </c>
      <c r="I65">
        <v>0</v>
      </c>
      <c r="J65">
        <v>351.9</v>
      </c>
      <c r="K65" t="s">
        <v>731</v>
      </c>
      <c r="L65" t="s">
        <v>1604</v>
      </c>
    </row>
    <row r="66" spans="1:12">
      <c r="A66">
        <v>64</v>
      </c>
      <c r="B66" t="s">
        <v>712</v>
      </c>
      <c r="C66" t="s">
        <v>732</v>
      </c>
      <c r="D66">
        <v>2017</v>
      </c>
      <c r="E66">
        <v>1</v>
      </c>
      <c r="F66">
        <v>41</v>
      </c>
      <c r="G66">
        <v>5</v>
      </c>
      <c r="H66">
        <v>9</v>
      </c>
      <c r="I66">
        <v>447</v>
      </c>
      <c r="J66">
        <v>58.27</v>
      </c>
      <c r="K66" t="s">
        <v>731</v>
      </c>
      <c r="L66" t="s">
        <v>1605</v>
      </c>
    </row>
    <row r="67" spans="1:12">
      <c r="A67">
        <v>65</v>
      </c>
      <c r="B67" t="s">
        <v>712</v>
      </c>
      <c r="C67" t="s">
        <v>732</v>
      </c>
      <c r="D67">
        <v>2017</v>
      </c>
      <c r="E67">
        <v>2</v>
      </c>
      <c r="F67">
        <v>17</v>
      </c>
      <c r="G67">
        <v>5</v>
      </c>
      <c r="H67">
        <v>13</v>
      </c>
      <c r="I67">
        <v>0</v>
      </c>
      <c r="J67">
        <v>13845.499999999998</v>
      </c>
      <c r="K67" t="s">
        <v>731</v>
      </c>
      <c r="L67" t="s">
        <v>1600</v>
      </c>
    </row>
    <row r="68" spans="1:12">
      <c r="A68">
        <v>66</v>
      </c>
      <c r="B68" t="s">
        <v>712</v>
      </c>
      <c r="C68" t="s">
        <v>732</v>
      </c>
      <c r="D68">
        <v>2017</v>
      </c>
      <c r="E68">
        <v>2</v>
      </c>
      <c r="F68">
        <v>18</v>
      </c>
      <c r="G68">
        <v>5</v>
      </c>
      <c r="H68">
        <v>13</v>
      </c>
      <c r="I68">
        <v>0</v>
      </c>
      <c r="J68">
        <v>-6.5599999999999987</v>
      </c>
      <c r="K68" t="s">
        <v>731</v>
      </c>
      <c r="L68" t="s">
        <v>1614</v>
      </c>
    </row>
    <row r="69" spans="1:12">
      <c r="A69">
        <v>67</v>
      </c>
      <c r="B69" t="s">
        <v>712</v>
      </c>
      <c r="C69" t="s">
        <v>732</v>
      </c>
      <c r="D69">
        <v>2017</v>
      </c>
      <c r="E69">
        <v>2</v>
      </c>
      <c r="F69">
        <v>20</v>
      </c>
      <c r="G69">
        <v>5</v>
      </c>
      <c r="H69">
        <v>13</v>
      </c>
      <c r="I69">
        <v>0</v>
      </c>
      <c r="J69">
        <v>166.15</v>
      </c>
      <c r="K69" t="s">
        <v>731</v>
      </c>
      <c r="L69" t="s">
        <v>1601</v>
      </c>
    </row>
    <row r="70" spans="1:12">
      <c r="A70">
        <v>68</v>
      </c>
      <c r="B70" t="s">
        <v>712</v>
      </c>
      <c r="C70" t="s">
        <v>732</v>
      </c>
      <c r="D70">
        <v>2017</v>
      </c>
      <c r="E70">
        <v>2</v>
      </c>
      <c r="F70">
        <v>25</v>
      </c>
      <c r="G70">
        <v>5</v>
      </c>
      <c r="H70">
        <v>13</v>
      </c>
      <c r="I70">
        <v>0</v>
      </c>
      <c r="J70">
        <v>329.46</v>
      </c>
      <c r="K70" t="s">
        <v>731</v>
      </c>
      <c r="L70" t="s">
        <v>1616</v>
      </c>
    </row>
    <row r="71" spans="1:12">
      <c r="A71">
        <v>69</v>
      </c>
      <c r="B71" t="s">
        <v>712</v>
      </c>
      <c r="C71" t="s">
        <v>732</v>
      </c>
      <c r="D71">
        <v>2017</v>
      </c>
      <c r="E71">
        <v>2</v>
      </c>
      <c r="F71">
        <v>29</v>
      </c>
      <c r="G71">
        <v>5</v>
      </c>
      <c r="H71">
        <v>13</v>
      </c>
      <c r="I71">
        <v>0</v>
      </c>
      <c r="J71">
        <v>10053.289999999999</v>
      </c>
      <c r="K71" t="s">
        <v>731</v>
      </c>
      <c r="L71" t="s">
        <v>1617</v>
      </c>
    </row>
    <row r="72" spans="1:12">
      <c r="A72">
        <v>70</v>
      </c>
      <c r="B72" t="s">
        <v>712</v>
      </c>
      <c r="C72" t="s">
        <v>732</v>
      </c>
      <c r="D72">
        <v>2017</v>
      </c>
      <c r="E72">
        <v>2</v>
      </c>
      <c r="F72">
        <v>40</v>
      </c>
      <c r="G72">
        <v>5</v>
      </c>
      <c r="H72">
        <v>13</v>
      </c>
      <c r="I72">
        <v>0</v>
      </c>
      <c r="J72">
        <v>736.5</v>
      </c>
      <c r="K72" t="s">
        <v>731</v>
      </c>
      <c r="L72" t="s">
        <v>1603</v>
      </c>
    </row>
    <row r="73" spans="1:12">
      <c r="A73">
        <v>71</v>
      </c>
      <c r="B73" t="s">
        <v>712</v>
      </c>
      <c r="C73" t="s">
        <v>732</v>
      </c>
      <c r="D73">
        <v>2017</v>
      </c>
      <c r="E73">
        <v>2</v>
      </c>
      <c r="F73">
        <v>40</v>
      </c>
      <c r="G73">
        <v>5</v>
      </c>
      <c r="H73">
        <v>13</v>
      </c>
      <c r="I73">
        <v>0</v>
      </c>
      <c r="J73">
        <v>736.52</v>
      </c>
      <c r="K73" t="s">
        <v>731</v>
      </c>
      <c r="L73" t="s">
        <v>1604</v>
      </c>
    </row>
    <row r="74" spans="1:12">
      <c r="A74">
        <v>72</v>
      </c>
      <c r="B74" t="s">
        <v>712</v>
      </c>
      <c r="C74" t="s">
        <v>732</v>
      </c>
      <c r="D74">
        <v>2017</v>
      </c>
      <c r="E74">
        <v>2</v>
      </c>
      <c r="F74">
        <v>41</v>
      </c>
      <c r="G74">
        <v>5</v>
      </c>
      <c r="H74">
        <v>13</v>
      </c>
      <c r="I74">
        <v>0</v>
      </c>
      <c r="J74">
        <v>121.94</v>
      </c>
      <c r="K74" t="s">
        <v>731</v>
      </c>
      <c r="L74" t="s">
        <v>1605</v>
      </c>
    </row>
    <row r="75" spans="1:12">
      <c r="A75">
        <v>73</v>
      </c>
      <c r="B75" t="s">
        <v>712</v>
      </c>
      <c r="C75" t="s">
        <v>732</v>
      </c>
      <c r="D75">
        <v>2017</v>
      </c>
      <c r="E75">
        <v>3</v>
      </c>
      <c r="F75">
        <v>8</v>
      </c>
      <c r="G75">
        <v>5</v>
      </c>
      <c r="H75">
        <v>17</v>
      </c>
      <c r="I75">
        <v>0</v>
      </c>
      <c r="J75">
        <v>-47660</v>
      </c>
      <c r="K75" t="s">
        <v>731</v>
      </c>
      <c r="L75" t="s">
        <v>1599</v>
      </c>
    </row>
    <row r="76" spans="1:12">
      <c r="A76">
        <v>74</v>
      </c>
      <c r="B76" t="s">
        <v>712</v>
      </c>
      <c r="C76" t="s">
        <v>732</v>
      </c>
      <c r="D76">
        <v>2017</v>
      </c>
      <c r="E76">
        <v>3</v>
      </c>
      <c r="F76">
        <v>17</v>
      </c>
      <c r="G76">
        <v>5</v>
      </c>
      <c r="H76">
        <v>17</v>
      </c>
      <c r="I76">
        <v>0</v>
      </c>
      <c r="J76">
        <v>9792.880000000001</v>
      </c>
      <c r="K76" t="s">
        <v>731</v>
      </c>
      <c r="L76" t="s">
        <v>1600</v>
      </c>
    </row>
    <row r="77" spans="1:12">
      <c r="A77">
        <v>75</v>
      </c>
      <c r="B77" t="s">
        <v>712</v>
      </c>
      <c r="C77" t="s">
        <v>732</v>
      </c>
      <c r="D77">
        <v>2017</v>
      </c>
      <c r="E77">
        <v>3</v>
      </c>
      <c r="F77">
        <v>18</v>
      </c>
      <c r="G77">
        <v>5</v>
      </c>
      <c r="H77">
        <v>17</v>
      </c>
      <c r="I77">
        <v>0</v>
      </c>
      <c r="J77">
        <v>4.6399999999999997</v>
      </c>
      <c r="K77" t="s">
        <v>731</v>
      </c>
      <c r="L77" t="s">
        <v>1614</v>
      </c>
    </row>
    <row r="78" spans="1:12">
      <c r="A78">
        <v>76</v>
      </c>
      <c r="B78" t="s">
        <v>712</v>
      </c>
      <c r="C78" t="s">
        <v>732</v>
      </c>
      <c r="D78">
        <v>2017</v>
      </c>
      <c r="E78">
        <v>3</v>
      </c>
      <c r="F78">
        <v>20</v>
      </c>
      <c r="G78">
        <v>5</v>
      </c>
      <c r="H78">
        <v>17</v>
      </c>
      <c r="I78">
        <v>0</v>
      </c>
      <c r="J78">
        <v>117.52</v>
      </c>
      <c r="K78" t="s">
        <v>731</v>
      </c>
      <c r="L78" t="s">
        <v>1601</v>
      </c>
    </row>
    <row r="79" spans="1:12">
      <c r="A79">
        <v>77</v>
      </c>
      <c r="B79" t="s">
        <v>712</v>
      </c>
      <c r="C79" t="s">
        <v>732</v>
      </c>
      <c r="D79">
        <v>2017</v>
      </c>
      <c r="E79">
        <v>3</v>
      </c>
      <c r="F79">
        <v>25</v>
      </c>
      <c r="G79">
        <v>5</v>
      </c>
      <c r="H79">
        <v>17</v>
      </c>
      <c r="I79">
        <v>0</v>
      </c>
      <c r="J79">
        <v>329.46</v>
      </c>
      <c r="K79" t="s">
        <v>731</v>
      </c>
      <c r="L79" t="s">
        <v>1616</v>
      </c>
    </row>
    <row r="80" spans="1:12">
      <c r="A80">
        <v>78</v>
      </c>
      <c r="B80" t="s">
        <v>712</v>
      </c>
      <c r="C80" t="s">
        <v>732</v>
      </c>
      <c r="D80">
        <v>2017</v>
      </c>
      <c r="E80">
        <v>3</v>
      </c>
      <c r="F80">
        <v>29</v>
      </c>
      <c r="G80">
        <v>5</v>
      </c>
      <c r="H80">
        <v>17</v>
      </c>
      <c r="I80">
        <v>0</v>
      </c>
      <c r="J80">
        <v>8258.35</v>
      </c>
      <c r="K80" t="s">
        <v>731</v>
      </c>
      <c r="L80" t="s">
        <v>1617</v>
      </c>
    </row>
    <row r="81" spans="1:12">
      <c r="A81">
        <v>79</v>
      </c>
      <c r="B81" t="s">
        <v>712</v>
      </c>
      <c r="C81" t="s">
        <v>732</v>
      </c>
      <c r="D81">
        <v>2017</v>
      </c>
      <c r="E81">
        <v>3</v>
      </c>
      <c r="F81">
        <v>40</v>
      </c>
      <c r="G81">
        <v>5</v>
      </c>
      <c r="H81">
        <v>17</v>
      </c>
      <c r="I81">
        <v>0</v>
      </c>
      <c r="J81">
        <v>558.79</v>
      </c>
      <c r="K81" t="s">
        <v>731</v>
      </c>
      <c r="L81" t="s">
        <v>1603</v>
      </c>
    </row>
    <row r="82" spans="1:12">
      <c r="A82">
        <v>80</v>
      </c>
      <c r="B82" t="s">
        <v>712</v>
      </c>
      <c r="C82" t="s">
        <v>732</v>
      </c>
      <c r="D82">
        <v>2017</v>
      </c>
      <c r="E82">
        <v>3</v>
      </c>
      <c r="F82">
        <v>40</v>
      </c>
      <c r="G82">
        <v>5</v>
      </c>
      <c r="H82">
        <v>17</v>
      </c>
      <c r="I82">
        <v>0</v>
      </c>
      <c r="J82">
        <v>558.78</v>
      </c>
      <c r="K82" t="s">
        <v>731</v>
      </c>
      <c r="L82" t="s">
        <v>1604</v>
      </c>
    </row>
    <row r="83" spans="1:12">
      <c r="A83">
        <v>81</v>
      </c>
      <c r="B83" t="s">
        <v>712</v>
      </c>
      <c r="C83" t="s">
        <v>732</v>
      </c>
      <c r="D83">
        <v>2017</v>
      </c>
      <c r="E83">
        <v>3</v>
      </c>
      <c r="F83">
        <v>41</v>
      </c>
      <c r="G83">
        <v>5</v>
      </c>
      <c r="H83">
        <v>17</v>
      </c>
      <c r="I83">
        <v>0</v>
      </c>
      <c r="J83">
        <v>92.51</v>
      </c>
      <c r="K83" t="s">
        <v>731</v>
      </c>
      <c r="L83" t="s">
        <v>1605</v>
      </c>
    </row>
    <row r="84" spans="1:12">
      <c r="A84">
        <v>82</v>
      </c>
      <c r="B84" t="s">
        <v>712</v>
      </c>
      <c r="C84" t="s">
        <v>732</v>
      </c>
      <c r="D84">
        <v>2017</v>
      </c>
      <c r="E84">
        <v>4</v>
      </c>
      <c r="F84">
        <v>17</v>
      </c>
      <c r="G84">
        <v>5</v>
      </c>
      <c r="H84">
        <v>21</v>
      </c>
      <c r="I84">
        <v>0</v>
      </c>
      <c r="J84">
        <v>7574.619999999999</v>
      </c>
      <c r="K84" t="s">
        <v>731</v>
      </c>
      <c r="L84" t="s">
        <v>1600</v>
      </c>
    </row>
    <row r="85" spans="1:12">
      <c r="A85">
        <v>83</v>
      </c>
      <c r="B85" t="s">
        <v>712</v>
      </c>
      <c r="C85" t="s">
        <v>732</v>
      </c>
      <c r="D85">
        <v>2017</v>
      </c>
      <c r="E85">
        <v>4</v>
      </c>
      <c r="F85">
        <v>20</v>
      </c>
      <c r="G85">
        <v>5</v>
      </c>
      <c r="H85">
        <v>21</v>
      </c>
      <c r="I85">
        <v>0</v>
      </c>
      <c r="J85">
        <v>90.889999999999986</v>
      </c>
      <c r="K85" t="s">
        <v>731</v>
      </c>
      <c r="L85" t="s">
        <v>1601</v>
      </c>
    </row>
    <row r="86" spans="1:12">
      <c r="A86">
        <v>84</v>
      </c>
      <c r="B86" t="s">
        <v>712</v>
      </c>
      <c r="C86" t="s">
        <v>732</v>
      </c>
      <c r="D86">
        <v>2017</v>
      </c>
      <c r="E86">
        <v>4</v>
      </c>
      <c r="F86">
        <v>25</v>
      </c>
      <c r="G86">
        <v>5</v>
      </c>
      <c r="H86">
        <v>21</v>
      </c>
      <c r="I86">
        <v>0</v>
      </c>
      <c r="J86">
        <v>329.46</v>
      </c>
      <c r="K86" t="s">
        <v>731</v>
      </c>
      <c r="L86" t="s">
        <v>1616</v>
      </c>
    </row>
    <row r="87" spans="1:12">
      <c r="A87">
        <v>85</v>
      </c>
      <c r="B87" t="s">
        <v>712</v>
      </c>
      <c r="C87" t="s">
        <v>732</v>
      </c>
      <c r="D87">
        <v>2017</v>
      </c>
      <c r="E87">
        <v>4</v>
      </c>
      <c r="F87">
        <v>29</v>
      </c>
      <c r="G87">
        <v>5</v>
      </c>
      <c r="H87">
        <v>21</v>
      </c>
      <c r="I87">
        <v>0</v>
      </c>
      <c r="J87">
        <v>11551.300000000001</v>
      </c>
      <c r="K87" t="s">
        <v>731</v>
      </c>
      <c r="L87" t="s">
        <v>1617</v>
      </c>
    </row>
    <row r="88" spans="1:12">
      <c r="A88">
        <v>86</v>
      </c>
      <c r="B88" t="s">
        <v>712</v>
      </c>
      <c r="C88" t="s">
        <v>732</v>
      </c>
      <c r="D88">
        <v>2017</v>
      </c>
      <c r="E88">
        <v>4</v>
      </c>
      <c r="F88">
        <v>40</v>
      </c>
      <c r="G88">
        <v>5</v>
      </c>
      <c r="H88">
        <v>21</v>
      </c>
      <c r="I88">
        <v>0</v>
      </c>
      <c r="J88">
        <v>590.29999999999995</v>
      </c>
      <c r="K88" t="s">
        <v>731</v>
      </c>
      <c r="L88" t="s">
        <v>1603</v>
      </c>
    </row>
    <row r="89" spans="1:12">
      <c r="A89">
        <v>87</v>
      </c>
      <c r="B89" t="s">
        <v>712</v>
      </c>
      <c r="C89" t="s">
        <v>732</v>
      </c>
      <c r="D89">
        <v>2017</v>
      </c>
      <c r="E89">
        <v>4</v>
      </c>
      <c r="F89">
        <v>40</v>
      </c>
      <c r="G89">
        <v>5</v>
      </c>
      <c r="H89">
        <v>21</v>
      </c>
      <c r="I89">
        <v>0</v>
      </c>
      <c r="J89">
        <v>590.29999999999995</v>
      </c>
      <c r="K89" t="s">
        <v>731</v>
      </c>
      <c r="L89" t="s">
        <v>1604</v>
      </c>
    </row>
    <row r="90" spans="1:12">
      <c r="A90">
        <v>88</v>
      </c>
      <c r="B90" t="s">
        <v>712</v>
      </c>
      <c r="C90" t="s">
        <v>732</v>
      </c>
      <c r="D90">
        <v>2017</v>
      </c>
      <c r="E90">
        <v>4</v>
      </c>
      <c r="F90">
        <v>41</v>
      </c>
      <c r="G90">
        <v>5</v>
      </c>
      <c r="H90">
        <v>21</v>
      </c>
      <c r="I90">
        <v>0</v>
      </c>
      <c r="J90">
        <v>97.73</v>
      </c>
      <c r="K90" t="s">
        <v>731</v>
      </c>
      <c r="L90" t="s">
        <v>1605</v>
      </c>
    </row>
    <row r="91" spans="1:12">
      <c r="A91">
        <v>89</v>
      </c>
      <c r="B91" t="s">
        <v>712</v>
      </c>
      <c r="C91" t="s">
        <v>732</v>
      </c>
      <c r="D91">
        <v>2017</v>
      </c>
      <c r="E91">
        <v>4</v>
      </c>
      <c r="F91">
        <v>45</v>
      </c>
      <c r="G91">
        <v>5</v>
      </c>
      <c r="H91">
        <v>21</v>
      </c>
      <c r="I91">
        <v>0</v>
      </c>
      <c r="J91">
        <v>16385.419999999998</v>
      </c>
      <c r="K91" t="s">
        <v>731</v>
      </c>
      <c r="L91" t="s">
        <v>1606</v>
      </c>
    </row>
    <row r="92" spans="1:12">
      <c r="A92">
        <v>90</v>
      </c>
      <c r="B92" t="s">
        <v>712</v>
      </c>
      <c r="C92" t="s">
        <v>732</v>
      </c>
      <c r="D92">
        <v>2018</v>
      </c>
      <c r="E92">
        <v>1</v>
      </c>
      <c r="F92">
        <v>8</v>
      </c>
      <c r="G92">
        <v>4</v>
      </c>
      <c r="H92">
        <v>8</v>
      </c>
      <c r="I92">
        <v>-95657</v>
      </c>
      <c r="J92">
        <v>-47828</v>
      </c>
      <c r="K92" t="s">
        <v>731</v>
      </c>
      <c r="L92" t="s">
        <v>1599</v>
      </c>
    </row>
    <row r="93" spans="1:12">
      <c r="A93">
        <v>91</v>
      </c>
      <c r="B93" t="s">
        <v>712</v>
      </c>
      <c r="C93" t="s">
        <v>732</v>
      </c>
      <c r="D93">
        <v>2018</v>
      </c>
      <c r="E93">
        <v>1</v>
      </c>
      <c r="F93">
        <v>17</v>
      </c>
      <c r="G93">
        <v>4</v>
      </c>
      <c r="H93">
        <v>8</v>
      </c>
      <c r="I93">
        <v>88896</v>
      </c>
      <c r="J93">
        <v>0</v>
      </c>
      <c r="K93" t="s">
        <v>731</v>
      </c>
      <c r="L93" t="s">
        <v>1612</v>
      </c>
    </row>
    <row r="94" spans="1:12">
      <c r="A94">
        <v>92</v>
      </c>
      <c r="B94" t="s">
        <v>712</v>
      </c>
      <c r="C94" t="s">
        <v>732</v>
      </c>
      <c r="D94">
        <v>2018</v>
      </c>
      <c r="E94">
        <v>1</v>
      </c>
      <c r="F94">
        <v>17</v>
      </c>
      <c r="G94">
        <v>4</v>
      </c>
      <c r="H94">
        <v>8</v>
      </c>
      <c r="I94">
        <v>0</v>
      </c>
      <c r="J94">
        <v>3420.9500000000003</v>
      </c>
      <c r="K94" t="s">
        <v>731</v>
      </c>
      <c r="L94" t="s">
        <v>1600</v>
      </c>
    </row>
    <row r="95" spans="1:12">
      <c r="A95">
        <v>93</v>
      </c>
      <c r="B95" t="s">
        <v>712</v>
      </c>
      <c r="C95" t="s">
        <v>732</v>
      </c>
      <c r="D95">
        <v>2018</v>
      </c>
      <c r="E95">
        <v>1</v>
      </c>
      <c r="F95">
        <v>20</v>
      </c>
      <c r="G95">
        <v>4</v>
      </c>
      <c r="H95">
        <v>8</v>
      </c>
      <c r="I95">
        <v>889</v>
      </c>
      <c r="J95">
        <v>0</v>
      </c>
      <c r="K95" t="s">
        <v>731</v>
      </c>
      <c r="L95" t="s">
        <v>1615</v>
      </c>
    </row>
    <row r="96" spans="1:12">
      <c r="A96">
        <v>94</v>
      </c>
      <c r="B96" t="s">
        <v>712</v>
      </c>
      <c r="C96" t="s">
        <v>732</v>
      </c>
      <c r="D96">
        <v>2018</v>
      </c>
      <c r="E96">
        <v>1</v>
      </c>
      <c r="F96">
        <v>20</v>
      </c>
      <c r="G96">
        <v>4</v>
      </c>
      <c r="H96">
        <v>8</v>
      </c>
      <c r="I96">
        <v>0</v>
      </c>
      <c r="J96">
        <v>34.21</v>
      </c>
      <c r="K96" t="s">
        <v>731</v>
      </c>
      <c r="L96" t="s">
        <v>1601</v>
      </c>
    </row>
    <row r="97" spans="1:12">
      <c r="A97">
        <v>95</v>
      </c>
      <c r="B97" t="s">
        <v>712</v>
      </c>
      <c r="C97" t="s">
        <v>732</v>
      </c>
      <c r="D97">
        <v>2018</v>
      </c>
      <c r="E97">
        <v>1</v>
      </c>
      <c r="F97">
        <v>25</v>
      </c>
      <c r="G97">
        <v>4</v>
      </c>
      <c r="H97">
        <v>8</v>
      </c>
      <c r="I97">
        <v>0</v>
      </c>
      <c r="J97">
        <v>317.04000000000002</v>
      </c>
      <c r="K97" t="s">
        <v>731</v>
      </c>
      <c r="L97" t="s">
        <v>1616</v>
      </c>
    </row>
    <row r="98" spans="1:12">
      <c r="A98">
        <v>96</v>
      </c>
      <c r="B98" t="s">
        <v>712</v>
      </c>
      <c r="C98" t="s">
        <v>732</v>
      </c>
      <c r="D98">
        <v>2018</v>
      </c>
      <c r="E98">
        <v>1</v>
      </c>
      <c r="F98">
        <v>29</v>
      </c>
      <c r="G98">
        <v>4</v>
      </c>
      <c r="H98">
        <v>8</v>
      </c>
      <c r="I98">
        <v>0</v>
      </c>
      <c r="J98">
        <v>7357.5</v>
      </c>
      <c r="K98" t="s">
        <v>731</v>
      </c>
      <c r="L98" t="s">
        <v>1617</v>
      </c>
    </row>
    <row r="99" spans="1:12">
      <c r="A99">
        <v>97</v>
      </c>
      <c r="B99" t="s">
        <v>712</v>
      </c>
      <c r="C99" t="s">
        <v>732</v>
      </c>
      <c r="D99">
        <v>2018</v>
      </c>
      <c r="E99">
        <v>1</v>
      </c>
      <c r="F99">
        <v>40</v>
      </c>
      <c r="G99">
        <v>4</v>
      </c>
      <c r="H99">
        <v>8</v>
      </c>
      <c r="I99">
        <v>5423</v>
      </c>
      <c r="J99">
        <v>350.04</v>
      </c>
      <c r="K99" t="s">
        <v>731</v>
      </c>
      <c r="L99" t="s">
        <v>1603</v>
      </c>
    </row>
    <row r="100" spans="1:12">
      <c r="A100">
        <v>98</v>
      </c>
      <c r="B100" t="s">
        <v>712</v>
      </c>
      <c r="C100" t="s">
        <v>732</v>
      </c>
      <c r="D100">
        <v>2018</v>
      </c>
      <c r="E100">
        <v>1</v>
      </c>
      <c r="F100">
        <v>40</v>
      </c>
      <c r="G100">
        <v>4</v>
      </c>
      <c r="H100">
        <v>8</v>
      </c>
      <c r="I100">
        <v>0</v>
      </c>
      <c r="J100">
        <v>350.03</v>
      </c>
      <c r="K100" t="s">
        <v>731</v>
      </c>
      <c r="L100" t="s">
        <v>1604</v>
      </c>
    </row>
    <row r="101" spans="1:12">
      <c r="A101">
        <v>99</v>
      </c>
      <c r="B101" t="s">
        <v>712</v>
      </c>
      <c r="C101" t="s">
        <v>732</v>
      </c>
      <c r="D101">
        <v>2018</v>
      </c>
      <c r="E101">
        <v>1</v>
      </c>
      <c r="F101">
        <v>41</v>
      </c>
      <c r="G101">
        <v>4</v>
      </c>
      <c r="H101">
        <v>8</v>
      </c>
      <c r="I101">
        <v>449</v>
      </c>
      <c r="J101">
        <v>56.769999999999996</v>
      </c>
      <c r="K101" t="s">
        <v>731</v>
      </c>
      <c r="L101" t="s">
        <v>1605</v>
      </c>
    </row>
    <row r="102" spans="1:12">
      <c r="A102">
        <v>100</v>
      </c>
      <c r="B102" t="s">
        <v>712</v>
      </c>
      <c r="C102" t="s">
        <v>732</v>
      </c>
      <c r="D102">
        <v>2018</v>
      </c>
      <c r="E102">
        <v>2</v>
      </c>
      <c r="F102">
        <v>17</v>
      </c>
      <c r="G102">
        <v>4</v>
      </c>
      <c r="H102">
        <v>12</v>
      </c>
      <c r="I102">
        <v>0</v>
      </c>
      <c r="J102">
        <v>14008.539999999995</v>
      </c>
      <c r="K102" t="s">
        <v>731</v>
      </c>
      <c r="L102" t="s">
        <v>1600</v>
      </c>
    </row>
    <row r="103" spans="1:12">
      <c r="A103">
        <v>101</v>
      </c>
      <c r="B103" t="s">
        <v>712</v>
      </c>
      <c r="C103" t="s">
        <v>732</v>
      </c>
      <c r="D103">
        <v>2018</v>
      </c>
      <c r="E103">
        <v>2</v>
      </c>
      <c r="F103">
        <v>20</v>
      </c>
      <c r="G103">
        <v>4</v>
      </c>
      <c r="H103">
        <v>12</v>
      </c>
      <c r="I103">
        <v>0</v>
      </c>
      <c r="J103">
        <v>140.09</v>
      </c>
      <c r="K103" t="s">
        <v>731</v>
      </c>
      <c r="L103" t="s">
        <v>1601</v>
      </c>
    </row>
    <row r="104" spans="1:12">
      <c r="A104">
        <v>102</v>
      </c>
      <c r="B104" t="s">
        <v>712</v>
      </c>
      <c r="C104" t="s">
        <v>732</v>
      </c>
      <c r="D104">
        <v>2018</v>
      </c>
      <c r="E104">
        <v>2</v>
      </c>
      <c r="F104">
        <v>25</v>
      </c>
      <c r="G104">
        <v>4</v>
      </c>
      <c r="H104">
        <v>12</v>
      </c>
      <c r="I104">
        <v>0</v>
      </c>
      <c r="J104">
        <v>317.04000000000002</v>
      </c>
      <c r="K104" t="s">
        <v>731</v>
      </c>
      <c r="L104" t="s">
        <v>1616</v>
      </c>
    </row>
    <row r="105" spans="1:12">
      <c r="A105">
        <v>103</v>
      </c>
      <c r="B105" t="s">
        <v>712</v>
      </c>
      <c r="C105" t="s">
        <v>732</v>
      </c>
      <c r="D105">
        <v>2018</v>
      </c>
      <c r="E105">
        <v>2</v>
      </c>
      <c r="F105">
        <v>26</v>
      </c>
      <c r="G105">
        <v>4</v>
      </c>
      <c r="H105">
        <v>12</v>
      </c>
      <c r="I105">
        <v>0</v>
      </c>
      <c r="J105">
        <v>106.2</v>
      </c>
      <c r="K105" t="s">
        <v>731</v>
      </c>
      <c r="L105" t="s">
        <v>1618</v>
      </c>
    </row>
    <row r="106" spans="1:12">
      <c r="A106">
        <v>104</v>
      </c>
      <c r="B106" t="s">
        <v>712</v>
      </c>
      <c r="C106" t="s">
        <v>732</v>
      </c>
      <c r="D106">
        <v>2018</v>
      </c>
      <c r="E106">
        <v>2</v>
      </c>
      <c r="F106">
        <v>29</v>
      </c>
      <c r="G106">
        <v>4</v>
      </c>
      <c r="H106">
        <v>12</v>
      </c>
      <c r="I106">
        <v>0</v>
      </c>
      <c r="J106">
        <v>12413.1</v>
      </c>
      <c r="K106" t="s">
        <v>731</v>
      </c>
      <c r="L106" t="s">
        <v>1617</v>
      </c>
    </row>
    <row r="107" spans="1:12">
      <c r="A107">
        <v>105</v>
      </c>
      <c r="B107" t="s">
        <v>712</v>
      </c>
      <c r="C107" t="s">
        <v>732</v>
      </c>
      <c r="D107">
        <v>2018</v>
      </c>
      <c r="E107">
        <v>2</v>
      </c>
      <c r="F107">
        <v>29</v>
      </c>
      <c r="G107">
        <v>4</v>
      </c>
      <c r="H107">
        <v>12</v>
      </c>
      <c r="I107">
        <v>0</v>
      </c>
      <c r="J107">
        <v>19.5</v>
      </c>
      <c r="K107" t="s">
        <v>731</v>
      </c>
      <c r="L107" t="s">
        <v>1608</v>
      </c>
    </row>
    <row r="108" spans="1:12">
      <c r="A108">
        <v>106</v>
      </c>
      <c r="B108" t="s">
        <v>712</v>
      </c>
      <c r="C108" t="s">
        <v>732</v>
      </c>
      <c r="D108">
        <v>2018</v>
      </c>
      <c r="E108">
        <v>2</v>
      </c>
      <c r="F108">
        <v>40</v>
      </c>
      <c r="G108">
        <v>4</v>
      </c>
      <c r="H108">
        <v>12</v>
      </c>
      <c r="I108">
        <v>0</v>
      </c>
      <c r="J108">
        <v>849.28</v>
      </c>
      <c r="K108" t="s">
        <v>731</v>
      </c>
      <c r="L108" t="s">
        <v>1603</v>
      </c>
    </row>
    <row r="109" spans="1:12">
      <c r="A109">
        <v>107</v>
      </c>
      <c r="B109" t="s">
        <v>712</v>
      </c>
      <c r="C109" t="s">
        <v>732</v>
      </c>
      <c r="D109">
        <v>2018</v>
      </c>
      <c r="E109">
        <v>2</v>
      </c>
      <c r="F109">
        <v>40</v>
      </c>
      <c r="G109">
        <v>4</v>
      </c>
      <c r="H109">
        <v>12</v>
      </c>
      <c r="I109">
        <v>0</v>
      </c>
      <c r="J109">
        <v>849.3</v>
      </c>
      <c r="K109" t="s">
        <v>731</v>
      </c>
      <c r="L109" t="s">
        <v>1604</v>
      </c>
    </row>
    <row r="110" spans="1:12">
      <c r="A110">
        <v>108</v>
      </c>
      <c r="B110" t="s">
        <v>712</v>
      </c>
      <c r="C110" t="s">
        <v>732</v>
      </c>
      <c r="D110">
        <v>2018</v>
      </c>
      <c r="E110">
        <v>2</v>
      </c>
      <c r="F110">
        <v>41</v>
      </c>
      <c r="G110">
        <v>4</v>
      </c>
      <c r="H110">
        <v>12</v>
      </c>
      <c r="I110">
        <v>0</v>
      </c>
      <c r="J110">
        <v>137.73000000000002</v>
      </c>
      <c r="K110" t="s">
        <v>731</v>
      </c>
      <c r="L110" t="s">
        <v>1605</v>
      </c>
    </row>
    <row r="111" spans="1:12">
      <c r="A111">
        <v>109</v>
      </c>
      <c r="B111" t="s">
        <v>712</v>
      </c>
      <c r="C111" t="s">
        <v>732</v>
      </c>
      <c r="D111">
        <v>2018</v>
      </c>
      <c r="E111">
        <v>3</v>
      </c>
      <c r="F111">
        <v>8</v>
      </c>
      <c r="G111">
        <v>4</v>
      </c>
      <c r="H111">
        <v>16</v>
      </c>
      <c r="I111">
        <v>0</v>
      </c>
      <c r="J111">
        <v>-47829</v>
      </c>
      <c r="K111" t="s">
        <v>731</v>
      </c>
      <c r="L111" t="s">
        <v>1599</v>
      </c>
    </row>
    <row r="112" spans="1:12">
      <c r="A112">
        <v>110</v>
      </c>
      <c r="B112" t="s">
        <v>712</v>
      </c>
      <c r="C112" t="s">
        <v>732</v>
      </c>
      <c r="D112">
        <v>2018</v>
      </c>
      <c r="E112">
        <v>3</v>
      </c>
      <c r="F112">
        <v>17</v>
      </c>
      <c r="G112">
        <v>4</v>
      </c>
      <c r="H112">
        <v>16</v>
      </c>
      <c r="I112">
        <v>0</v>
      </c>
      <c r="J112">
        <v>7782.6500000000005</v>
      </c>
      <c r="K112" t="s">
        <v>731</v>
      </c>
      <c r="L112" t="s">
        <v>1600</v>
      </c>
    </row>
    <row r="113" spans="1:12">
      <c r="A113">
        <v>111</v>
      </c>
      <c r="B113" t="s">
        <v>712</v>
      </c>
      <c r="C113" t="s">
        <v>732</v>
      </c>
      <c r="D113">
        <v>2018</v>
      </c>
      <c r="E113">
        <v>3</v>
      </c>
      <c r="F113">
        <v>20</v>
      </c>
      <c r="G113">
        <v>4</v>
      </c>
      <c r="H113">
        <v>16</v>
      </c>
      <c r="I113">
        <v>0</v>
      </c>
      <c r="J113">
        <v>77.83</v>
      </c>
      <c r="K113" t="s">
        <v>731</v>
      </c>
      <c r="L113" t="s">
        <v>1601</v>
      </c>
    </row>
    <row r="114" spans="1:12">
      <c r="A114">
        <v>112</v>
      </c>
      <c r="B114" t="s">
        <v>712</v>
      </c>
      <c r="C114" t="s">
        <v>732</v>
      </c>
      <c r="D114">
        <v>2018</v>
      </c>
      <c r="E114">
        <v>3</v>
      </c>
      <c r="F114">
        <v>25</v>
      </c>
      <c r="G114">
        <v>4</v>
      </c>
      <c r="H114">
        <v>16</v>
      </c>
      <c r="I114">
        <v>0</v>
      </c>
      <c r="J114">
        <v>317.04000000000002</v>
      </c>
      <c r="K114" t="s">
        <v>731</v>
      </c>
      <c r="L114" t="s">
        <v>1616</v>
      </c>
    </row>
    <row r="115" spans="1:12">
      <c r="A115">
        <v>113</v>
      </c>
      <c r="B115" t="s">
        <v>712</v>
      </c>
      <c r="C115" t="s">
        <v>732</v>
      </c>
      <c r="D115">
        <v>2018</v>
      </c>
      <c r="E115">
        <v>3</v>
      </c>
      <c r="F115">
        <v>29</v>
      </c>
      <c r="G115">
        <v>4</v>
      </c>
      <c r="H115">
        <v>16</v>
      </c>
      <c r="I115">
        <v>0</v>
      </c>
      <c r="J115">
        <v>9547.2999999999993</v>
      </c>
      <c r="K115" t="s">
        <v>731</v>
      </c>
      <c r="L115" t="s">
        <v>1617</v>
      </c>
    </row>
    <row r="116" spans="1:12">
      <c r="A116">
        <v>114</v>
      </c>
      <c r="B116" t="s">
        <v>712</v>
      </c>
      <c r="C116" t="s">
        <v>732</v>
      </c>
      <c r="D116">
        <v>2018</v>
      </c>
      <c r="E116">
        <v>3</v>
      </c>
      <c r="F116">
        <v>40</v>
      </c>
      <c r="G116">
        <v>4</v>
      </c>
      <c r="H116">
        <v>16</v>
      </c>
      <c r="I116">
        <v>0</v>
      </c>
      <c r="J116">
        <v>557.43999999999994</v>
      </c>
      <c r="K116" t="s">
        <v>731</v>
      </c>
      <c r="L116" t="s">
        <v>1603</v>
      </c>
    </row>
    <row r="117" spans="1:12">
      <c r="A117">
        <v>115</v>
      </c>
      <c r="B117" t="s">
        <v>712</v>
      </c>
      <c r="C117" t="s">
        <v>732</v>
      </c>
      <c r="D117">
        <v>2018</v>
      </c>
      <c r="E117">
        <v>3</v>
      </c>
      <c r="F117">
        <v>40</v>
      </c>
      <c r="G117">
        <v>4</v>
      </c>
      <c r="H117">
        <v>16</v>
      </c>
      <c r="I117">
        <v>0</v>
      </c>
      <c r="J117">
        <v>557.44999999999993</v>
      </c>
      <c r="K117" t="s">
        <v>731</v>
      </c>
      <c r="L117" t="s">
        <v>1604</v>
      </c>
    </row>
    <row r="118" spans="1:12">
      <c r="A118">
        <v>116</v>
      </c>
      <c r="B118" t="s">
        <v>712</v>
      </c>
      <c r="C118" t="s">
        <v>732</v>
      </c>
      <c r="D118">
        <v>2018</v>
      </c>
      <c r="E118">
        <v>3</v>
      </c>
      <c r="F118">
        <v>41</v>
      </c>
      <c r="G118">
        <v>4</v>
      </c>
      <c r="H118">
        <v>16</v>
      </c>
      <c r="I118">
        <v>0</v>
      </c>
      <c r="J118">
        <v>90.41</v>
      </c>
      <c r="K118" t="s">
        <v>731</v>
      </c>
      <c r="L118" t="s">
        <v>1605</v>
      </c>
    </row>
    <row r="119" spans="1:12">
      <c r="A119">
        <v>117</v>
      </c>
      <c r="B119" t="s">
        <v>712</v>
      </c>
      <c r="C119" t="s">
        <v>732</v>
      </c>
      <c r="D119">
        <v>2018</v>
      </c>
      <c r="E119">
        <v>4</v>
      </c>
      <c r="F119">
        <v>11</v>
      </c>
      <c r="G119">
        <v>4</v>
      </c>
      <c r="H119">
        <v>20</v>
      </c>
      <c r="I119">
        <v>0</v>
      </c>
      <c r="J119">
        <v>-483</v>
      </c>
      <c r="K119" t="s">
        <v>731</v>
      </c>
      <c r="L119" t="s">
        <v>1607</v>
      </c>
    </row>
    <row r="120" spans="1:12">
      <c r="A120">
        <v>118</v>
      </c>
      <c r="B120" t="s">
        <v>712</v>
      </c>
      <c r="C120" t="s">
        <v>732</v>
      </c>
      <c r="D120">
        <v>2018</v>
      </c>
      <c r="E120">
        <v>4</v>
      </c>
      <c r="F120">
        <v>17</v>
      </c>
      <c r="G120">
        <v>4</v>
      </c>
      <c r="H120">
        <v>20</v>
      </c>
      <c r="I120">
        <v>0</v>
      </c>
      <c r="J120">
        <v>8046.2400000000025</v>
      </c>
      <c r="K120" t="s">
        <v>731</v>
      </c>
      <c r="L120" t="s">
        <v>1600</v>
      </c>
    </row>
    <row r="121" spans="1:12">
      <c r="A121">
        <v>119</v>
      </c>
      <c r="B121" t="s">
        <v>712</v>
      </c>
      <c r="C121" t="s">
        <v>732</v>
      </c>
      <c r="D121">
        <v>2018</v>
      </c>
      <c r="E121">
        <v>4</v>
      </c>
      <c r="F121">
        <v>17</v>
      </c>
      <c r="G121">
        <v>4</v>
      </c>
      <c r="H121">
        <v>20</v>
      </c>
      <c r="I121">
        <v>0</v>
      </c>
      <c r="J121">
        <v>419.17000000000007</v>
      </c>
      <c r="K121" t="s">
        <v>731</v>
      </c>
      <c r="L121" t="s">
        <v>1613</v>
      </c>
    </row>
    <row r="122" spans="1:12">
      <c r="A122">
        <v>120</v>
      </c>
      <c r="B122" t="s">
        <v>712</v>
      </c>
      <c r="C122" t="s">
        <v>732</v>
      </c>
      <c r="D122">
        <v>2018</v>
      </c>
      <c r="E122">
        <v>4</v>
      </c>
      <c r="F122">
        <v>20</v>
      </c>
      <c r="G122">
        <v>4</v>
      </c>
      <c r="H122">
        <v>20</v>
      </c>
      <c r="I122">
        <v>0</v>
      </c>
      <c r="J122">
        <v>84.65</v>
      </c>
      <c r="K122" t="s">
        <v>731</v>
      </c>
      <c r="L122" t="s">
        <v>1601</v>
      </c>
    </row>
    <row r="123" spans="1:12">
      <c r="A123">
        <v>121</v>
      </c>
      <c r="B123" t="s">
        <v>712</v>
      </c>
      <c r="C123" t="s">
        <v>732</v>
      </c>
      <c r="D123">
        <v>2018</v>
      </c>
      <c r="E123">
        <v>4</v>
      </c>
      <c r="F123">
        <v>25</v>
      </c>
      <c r="G123">
        <v>4</v>
      </c>
      <c r="H123">
        <v>20</v>
      </c>
      <c r="I123">
        <v>0</v>
      </c>
      <c r="J123">
        <v>317.04000000000002</v>
      </c>
      <c r="K123" t="s">
        <v>731</v>
      </c>
      <c r="L123" t="s">
        <v>1616</v>
      </c>
    </row>
    <row r="124" spans="1:12">
      <c r="A124">
        <v>122</v>
      </c>
      <c r="B124" t="s">
        <v>712</v>
      </c>
      <c r="C124" t="s">
        <v>732</v>
      </c>
      <c r="D124">
        <v>2018</v>
      </c>
      <c r="E124">
        <v>4</v>
      </c>
      <c r="F124">
        <v>26</v>
      </c>
      <c r="G124">
        <v>4</v>
      </c>
      <c r="H124">
        <v>20</v>
      </c>
      <c r="I124">
        <v>0</v>
      </c>
      <c r="J124">
        <v>-106.2</v>
      </c>
      <c r="K124" t="s">
        <v>731</v>
      </c>
      <c r="L124" t="s">
        <v>1618</v>
      </c>
    </row>
    <row r="125" spans="1:12">
      <c r="A125">
        <v>123</v>
      </c>
      <c r="B125" t="s">
        <v>712</v>
      </c>
      <c r="C125" t="s">
        <v>732</v>
      </c>
      <c r="D125">
        <v>2018</v>
      </c>
      <c r="E125">
        <v>4</v>
      </c>
      <c r="F125">
        <v>29</v>
      </c>
      <c r="G125">
        <v>4</v>
      </c>
      <c r="H125">
        <v>20</v>
      </c>
      <c r="I125">
        <v>0</v>
      </c>
      <c r="J125">
        <v>9724.4</v>
      </c>
      <c r="K125" t="s">
        <v>731</v>
      </c>
      <c r="L125" t="s">
        <v>1617</v>
      </c>
    </row>
    <row r="126" spans="1:12">
      <c r="A126">
        <v>124</v>
      </c>
      <c r="B126" t="s">
        <v>712</v>
      </c>
      <c r="C126" t="s">
        <v>732</v>
      </c>
      <c r="D126">
        <v>2018</v>
      </c>
      <c r="E126">
        <v>4</v>
      </c>
      <c r="F126">
        <v>29</v>
      </c>
      <c r="G126">
        <v>4</v>
      </c>
      <c r="H126">
        <v>20</v>
      </c>
      <c r="I126">
        <v>0</v>
      </c>
      <c r="J126">
        <v>-19.5</v>
      </c>
      <c r="K126" t="s">
        <v>731</v>
      </c>
      <c r="L126" t="s">
        <v>1608</v>
      </c>
    </row>
    <row r="127" spans="1:12">
      <c r="A127">
        <v>125</v>
      </c>
      <c r="B127" t="s">
        <v>712</v>
      </c>
      <c r="C127" t="s">
        <v>732</v>
      </c>
      <c r="D127">
        <v>2018</v>
      </c>
      <c r="E127">
        <v>4</v>
      </c>
      <c r="F127">
        <v>40</v>
      </c>
      <c r="G127">
        <v>4</v>
      </c>
      <c r="H127">
        <v>20</v>
      </c>
      <c r="I127">
        <v>0</v>
      </c>
      <c r="J127">
        <v>580.75</v>
      </c>
      <c r="K127" t="s">
        <v>731</v>
      </c>
      <c r="L127" t="s">
        <v>1603</v>
      </c>
    </row>
    <row r="128" spans="1:12">
      <c r="A128">
        <v>126</v>
      </c>
      <c r="B128" t="s">
        <v>712</v>
      </c>
      <c r="C128" t="s">
        <v>732</v>
      </c>
      <c r="D128">
        <v>2018</v>
      </c>
      <c r="E128">
        <v>4</v>
      </c>
      <c r="F128">
        <v>40</v>
      </c>
      <c r="G128">
        <v>4</v>
      </c>
      <c r="H128">
        <v>20</v>
      </c>
      <c r="I128">
        <v>0</v>
      </c>
      <c r="J128">
        <v>580.75000000000011</v>
      </c>
      <c r="K128" t="s">
        <v>731</v>
      </c>
      <c r="L128" t="s">
        <v>1604</v>
      </c>
    </row>
    <row r="129" spans="1:12">
      <c r="A129">
        <v>127</v>
      </c>
      <c r="B129" t="s">
        <v>712</v>
      </c>
      <c r="C129" t="s">
        <v>732</v>
      </c>
      <c r="D129">
        <v>2018</v>
      </c>
      <c r="E129">
        <v>4</v>
      </c>
      <c r="F129">
        <v>41</v>
      </c>
      <c r="G129">
        <v>4</v>
      </c>
      <c r="H129">
        <v>20</v>
      </c>
      <c r="I129">
        <v>0</v>
      </c>
      <c r="J129">
        <v>94.17</v>
      </c>
      <c r="K129" t="s">
        <v>731</v>
      </c>
      <c r="L129" t="s">
        <v>1605</v>
      </c>
    </row>
    <row r="130" spans="1:12">
      <c r="A130">
        <v>128</v>
      </c>
      <c r="B130" t="s">
        <v>712</v>
      </c>
      <c r="C130" t="s">
        <v>732</v>
      </c>
      <c r="D130">
        <v>2018</v>
      </c>
      <c r="E130">
        <v>4</v>
      </c>
      <c r="F130">
        <v>45</v>
      </c>
      <c r="G130">
        <v>4</v>
      </c>
      <c r="H130">
        <v>20</v>
      </c>
      <c r="I130">
        <v>0</v>
      </c>
      <c r="J130">
        <v>16761.09</v>
      </c>
      <c r="K130" t="s">
        <v>731</v>
      </c>
      <c r="L130" t="s">
        <v>1606</v>
      </c>
    </row>
    <row r="131" spans="1:12">
      <c r="A131">
        <v>129</v>
      </c>
      <c r="B131" t="s">
        <v>712</v>
      </c>
      <c r="C131" t="s">
        <v>732</v>
      </c>
      <c r="D131">
        <v>2019</v>
      </c>
      <c r="E131">
        <v>1</v>
      </c>
      <c r="F131">
        <v>8</v>
      </c>
      <c r="G131">
        <v>3</v>
      </c>
      <c r="H131">
        <v>7</v>
      </c>
      <c r="I131">
        <v>-95890</v>
      </c>
      <c r="J131">
        <v>-47945</v>
      </c>
      <c r="K131" t="s">
        <v>731</v>
      </c>
      <c r="L131" t="s">
        <v>1599</v>
      </c>
    </row>
    <row r="132" spans="1:12">
      <c r="A132">
        <v>130</v>
      </c>
      <c r="B132" t="s">
        <v>712</v>
      </c>
      <c r="C132" t="s">
        <v>732</v>
      </c>
      <c r="D132">
        <v>2019</v>
      </c>
      <c r="E132">
        <v>1</v>
      </c>
      <c r="F132">
        <v>17</v>
      </c>
      <c r="G132">
        <v>3</v>
      </c>
      <c r="H132">
        <v>7</v>
      </c>
      <c r="I132">
        <v>48302</v>
      </c>
      <c r="J132">
        <v>0</v>
      </c>
      <c r="K132" t="s">
        <v>731</v>
      </c>
      <c r="L132" t="s">
        <v>1612</v>
      </c>
    </row>
    <row r="133" spans="1:12">
      <c r="A133">
        <v>131</v>
      </c>
      <c r="B133" t="s">
        <v>712</v>
      </c>
      <c r="C133" t="s">
        <v>732</v>
      </c>
      <c r="D133">
        <v>2019</v>
      </c>
      <c r="E133">
        <v>1</v>
      </c>
      <c r="F133">
        <v>17</v>
      </c>
      <c r="G133">
        <v>3</v>
      </c>
      <c r="H133">
        <v>7</v>
      </c>
      <c r="I133">
        <v>0</v>
      </c>
      <c r="J133">
        <v>3734.87</v>
      </c>
      <c r="K133" t="s">
        <v>731</v>
      </c>
      <c r="L133" t="s">
        <v>1600</v>
      </c>
    </row>
    <row r="134" spans="1:12">
      <c r="A134">
        <v>132</v>
      </c>
      <c r="B134" t="s">
        <v>712</v>
      </c>
      <c r="C134" t="s">
        <v>732</v>
      </c>
      <c r="D134">
        <v>2019</v>
      </c>
      <c r="E134">
        <v>1</v>
      </c>
      <c r="F134">
        <v>20</v>
      </c>
      <c r="G134">
        <v>3</v>
      </c>
      <c r="H134">
        <v>7</v>
      </c>
      <c r="I134">
        <v>483</v>
      </c>
      <c r="J134">
        <v>0</v>
      </c>
      <c r="K134" t="s">
        <v>731</v>
      </c>
      <c r="L134" t="s">
        <v>1615</v>
      </c>
    </row>
    <row r="135" spans="1:12">
      <c r="A135">
        <v>133</v>
      </c>
      <c r="B135" t="s">
        <v>712</v>
      </c>
      <c r="C135" t="s">
        <v>732</v>
      </c>
      <c r="D135">
        <v>2019</v>
      </c>
      <c r="E135">
        <v>1</v>
      </c>
      <c r="F135">
        <v>20</v>
      </c>
      <c r="G135">
        <v>3</v>
      </c>
      <c r="H135">
        <v>7</v>
      </c>
      <c r="I135">
        <v>0</v>
      </c>
      <c r="J135">
        <v>29.88</v>
      </c>
      <c r="K135" t="s">
        <v>731</v>
      </c>
      <c r="L135" t="s">
        <v>1601</v>
      </c>
    </row>
    <row r="136" spans="1:12">
      <c r="A136">
        <v>134</v>
      </c>
      <c r="B136" t="s">
        <v>712</v>
      </c>
      <c r="C136" t="s">
        <v>732</v>
      </c>
      <c r="D136">
        <v>2019</v>
      </c>
      <c r="E136">
        <v>1</v>
      </c>
      <c r="F136">
        <v>23</v>
      </c>
      <c r="G136">
        <v>3</v>
      </c>
      <c r="H136">
        <v>7</v>
      </c>
      <c r="I136">
        <v>41000</v>
      </c>
      <c r="J136">
        <v>0</v>
      </c>
      <c r="K136" t="s">
        <v>731</v>
      </c>
      <c r="L136" t="s">
        <v>1602</v>
      </c>
    </row>
    <row r="137" spans="1:12">
      <c r="A137">
        <v>135</v>
      </c>
      <c r="B137" t="s">
        <v>712</v>
      </c>
      <c r="C137" t="s">
        <v>732</v>
      </c>
      <c r="D137">
        <v>2019</v>
      </c>
      <c r="E137">
        <v>1</v>
      </c>
      <c r="F137">
        <v>25</v>
      </c>
      <c r="G137">
        <v>3</v>
      </c>
      <c r="H137">
        <v>7</v>
      </c>
      <c r="I137">
        <v>0</v>
      </c>
      <c r="J137">
        <v>260.04000000000002</v>
      </c>
      <c r="K137" t="s">
        <v>731</v>
      </c>
      <c r="L137" t="s">
        <v>1616</v>
      </c>
    </row>
    <row r="138" spans="1:12">
      <c r="A138">
        <v>136</v>
      </c>
      <c r="B138" t="s">
        <v>712</v>
      </c>
      <c r="C138" t="s">
        <v>732</v>
      </c>
      <c r="D138">
        <v>2019</v>
      </c>
      <c r="E138">
        <v>1</v>
      </c>
      <c r="F138">
        <v>29</v>
      </c>
      <c r="G138">
        <v>3</v>
      </c>
      <c r="H138">
        <v>7</v>
      </c>
      <c r="I138">
        <v>0</v>
      </c>
      <c r="J138">
        <v>5683.2999999999993</v>
      </c>
      <c r="K138" t="s">
        <v>731</v>
      </c>
      <c r="L138" t="s">
        <v>1617</v>
      </c>
    </row>
    <row r="139" spans="1:12">
      <c r="A139">
        <v>137</v>
      </c>
      <c r="B139" t="s">
        <v>712</v>
      </c>
      <c r="C139" t="s">
        <v>732</v>
      </c>
      <c r="D139">
        <v>2019</v>
      </c>
      <c r="E139">
        <v>1</v>
      </c>
      <c r="F139">
        <v>40</v>
      </c>
      <c r="G139">
        <v>3</v>
      </c>
      <c r="H139">
        <v>7</v>
      </c>
      <c r="I139">
        <v>5647</v>
      </c>
      <c r="J139">
        <v>328.13</v>
      </c>
      <c r="K139" t="s">
        <v>731</v>
      </c>
      <c r="L139" t="s">
        <v>1603</v>
      </c>
    </row>
    <row r="140" spans="1:12">
      <c r="A140">
        <v>138</v>
      </c>
      <c r="B140" t="s">
        <v>712</v>
      </c>
      <c r="C140" t="s">
        <v>732</v>
      </c>
      <c r="D140">
        <v>2019</v>
      </c>
      <c r="E140">
        <v>1</v>
      </c>
      <c r="F140">
        <v>40</v>
      </c>
      <c r="G140">
        <v>3</v>
      </c>
      <c r="H140">
        <v>7</v>
      </c>
      <c r="I140">
        <v>0</v>
      </c>
      <c r="J140">
        <v>328.14</v>
      </c>
      <c r="K140" t="s">
        <v>731</v>
      </c>
      <c r="L140" t="s">
        <v>1604</v>
      </c>
    </row>
    <row r="141" spans="1:12">
      <c r="A141">
        <v>139</v>
      </c>
      <c r="B141" t="s">
        <v>712</v>
      </c>
      <c r="C141" t="s">
        <v>732</v>
      </c>
      <c r="D141">
        <v>2019</v>
      </c>
      <c r="E141">
        <v>1</v>
      </c>
      <c r="F141">
        <v>41</v>
      </c>
      <c r="G141">
        <v>3</v>
      </c>
      <c r="H141">
        <v>7</v>
      </c>
      <c r="I141">
        <v>458</v>
      </c>
      <c r="J141">
        <v>60.2</v>
      </c>
      <c r="K141" t="s">
        <v>731</v>
      </c>
      <c r="L141" t="s">
        <v>1605</v>
      </c>
    </row>
    <row r="142" spans="1:12">
      <c r="A142">
        <v>140</v>
      </c>
      <c r="B142" t="s">
        <v>712</v>
      </c>
      <c r="C142" t="s">
        <v>732</v>
      </c>
      <c r="D142">
        <v>2019</v>
      </c>
      <c r="E142">
        <v>2</v>
      </c>
      <c r="F142">
        <v>17</v>
      </c>
      <c r="G142">
        <v>3</v>
      </c>
      <c r="H142">
        <v>11</v>
      </c>
      <c r="I142">
        <v>0</v>
      </c>
      <c r="J142">
        <v>12865.659999999987</v>
      </c>
      <c r="K142" t="s">
        <v>731</v>
      </c>
      <c r="L142" t="s">
        <v>1600</v>
      </c>
    </row>
    <row r="143" spans="1:12">
      <c r="A143">
        <v>141</v>
      </c>
      <c r="B143" t="s">
        <v>712</v>
      </c>
      <c r="C143" t="s">
        <v>732</v>
      </c>
      <c r="D143">
        <v>2019</v>
      </c>
      <c r="E143">
        <v>2</v>
      </c>
      <c r="F143">
        <v>20</v>
      </c>
      <c r="G143">
        <v>3</v>
      </c>
      <c r="H143">
        <v>11</v>
      </c>
      <c r="I143">
        <v>0</v>
      </c>
      <c r="J143">
        <v>102.92</v>
      </c>
      <c r="K143" t="s">
        <v>731</v>
      </c>
      <c r="L143" t="s">
        <v>1601</v>
      </c>
    </row>
    <row r="144" spans="1:12">
      <c r="A144">
        <v>142</v>
      </c>
      <c r="B144" t="s">
        <v>712</v>
      </c>
      <c r="C144" t="s">
        <v>732</v>
      </c>
      <c r="D144">
        <v>2019</v>
      </c>
      <c r="E144">
        <v>2</v>
      </c>
      <c r="F144">
        <v>25</v>
      </c>
      <c r="G144">
        <v>3</v>
      </c>
      <c r="H144">
        <v>11</v>
      </c>
      <c r="I144">
        <v>0</v>
      </c>
      <c r="J144">
        <v>260.04000000000002</v>
      </c>
      <c r="K144" t="s">
        <v>731</v>
      </c>
      <c r="L144" t="s">
        <v>1616</v>
      </c>
    </row>
    <row r="145" spans="1:12">
      <c r="A145">
        <v>143</v>
      </c>
      <c r="B145" t="s">
        <v>712</v>
      </c>
      <c r="C145" t="s">
        <v>732</v>
      </c>
      <c r="D145">
        <v>2019</v>
      </c>
      <c r="E145">
        <v>2</v>
      </c>
      <c r="F145">
        <v>29</v>
      </c>
      <c r="G145">
        <v>3</v>
      </c>
      <c r="H145">
        <v>11</v>
      </c>
      <c r="I145">
        <v>0</v>
      </c>
      <c r="J145">
        <v>10561.6</v>
      </c>
      <c r="K145" t="s">
        <v>731</v>
      </c>
      <c r="L145" t="s">
        <v>1617</v>
      </c>
    </row>
    <row r="146" spans="1:12">
      <c r="A146">
        <v>144</v>
      </c>
      <c r="B146" t="s">
        <v>712</v>
      </c>
      <c r="C146" t="s">
        <v>732</v>
      </c>
      <c r="D146">
        <v>2019</v>
      </c>
      <c r="E146">
        <v>2</v>
      </c>
      <c r="F146">
        <v>40</v>
      </c>
      <c r="G146">
        <v>3</v>
      </c>
      <c r="H146">
        <v>11</v>
      </c>
      <c r="I146">
        <v>0</v>
      </c>
      <c r="J146">
        <v>804.10000000000014</v>
      </c>
      <c r="K146" t="s">
        <v>731</v>
      </c>
      <c r="L146" t="s">
        <v>1603</v>
      </c>
    </row>
    <row r="147" spans="1:12">
      <c r="A147">
        <v>145</v>
      </c>
      <c r="B147" t="s">
        <v>712</v>
      </c>
      <c r="C147" t="s">
        <v>732</v>
      </c>
      <c r="D147">
        <v>2019</v>
      </c>
      <c r="E147">
        <v>2</v>
      </c>
      <c r="F147">
        <v>40</v>
      </c>
      <c r="G147">
        <v>3</v>
      </c>
      <c r="H147">
        <v>11</v>
      </c>
      <c r="I147">
        <v>0</v>
      </c>
      <c r="J147">
        <v>804.12000000000012</v>
      </c>
      <c r="K147" t="s">
        <v>731</v>
      </c>
      <c r="L147" t="s">
        <v>1604</v>
      </c>
    </row>
    <row r="148" spans="1:12">
      <c r="A148">
        <v>146</v>
      </c>
      <c r="B148" t="s">
        <v>712</v>
      </c>
      <c r="C148" t="s">
        <v>732</v>
      </c>
      <c r="D148">
        <v>2019</v>
      </c>
      <c r="E148">
        <v>2</v>
      </c>
      <c r="F148">
        <v>41</v>
      </c>
      <c r="G148">
        <v>3</v>
      </c>
      <c r="H148">
        <v>11</v>
      </c>
      <c r="I148">
        <v>0</v>
      </c>
      <c r="J148">
        <v>147.5</v>
      </c>
      <c r="K148" t="s">
        <v>731</v>
      </c>
      <c r="L148" t="s">
        <v>1605</v>
      </c>
    </row>
    <row r="149" spans="1:12">
      <c r="A149">
        <v>147</v>
      </c>
      <c r="B149" t="s">
        <v>712</v>
      </c>
      <c r="C149" t="s">
        <v>732</v>
      </c>
      <c r="D149">
        <v>2019</v>
      </c>
      <c r="E149">
        <v>3</v>
      </c>
      <c r="F149">
        <v>8</v>
      </c>
      <c r="G149">
        <v>3</v>
      </c>
      <c r="H149">
        <v>15</v>
      </c>
      <c r="I149">
        <v>0</v>
      </c>
      <c r="J149">
        <v>-47945</v>
      </c>
      <c r="K149" t="s">
        <v>731</v>
      </c>
      <c r="L149" t="s">
        <v>1599</v>
      </c>
    </row>
    <row r="150" spans="1:12">
      <c r="A150">
        <v>148</v>
      </c>
      <c r="B150" t="s">
        <v>712</v>
      </c>
      <c r="C150" t="s">
        <v>732</v>
      </c>
      <c r="D150">
        <v>2019</v>
      </c>
      <c r="E150">
        <v>3</v>
      </c>
      <c r="F150">
        <v>17</v>
      </c>
      <c r="G150">
        <v>3</v>
      </c>
      <c r="H150">
        <v>15</v>
      </c>
      <c r="I150">
        <v>0</v>
      </c>
      <c r="J150">
        <v>9905.2699999999986</v>
      </c>
      <c r="K150" t="s">
        <v>731</v>
      </c>
      <c r="L150" t="s">
        <v>1600</v>
      </c>
    </row>
    <row r="151" spans="1:12">
      <c r="A151">
        <v>149</v>
      </c>
      <c r="B151" t="s">
        <v>712</v>
      </c>
      <c r="C151" t="s">
        <v>732</v>
      </c>
      <c r="D151">
        <v>2019</v>
      </c>
      <c r="E151">
        <v>3</v>
      </c>
      <c r="F151">
        <v>20</v>
      </c>
      <c r="G151">
        <v>3</v>
      </c>
      <c r="H151">
        <v>15</v>
      </c>
      <c r="I151">
        <v>0</v>
      </c>
      <c r="J151">
        <v>79.239999999999995</v>
      </c>
      <c r="K151" t="s">
        <v>731</v>
      </c>
      <c r="L151" t="s">
        <v>1601</v>
      </c>
    </row>
    <row r="152" spans="1:12">
      <c r="A152">
        <v>150</v>
      </c>
      <c r="B152" t="s">
        <v>712</v>
      </c>
      <c r="C152" t="s">
        <v>732</v>
      </c>
      <c r="D152">
        <v>2019</v>
      </c>
      <c r="E152">
        <v>3</v>
      </c>
      <c r="F152">
        <v>25</v>
      </c>
      <c r="G152">
        <v>3</v>
      </c>
      <c r="H152">
        <v>15</v>
      </c>
      <c r="I152">
        <v>0</v>
      </c>
      <c r="J152">
        <v>260.04000000000002</v>
      </c>
      <c r="K152" t="s">
        <v>731</v>
      </c>
      <c r="L152" t="s">
        <v>1616</v>
      </c>
    </row>
    <row r="153" spans="1:12">
      <c r="A153">
        <v>151</v>
      </c>
      <c r="B153" t="s">
        <v>712</v>
      </c>
      <c r="C153" t="s">
        <v>732</v>
      </c>
      <c r="D153">
        <v>2019</v>
      </c>
      <c r="E153">
        <v>3</v>
      </c>
      <c r="F153">
        <v>29</v>
      </c>
      <c r="G153">
        <v>3</v>
      </c>
      <c r="H153">
        <v>15</v>
      </c>
      <c r="I153">
        <v>0</v>
      </c>
      <c r="J153">
        <v>9048.2000000000007</v>
      </c>
      <c r="K153" t="s">
        <v>731</v>
      </c>
      <c r="L153" t="s">
        <v>1617</v>
      </c>
    </row>
    <row r="154" spans="1:12">
      <c r="A154">
        <v>152</v>
      </c>
      <c r="B154" t="s">
        <v>712</v>
      </c>
      <c r="C154" t="s">
        <v>732</v>
      </c>
      <c r="D154">
        <v>2019</v>
      </c>
      <c r="E154">
        <v>3</v>
      </c>
      <c r="F154">
        <v>40</v>
      </c>
      <c r="G154">
        <v>3</v>
      </c>
      <c r="H154">
        <v>15</v>
      </c>
      <c r="I154">
        <v>0</v>
      </c>
      <c r="J154">
        <v>652.1</v>
      </c>
      <c r="K154" t="s">
        <v>731</v>
      </c>
      <c r="L154" t="s">
        <v>1603</v>
      </c>
    </row>
    <row r="155" spans="1:12">
      <c r="A155">
        <v>153</v>
      </c>
      <c r="B155" t="s">
        <v>712</v>
      </c>
      <c r="C155" t="s">
        <v>732</v>
      </c>
      <c r="D155">
        <v>2019</v>
      </c>
      <c r="E155">
        <v>3</v>
      </c>
      <c r="F155">
        <v>40</v>
      </c>
      <c r="G155">
        <v>3</v>
      </c>
      <c r="H155">
        <v>15</v>
      </c>
      <c r="I155">
        <v>0</v>
      </c>
      <c r="J155">
        <v>652.09</v>
      </c>
      <c r="K155" t="s">
        <v>731</v>
      </c>
      <c r="L155" t="s">
        <v>1604</v>
      </c>
    </row>
    <row r="156" spans="1:12">
      <c r="A156">
        <v>154</v>
      </c>
      <c r="B156" t="s">
        <v>712</v>
      </c>
      <c r="C156" t="s">
        <v>732</v>
      </c>
      <c r="D156">
        <v>2019</v>
      </c>
      <c r="E156">
        <v>3</v>
      </c>
      <c r="F156">
        <v>41</v>
      </c>
      <c r="G156">
        <v>3</v>
      </c>
      <c r="H156">
        <v>15</v>
      </c>
      <c r="I156">
        <v>0</v>
      </c>
      <c r="J156">
        <v>119.60999999999999</v>
      </c>
      <c r="K156" t="s">
        <v>731</v>
      </c>
      <c r="L156" t="s">
        <v>1605</v>
      </c>
    </row>
    <row r="157" spans="1:12">
      <c r="A157">
        <v>155</v>
      </c>
      <c r="B157" t="s">
        <v>712</v>
      </c>
      <c r="C157" t="s">
        <v>732</v>
      </c>
      <c r="D157">
        <v>2019</v>
      </c>
      <c r="E157">
        <v>4</v>
      </c>
      <c r="F157">
        <v>17</v>
      </c>
      <c r="G157">
        <v>3</v>
      </c>
      <c r="H157">
        <v>19</v>
      </c>
      <c r="I157">
        <v>0</v>
      </c>
      <c r="J157">
        <v>10068.299999999997</v>
      </c>
      <c r="K157" t="s">
        <v>731</v>
      </c>
      <c r="L157" t="s">
        <v>1600</v>
      </c>
    </row>
    <row r="158" spans="1:12">
      <c r="A158">
        <v>156</v>
      </c>
      <c r="B158" t="s">
        <v>712</v>
      </c>
      <c r="C158" t="s">
        <v>732</v>
      </c>
      <c r="D158">
        <v>2019</v>
      </c>
      <c r="E158">
        <v>4</v>
      </c>
      <c r="F158">
        <v>20</v>
      </c>
      <c r="G158">
        <v>3</v>
      </c>
      <c r="H158">
        <v>19</v>
      </c>
      <c r="I158">
        <v>0</v>
      </c>
      <c r="J158">
        <v>80.55</v>
      </c>
      <c r="K158" t="s">
        <v>731</v>
      </c>
      <c r="L158" t="s">
        <v>1601</v>
      </c>
    </row>
    <row r="159" spans="1:12">
      <c r="A159">
        <v>157</v>
      </c>
      <c r="B159" t="s">
        <v>712</v>
      </c>
      <c r="C159" t="s">
        <v>732</v>
      </c>
      <c r="D159">
        <v>2019</v>
      </c>
      <c r="E159">
        <v>4</v>
      </c>
      <c r="F159">
        <v>25</v>
      </c>
      <c r="G159">
        <v>3</v>
      </c>
      <c r="H159">
        <v>19</v>
      </c>
      <c r="I159">
        <v>0</v>
      </c>
      <c r="J159">
        <v>260.04000000000002</v>
      </c>
      <c r="K159" t="s">
        <v>731</v>
      </c>
      <c r="L159" t="s">
        <v>1616</v>
      </c>
    </row>
    <row r="160" spans="1:12">
      <c r="A160">
        <v>158</v>
      </c>
      <c r="B160" t="s">
        <v>712</v>
      </c>
      <c r="C160" t="s">
        <v>732</v>
      </c>
      <c r="D160">
        <v>2019</v>
      </c>
      <c r="E160">
        <v>4</v>
      </c>
      <c r="F160">
        <v>29</v>
      </c>
      <c r="G160">
        <v>3</v>
      </c>
      <c r="H160">
        <v>19</v>
      </c>
      <c r="I160">
        <v>0</v>
      </c>
      <c r="J160">
        <v>12139.400000000001</v>
      </c>
      <c r="K160" t="s">
        <v>731</v>
      </c>
      <c r="L160" t="s">
        <v>1617</v>
      </c>
    </row>
    <row r="161" spans="1:12">
      <c r="A161">
        <v>159</v>
      </c>
      <c r="B161" t="s">
        <v>712</v>
      </c>
      <c r="C161" t="s">
        <v>732</v>
      </c>
      <c r="D161">
        <v>2019</v>
      </c>
      <c r="E161">
        <v>4</v>
      </c>
      <c r="F161">
        <v>40</v>
      </c>
      <c r="G161">
        <v>3</v>
      </c>
      <c r="H161">
        <v>19</v>
      </c>
      <c r="I161">
        <v>0</v>
      </c>
      <c r="J161">
        <v>762.12</v>
      </c>
      <c r="K161" t="s">
        <v>731</v>
      </c>
      <c r="L161" t="s">
        <v>1603</v>
      </c>
    </row>
    <row r="162" spans="1:12">
      <c r="A162">
        <v>160</v>
      </c>
      <c r="B162" t="s">
        <v>712</v>
      </c>
      <c r="C162" t="s">
        <v>732</v>
      </c>
      <c r="D162">
        <v>2019</v>
      </c>
      <c r="E162">
        <v>4</v>
      </c>
      <c r="F162">
        <v>40</v>
      </c>
      <c r="G162">
        <v>3</v>
      </c>
      <c r="H162">
        <v>19</v>
      </c>
      <c r="I162">
        <v>0</v>
      </c>
      <c r="J162">
        <v>762.1400000000001</v>
      </c>
      <c r="K162" t="s">
        <v>731</v>
      </c>
      <c r="L162" t="s">
        <v>1604</v>
      </c>
    </row>
    <row r="163" spans="1:12">
      <c r="A163">
        <v>161</v>
      </c>
      <c r="B163" t="s">
        <v>712</v>
      </c>
      <c r="C163" t="s">
        <v>732</v>
      </c>
      <c r="D163">
        <v>2019</v>
      </c>
      <c r="E163">
        <v>4</v>
      </c>
      <c r="F163">
        <v>41</v>
      </c>
      <c r="G163">
        <v>3</v>
      </c>
      <c r="H163">
        <v>19</v>
      </c>
      <c r="I163">
        <v>0</v>
      </c>
      <c r="J163">
        <v>139.80000000000001</v>
      </c>
      <c r="K163" t="s">
        <v>731</v>
      </c>
      <c r="L163" t="s">
        <v>1605</v>
      </c>
    </row>
    <row r="164" spans="1:12">
      <c r="A164">
        <v>162</v>
      </c>
      <c r="B164" t="s">
        <v>712</v>
      </c>
      <c r="C164" t="s">
        <v>732</v>
      </c>
      <c r="D164">
        <v>2019</v>
      </c>
      <c r="E164">
        <v>4</v>
      </c>
      <c r="F164">
        <v>45</v>
      </c>
      <c r="G164">
        <v>3</v>
      </c>
      <c r="H164">
        <v>19</v>
      </c>
      <c r="I164">
        <v>0</v>
      </c>
      <c r="J164">
        <v>14990.6</v>
      </c>
      <c r="K164" t="s">
        <v>731</v>
      </c>
      <c r="L164" t="s">
        <v>1606</v>
      </c>
    </row>
    <row r="165" spans="1:12">
      <c r="A165">
        <v>163</v>
      </c>
      <c r="B165" t="s">
        <v>712</v>
      </c>
      <c r="C165" t="s">
        <v>732</v>
      </c>
      <c r="D165">
        <v>2020</v>
      </c>
      <c r="E165">
        <v>1</v>
      </c>
      <c r="F165">
        <v>8</v>
      </c>
      <c r="G165">
        <v>2</v>
      </c>
      <c r="H165">
        <v>6</v>
      </c>
      <c r="I165">
        <v>-96681</v>
      </c>
      <c r="J165">
        <v>0</v>
      </c>
      <c r="K165" t="s">
        <v>731</v>
      </c>
      <c r="L165" t="s">
        <v>1599</v>
      </c>
    </row>
    <row r="166" spans="1:12">
      <c r="A166">
        <v>164</v>
      </c>
      <c r="B166" t="s">
        <v>712</v>
      </c>
      <c r="C166" t="s">
        <v>732</v>
      </c>
      <c r="D166">
        <v>2020</v>
      </c>
      <c r="E166">
        <v>1</v>
      </c>
      <c r="F166">
        <v>8</v>
      </c>
      <c r="G166">
        <v>2</v>
      </c>
      <c r="H166">
        <v>6</v>
      </c>
      <c r="I166">
        <v>0</v>
      </c>
      <c r="J166">
        <v>-48340</v>
      </c>
      <c r="K166" t="s">
        <v>731</v>
      </c>
      <c r="L166" t="s">
        <v>1611</v>
      </c>
    </row>
    <row r="167" spans="1:12">
      <c r="A167">
        <v>165</v>
      </c>
      <c r="B167" t="s">
        <v>712</v>
      </c>
      <c r="C167" t="s">
        <v>732</v>
      </c>
      <c r="D167">
        <v>2020</v>
      </c>
      <c r="E167">
        <v>1</v>
      </c>
      <c r="F167">
        <v>17</v>
      </c>
      <c r="G167">
        <v>2</v>
      </c>
      <c r="H167">
        <v>6</v>
      </c>
      <c r="I167">
        <v>48254</v>
      </c>
      <c r="J167">
        <v>0</v>
      </c>
      <c r="K167" t="s">
        <v>731</v>
      </c>
      <c r="L167" t="s">
        <v>1612</v>
      </c>
    </row>
    <row r="168" spans="1:12">
      <c r="A168">
        <v>166</v>
      </c>
      <c r="B168" t="s">
        <v>712</v>
      </c>
      <c r="C168" t="s">
        <v>732</v>
      </c>
      <c r="D168">
        <v>2020</v>
      </c>
      <c r="E168">
        <v>1</v>
      </c>
      <c r="F168">
        <v>17</v>
      </c>
      <c r="G168">
        <v>2</v>
      </c>
      <c r="H168">
        <v>6</v>
      </c>
      <c r="I168">
        <v>0</v>
      </c>
      <c r="J168">
        <v>3515.8000000000006</v>
      </c>
      <c r="K168" t="s">
        <v>731</v>
      </c>
      <c r="L168" t="s">
        <v>1600</v>
      </c>
    </row>
    <row r="169" spans="1:12">
      <c r="A169">
        <v>167</v>
      </c>
      <c r="B169" t="s">
        <v>712</v>
      </c>
      <c r="C169" t="s">
        <v>732</v>
      </c>
      <c r="D169">
        <v>2020</v>
      </c>
      <c r="E169">
        <v>1</v>
      </c>
      <c r="F169">
        <v>20</v>
      </c>
      <c r="G169">
        <v>2</v>
      </c>
      <c r="H169">
        <v>6</v>
      </c>
      <c r="I169">
        <v>531</v>
      </c>
      <c r="J169">
        <v>0</v>
      </c>
      <c r="K169" t="s">
        <v>731</v>
      </c>
      <c r="L169" t="s">
        <v>1615</v>
      </c>
    </row>
    <row r="170" spans="1:12">
      <c r="A170">
        <v>168</v>
      </c>
      <c r="B170" t="s">
        <v>712</v>
      </c>
      <c r="C170" t="s">
        <v>732</v>
      </c>
      <c r="D170">
        <v>2020</v>
      </c>
      <c r="E170">
        <v>1</v>
      </c>
      <c r="F170">
        <v>20</v>
      </c>
      <c r="G170">
        <v>2</v>
      </c>
      <c r="H170">
        <v>6</v>
      </c>
      <c r="I170">
        <v>0</v>
      </c>
      <c r="J170">
        <v>38.68</v>
      </c>
      <c r="K170" t="s">
        <v>731</v>
      </c>
      <c r="L170" t="s">
        <v>1601</v>
      </c>
    </row>
    <row r="171" spans="1:12">
      <c r="A171">
        <v>169</v>
      </c>
      <c r="B171" t="s">
        <v>712</v>
      </c>
      <c r="C171" t="s">
        <v>732</v>
      </c>
      <c r="D171">
        <v>2020</v>
      </c>
      <c r="E171">
        <v>1</v>
      </c>
      <c r="F171">
        <v>23</v>
      </c>
      <c r="G171">
        <v>2</v>
      </c>
      <c r="H171">
        <v>6</v>
      </c>
      <c r="I171">
        <v>41000</v>
      </c>
      <c r="J171">
        <v>0</v>
      </c>
      <c r="K171" t="s">
        <v>731</v>
      </c>
      <c r="L171" t="s">
        <v>1602</v>
      </c>
    </row>
    <row r="172" spans="1:12">
      <c r="A172">
        <v>170</v>
      </c>
      <c r="B172" t="s">
        <v>712</v>
      </c>
      <c r="C172" t="s">
        <v>732</v>
      </c>
      <c r="D172">
        <v>2020</v>
      </c>
      <c r="E172">
        <v>1</v>
      </c>
      <c r="F172">
        <v>25</v>
      </c>
      <c r="G172">
        <v>2</v>
      </c>
      <c r="H172">
        <v>6</v>
      </c>
      <c r="I172">
        <v>0</v>
      </c>
      <c r="J172">
        <v>316.92</v>
      </c>
      <c r="K172" t="s">
        <v>731</v>
      </c>
      <c r="L172" t="s">
        <v>1616</v>
      </c>
    </row>
    <row r="173" spans="1:12">
      <c r="A173">
        <v>171</v>
      </c>
      <c r="B173" t="s">
        <v>712</v>
      </c>
      <c r="C173" t="s">
        <v>732</v>
      </c>
      <c r="D173">
        <v>2020</v>
      </c>
      <c r="E173">
        <v>1</v>
      </c>
      <c r="F173">
        <v>29</v>
      </c>
      <c r="G173">
        <v>2</v>
      </c>
      <c r="H173">
        <v>6</v>
      </c>
      <c r="I173">
        <v>0</v>
      </c>
      <c r="J173">
        <v>7636</v>
      </c>
      <c r="K173" t="s">
        <v>731</v>
      </c>
      <c r="L173" t="s">
        <v>1617</v>
      </c>
    </row>
    <row r="174" spans="1:12">
      <c r="A174">
        <v>172</v>
      </c>
      <c r="B174" t="s">
        <v>712</v>
      </c>
      <c r="C174" t="s">
        <v>732</v>
      </c>
      <c r="D174">
        <v>2020</v>
      </c>
      <c r="E174">
        <v>1</v>
      </c>
      <c r="F174">
        <v>40</v>
      </c>
      <c r="G174">
        <v>2</v>
      </c>
      <c r="H174">
        <v>6</v>
      </c>
      <c r="I174">
        <v>6339</v>
      </c>
      <c r="J174">
        <v>406.21000000000004</v>
      </c>
      <c r="K174" t="s">
        <v>731</v>
      </c>
      <c r="L174" t="s">
        <v>1603</v>
      </c>
    </row>
    <row r="175" spans="1:12">
      <c r="A175">
        <v>173</v>
      </c>
      <c r="B175" t="s">
        <v>712</v>
      </c>
      <c r="C175" t="s">
        <v>732</v>
      </c>
      <c r="D175">
        <v>2020</v>
      </c>
      <c r="E175">
        <v>1</v>
      </c>
      <c r="F175">
        <v>40</v>
      </c>
      <c r="G175">
        <v>2</v>
      </c>
      <c r="H175">
        <v>6</v>
      </c>
      <c r="I175">
        <v>0</v>
      </c>
      <c r="J175">
        <v>406.22</v>
      </c>
      <c r="K175" t="s">
        <v>731</v>
      </c>
      <c r="L175" t="s">
        <v>1604</v>
      </c>
    </row>
    <row r="176" spans="1:12">
      <c r="A176">
        <v>174</v>
      </c>
      <c r="B176" t="s">
        <v>712</v>
      </c>
      <c r="C176" t="s">
        <v>732</v>
      </c>
      <c r="D176">
        <v>2020</v>
      </c>
      <c r="E176">
        <v>1</v>
      </c>
      <c r="F176">
        <v>41</v>
      </c>
      <c r="G176">
        <v>2</v>
      </c>
      <c r="H176">
        <v>6</v>
      </c>
      <c r="I176">
        <v>557</v>
      </c>
      <c r="J176">
        <v>71.36</v>
      </c>
      <c r="K176" t="s">
        <v>731</v>
      </c>
      <c r="L176" t="s">
        <v>1605</v>
      </c>
    </row>
    <row r="177" spans="1:12">
      <c r="A177">
        <v>175</v>
      </c>
      <c r="B177" t="s">
        <v>712</v>
      </c>
      <c r="C177" t="s">
        <v>732</v>
      </c>
      <c r="D177">
        <v>2020</v>
      </c>
      <c r="E177">
        <v>2</v>
      </c>
      <c r="F177">
        <v>17</v>
      </c>
      <c r="G177">
        <v>2</v>
      </c>
      <c r="H177">
        <v>10</v>
      </c>
      <c r="I177">
        <v>0</v>
      </c>
      <c r="J177">
        <v>13272.280000000002</v>
      </c>
      <c r="K177" t="s">
        <v>731</v>
      </c>
      <c r="L177" t="s">
        <v>1600</v>
      </c>
    </row>
    <row r="178" spans="1:12">
      <c r="A178">
        <v>176</v>
      </c>
      <c r="B178" t="s">
        <v>712</v>
      </c>
      <c r="C178" t="s">
        <v>732</v>
      </c>
      <c r="D178">
        <v>2020</v>
      </c>
      <c r="E178">
        <v>2</v>
      </c>
      <c r="F178">
        <v>20</v>
      </c>
      <c r="G178">
        <v>2</v>
      </c>
      <c r="H178">
        <v>10</v>
      </c>
      <c r="I178">
        <v>0</v>
      </c>
      <c r="J178">
        <v>146</v>
      </c>
      <c r="K178" t="s">
        <v>731</v>
      </c>
      <c r="L178" t="s">
        <v>1601</v>
      </c>
    </row>
    <row r="179" spans="1:12">
      <c r="A179">
        <v>177</v>
      </c>
      <c r="B179" t="s">
        <v>712</v>
      </c>
      <c r="C179" t="s">
        <v>732</v>
      </c>
      <c r="D179">
        <v>2020</v>
      </c>
      <c r="E179">
        <v>2</v>
      </c>
      <c r="F179">
        <v>25</v>
      </c>
      <c r="G179">
        <v>2</v>
      </c>
      <c r="H179">
        <v>10</v>
      </c>
      <c r="I179">
        <v>0</v>
      </c>
      <c r="J179">
        <v>316.92</v>
      </c>
      <c r="K179" t="s">
        <v>731</v>
      </c>
      <c r="L179" t="s">
        <v>1616</v>
      </c>
    </row>
    <row r="180" spans="1:12">
      <c r="A180">
        <v>178</v>
      </c>
      <c r="B180" t="s">
        <v>712</v>
      </c>
      <c r="C180" t="s">
        <v>732</v>
      </c>
      <c r="D180">
        <v>2020</v>
      </c>
      <c r="E180">
        <v>2</v>
      </c>
      <c r="F180">
        <v>29</v>
      </c>
      <c r="G180">
        <v>2</v>
      </c>
      <c r="H180">
        <v>10</v>
      </c>
      <c r="I180">
        <v>0</v>
      </c>
      <c r="J180">
        <v>11611.7</v>
      </c>
      <c r="K180" t="s">
        <v>731</v>
      </c>
      <c r="L180" t="s">
        <v>1617</v>
      </c>
    </row>
    <row r="181" spans="1:12">
      <c r="A181">
        <v>179</v>
      </c>
      <c r="B181" t="s">
        <v>712</v>
      </c>
      <c r="C181" t="s">
        <v>732</v>
      </c>
      <c r="D181">
        <v>2020</v>
      </c>
      <c r="E181">
        <v>2</v>
      </c>
      <c r="F181">
        <v>40</v>
      </c>
      <c r="G181">
        <v>2</v>
      </c>
      <c r="H181">
        <v>10</v>
      </c>
      <c r="I181">
        <v>0</v>
      </c>
      <c r="J181">
        <v>894.74</v>
      </c>
      <c r="K181" t="s">
        <v>731</v>
      </c>
      <c r="L181" t="s">
        <v>1603</v>
      </c>
    </row>
    <row r="182" spans="1:12">
      <c r="A182">
        <v>180</v>
      </c>
      <c r="B182" t="s">
        <v>712</v>
      </c>
      <c r="C182" t="s">
        <v>732</v>
      </c>
      <c r="D182">
        <v>2020</v>
      </c>
      <c r="E182">
        <v>2</v>
      </c>
      <c r="F182">
        <v>40</v>
      </c>
      <c r="G182">
        <v>2</v>
      </c>
      <c r="H182">
        <v>10</v>
      </c>
      <c r="I182">
        <v>0</v>
      </c>
      <c r="J182">
        <v>894.75000000000011</v>
      </c>
      <c r="K182" t="s">
        <v>731</v>
      </c>
      <c r="L182" t="s">
        <v>1604</v>
      </c>
    </row>
    <row r="183" spans="1:12">
      <c r="A183">
        <v>181</v>
      </c>
      <c r="B183" t="s">
        <v>712</v>
      </c>
      <c r="C183" t="s">
        <v>732</v>
      </c>
      <c r="D183">
        <v>2020</v>
      </c>
      <c r="E183">
        <v>2</v>
      </c>
      <c r="F183">
        <v>41</v>
      </c>
      <c r="G183">
        <v>2</v>
      </c>
      <c r="H183">
        <v>10</v>
      </c>
      <c r="I183">
        <v>0</v>
      </c>
      <c r="J183">
        <v>157.16</v>
      </c>
      <c r="K183" t="s">
        <v>731</v>
      </c>
      <c r="L183" t="s">
        <v>1605</v>
      </c>
    </row>
    <row r="184" spans="1:12">
      <c r="A184">
        <v>182</v>
      </c>
      <c r="B184" t="s">
        <v>712</v>
      </c>
      <c r="C184" t="s">
        <v>732</v>
      </c>
      <c r="D184">
        <v>2020</v>
      </c>
      <c r="E184">
        <v>3</v>
      </c>
      <c r="F184">
        <v>8</v>
      </c>
      <c r="G184">
        <v>2</v>
      </c>
      <c r="H184">
        <v>14</v>
      </c>
      <c r="I184">
        <v>0</v>
      </c>
      <c r="J184">
        <v>-48341</v>
      </c>
      <c r="K184" t="s">
        <v>731</v>
      </c>
      <c r="L184" t="s">
        <v>1611</v>
      </c>
    </row>
    <row r="185" spans="1:12">
      <c r="A185">
        <v>183</v>
      </c>
      <c r="B185" t="s">
        <v>712</v>
      </c>
      <c r="C185" t="s">
        <v>732</v>
      </c>
      <c r="D185">
        <v>2020</v>
      </c>
      <c r="E185">
        <v>3</v>
      </c>
      <c r="F185">
        <v>17</v>
      </c>
      <c r="G185">
        <v>2</v>
      </c>
      <c r="H185">
        <v>14</v>
      </c>
      <c r="I185">
        <v>0</v>
      </c>
      <c r="J185">
        <v>8386.3799999999992</v>
      </c>
      <c r="K185" t="s">
        <v>731</v>
      </c>
      <c r="L185" t="s">
        <v>1600</v>
      </c>
    </row>
    <row r="186" spans="1:12">
      <c r="A186">
        <v>184</v>
      </c>
      <c r="B186" t="s">
        <v>712</v>
      </c>
      <c r="C186" t="s">
        <v>732</v>
      </c>
      <c r="D186">
        <v>2020</v>
      </c>
      <c r="E186">
        <v>3</v>
      </c>
      <c r="F186">
        <v>17</v>
      </c>
      <c r="G186">
        <v>2</v>
      </c>
      <c r="H186">
        <v>14</v>
      </c>
      <c r="I186">
        <v>0</v>
      </c>
      <c r="J186">
        <v>534.91</v>
      </c>
      <c r="K186" t="s">
        <v>731</v>
      </c>
      <c r="L186" t="s">
        <v>1613</v>
      </c>
    </row>
    <row r="187" spans="1:12">
      <c r="A187">
        <v>185</v>
      </c>
      <c r="B187" t="s">
        <v>712</v>
      </c>
      <c r="C187" t="s">
        <v>732</v>
      </c>
      <c r="D187">
        <v>2020</v>
      </c>
      <c r="E187">
        <v>3</v>
      </c>
      <c r="F187">
        <v>20</v>
      </c>
      <c r="G187">
        <v>2</v>
      </c>
      <c r="H187">
        <v>14</v>
      </c>
      <c r="I187">
        <v>0</v>
      </c>
      <c r="J187">
        <v>98.14</v>
      </c>
      <c r="K187" t="s">
        <v>731</v>
      </c>
      <c r="L187" t="s">
        <v>1601</v>
      </c>
    </row>
    <row r="188" spans="1:12">
      <c r="A188">
        <v>186</v>
      </c>
      <c r="B188" t="s">
        <v>712</v>
      </c>
      <c r="C188" t="s">
        <v>732</v>
      </c>
      <c r="D188">
        <v>2020</v>
      </c>
      <c r="E188">
        <v>3</v>
      </c>
      <c r="F188">
        <v>25</v>
      </c>
      <c r="G188">
        <v>2</v>
      </c>
      <c r="H188">
        <v>14</v>
      </c>
      <c r="I188">
        <v>0</v>
      </c>
      <c r="J188">
        <v>316.92</v>
      </c>
      <c r="K188" t="s">
        <v>731</v>
      </c>
      <c r="L188" t="s">
        <v>1616</v>
      </c>
    </row>
    <row r="189" spans="1:12">
      <c r="A189">
        <v>187</v>
      </c>
      <c r="B189" t="s">
        <v>712</v>
      </c>
      <c r="C189" t="s">
        <v>732</v>
      </c>
      <c r="D189">
        <v>2020</v>
      </c>
      <c r="E189">
        <v>3</v>
      </c>
      <c r="F189">
        <v>29</v>
      </c>
      <c r="G189">
        <v>2</v>
      </c>
      <c r="H189">
        <v>14</v>
      </c>
      <c r="I189">
        <v>0</v>
      </c>
      <c r="J189">
        <v>12948</v>
      </c>
      <c r="K189" t="s">
        <v>731</v>
      </c>
      <c r="L189" t="s">
        <v>1617</v>
      </c>
    </row>
    <row r="190" spans="1:12">
      <c r="A190">
        <v>188</v>
      </c>
      <c r="B190" t="s">
        <v>712</v>
      </c>
      <c r="C190" t="s">
        <v>732</v>
      </c>
      <c r="D190">
        <v>2020</v>
      </c>
      <c r="E190">
        <v>3</v>
      </c>
      <c r="F190">
        <v>40</v>
      </c>
      <c r="G190">
        <v>2</v>
      </c>
      <c r="H190">
        <v>14</v>
      </c>
      <c r="I190">
        <v>0</v>
      </c>
      <c r="J190">
        <v>786.63</v>
      </c>
      <c r="K190" t="s">
        <v>731</v>
      </c>
      <c r="L190" t="s">
        <v>1603</v>
      </c>
    </row>
    <row r="191" spans="1:12">
      <c r="A191">
        <v>189</v>
      </c>
      <c r="B191" t="s">
        <v>712</v>
      </c>
      <c r="C191" t="s">
        <v>732</v>
      </c>
      <c r="D191">
        <v>2020</v>
      </c>
      <c r="E191">
        <v>3</v>
      </c>
      <c r="F191">
        <v>40</v>
      </c>
      <c r="G191">
        <v>2</v>
      </c>
      <c r="H191">
        <v>14</v>
      </c>
      <c r="I191">
        <v>0</v>
      </c>
      <c r="J191">
        <v>786.64</v>
      </c>
      <c r="K191" t="s">
        <v>731</v>
      </c>
      <c r="L191" t="s">
        <v>1604</v>
      </c>
    </row>
    <row r="192" spans="1:12">
      <c r="A192">
        <v>190</v>
      </c>
      <c r="B192" t="s">
        <v>712</v>
      </c>
      <c r="C192" t="s">
        <v>732</v>
      </c>
      <c r="D192">
        <v>2020</v>
      </c>
      <c r="E192">
        <v>3</v>
      </c>
      <c r="F192">
        <v>41</v>
      </c>
      <c r="G192">
        <v>2</v>
      </c>
      <c r="H192">
        <v>14</v>
      </c>
      <c r="I192">
        <v>0</v>
      </c>
      <c r="J192">
        <v>138.16</v>
      </c>
      <c r="K192" t="s">
        <v>731</v>
      </c>
      <c r="L192" t="s">
        <v>1605</v>
      </c>
    </row>
    <row r="193" spans="1:12">
      <c r="A193">
        <v>191</v>
      </c>
      <c r="B193" t="s">
        <v>712</v>
      </c>
      <c r="C193" t="s">
        <v>732</v>
      </c>
      <c r="D193">
        <v>2020</v>
      </c>
      <c r="E193">
        <v>4</v>
      </c>
      <c r="F193">
        <v>11</v>
      </c>
      <c r="G193">
        <v>2</v>
      </c>
      <c r="H193">
        <v>18</v>
      </c>
      <c r="I193">
        <v>0</v>
      </c>
      <c r="J193">
        <v>-1650.43</v>
      </c>
      <c r="K193" t="s">
        <v>731</v>
      </c>
      <c r="L193" t="s">
        <v>1607</v>
      </c>
    </row>
    <row r="194" spans="1:12">
      <c r="A194">
        <v>192</v>
      </c>
      <c r="B194" t="s">
        <v>712</v>
      </c>
      <c r="C194" t="s">
        <v>732</v>
      </c>
      <c r="D194">
        <v>2020</v>
      </c>
      <c r="E194">
        <v>4</v>
      </c>
      <c r="F194">
        <v>17</v>
      </c>
      <c r="G194">
        <v>2</v>
      </c>
      <c r="H194">
        <v>18</v>
      </c>
      <c r="I194">
        <v>0</v>
      </c>
      <c r="J194">
        <v>17466.000000000004</v>
      </c>
      <c r="K194" t="s">
        <v>731</v>
      </c>
      <c r="L194" t="s">
        <v>1600</v>
      </c>
    </row>
    <row r="195" spans="1:12">
      <c r="A195">
        <v>193</v>
      </c>
      <c r="B195" t="s">
        <v>712</v>
      </c>
      <c r="C195" t="s">
        <v>732</v>
      </c>
      <c r="D195">
        <v>2020</v>
      </c>
      <c r="E195">
        <v>4</v>
      </c>
      <c r="F195">
        <v>17</v>
      </c>
      <c r="G195">
        <v>2</v>
      </c>
      <c r="H195">
        <v>18</v>
      </c>
      <c r="I195">
        <v>0</v>
      </c>
      <c r="J195">
        <v>454.66999999999996</v>
      </c>
      <c r="K195" t="s">
        <v>731</v>
      </c>
      <c r="L195" t="s">
        <v>1613</v>
      </c>
    </row>
    <row r="196" spans="1:12">
      <c r="A196">
        <v>194</v>
      </c>
      <c r="B196" t="s">
        <v>712</v>
      </c>
      <c r="C196" t="s">
        <v>732</v>
      </c>
      <c r="D196">
        <v>2020</v>
      </c>
      <c r="E196">
        <v>4</v>
      </c>
      <c r="F196">
        <v>20</v>
      </c>
      <c r="G196">
        <v>2</v>
      </c>
      <c r="H196">
        <v>18</v>
      </c>
      <c r="I196">
        <v>0</v>
      </c>
      <c r="J196">
        <v>197.12000000000003</v>
      </c>
      <c r="K196" t="s">
        <v>731</v>
      </c>
      <c r="L196" t="s">
        <v>1601</v>
      </c>
    </row>
    <row r="197" spans="1:12">
      <c r="A197">
        <v>195</v>
      </c>
      <c r="B197" t="s">
        <v>712</v>
      </c>
      <c r="C197" t="s">
        <v>732</v>
      </c>
      <c r="D197">
        <v>2020</v>
      </c>
      <c r="E197">
        <v>4</v>
      </c>
      <c r="F197">
        <v>25</v>
      </c>
      <c r="G197">
        <v>2</v>
      </c>
      <c r="H197">
        <v>18</v>
      </c>
      <c r="I197">
        <v>0</v>
      </c>
      <c r="J197">
        <v>316.92</v>
      </c>
      <c r="K197" t="s">
        <v>731</v>
      </c>
      <c r="L197" t="s">
        <v>1616</v>
      </c>
    </row>
    <row r="198" spans="1:12">
      <c r="A198">
        <v>196</v>
      </c>
      <c r="B198" t="s">
        <v>712</v>
      </c>
      <c r="C198" t="s">
        <v>732</v>
      </c>
      <c r="D198">
        <v>2020</v>
      </c>
      <c r="E198">
        <v>4</v>
      </c>
      <c r="F198">
        <v>29</v>
      </c>
      <c r="G198">
        <v>2</v>
      </c>
      <c r="H198">
        <v>18</v>
      </c>
      <c r="I198">
        <v>0</v>
      </c>
      <c r="J198">
        <v>13744.800000000001</v>
      </c>
      <c r="K198" t="s">
        <v>731</v>
      </c>
      <c r="L198" t="s">
        <v>1617</v>
      </c>
    </row>
    <row r="199" spans="1:12">
      <c r="A199">
        <v>197</v>
      </c>
      <c r="B199" t="s">
        <v>712</v>
      </c>
      <c r="C199" t="s">
        <v>732</v>
      </c>
      <c r="D199">
        <v>2020</v>
      </c>
      <c r="E199">
        <v>4</v>
      </c>
      <c r="F199">
        <v>40</v>
      </c>
      <c r="G199">
        <v>2</v>
      </c>
      <c r="H199">
        <v>18</v>
      </c>
      <c r="I199">
        <v>0</v>
      </c>
      <c r="J199">
        <v>1135.94</v>
      </c>
      <c r="K199" t="s">
        <v>731</v>
      </c>
      <c r="L199" t="s">
        <v>1603</v>
      </c>
    </row>
    <row r="200" spans="1:12">
      <c r="A200">
        <v>198</v>
      </c>
      <c r="B200" t="s">
        <v>712</v>
      </c>
      <c r="C200" t="s">
        <v>732</v>
      </c>
      <c r="D200">
        <v>2020</v>
      </c>
      <c r="E200">
        <v>4</v>
      </c>
      <c r="F200">
        <v>40</v>
      </c>
      <c r="G200">
        <v>2</v>
      </c>
      <c r="H200">
        <v>18</v>
      </c>
      <c r="I200">
        <v>0</v>
      </c>
      <c r="J200">
        <v>1135.94</v>
      </c>
      <c r="K200" t="s">
        <v>731</v>
      </c>
      <c r="L200" t="s">
        <v>1604</v>
      </c>
    </row>
    <row r="201" spans="1:12">
      <c r="A201">
        <v>199</v>
      </c>
      <c r="B201" t="s">
        <v>712</v>
      </c>
      <c r="C201" t="s">
        <v>732</v>
      </c>
      <c r="D201">
        <v>2020</v>
      </c>
      <c r="E201">
        <v>4</v>
      </c>
      <c r="F201">
        <v>41</v>
      </c>
      <c r="G201">
        <v>2</v>
      </c>
      <c r="H201">
        <v>18</v>
      </c>
      <c r="I201">
        <v>0</v>
      </c>
      <c r="J201">
        <v>199.51999999999998</v>
      </c>
      <c r="K201" t="s">
        <v>731</v>
      </c>
      <c r="L201" t="s">
        <v>1605</v>
      </c>
    </row>
    <row r="202" spans="1:12">
      <c r="A202">
        <v>200</v>
      </c>
      <c r="B202" t="s">
        <v>712</v>
      </c>
      <c r="C202" t="s">
        <v>734</v>
      </c>
      <c r="D202">
        <v>2017</v>
      </c>
      <c r="E202">
        <v>1</v>
      </c>
      <c r="F202">
        <v>8</v>
      </c>
      <c r="G202">
        <v>5</v>
      </c>
      <c r="H202">
        <v>9</v>
      </c>
      <c r="I202">
        <v>-2770</v>
      </c>
      <c r="J202">
        <v>-1385</v>
      </c>
      <c r="K202" t="s">
        <v>733</v>
      </c>
      <c r="L202" t="s">
        <v>1599</v>
      </c>
    </row>
    <row r="203" spans="1:12">
      <c r="A203">
        <v>201</v>
      </c>
      <c r="B203" t="s">
        <v>712</v>
      </c>
      <c r="C203" t="s">
        <v>734</v>
      </c>
      <c r="D203">
        <v>2017</v>
      </c>
      <c r="E203">
        <v>1</v>
      </c>
      <c r="F203">
        <v>23</v>
      </c>
      <c r="G203">
        <v>5</v>
      </c>
      <c r="H203">
        <v>9</v>
      </c>
      <c r="I203">
        <v>2600</v>
      </c>
      <c r="J203">
        <v>0</v>
      </c>
      <c r="K203" t="s">
        <v>733</v>
      </c>
      <c r="L203" t="s">
        <v>1602</v>
      </c>
    </row>
    <row r="204" spans="1:12">
      <c r="A204">
        <v>202</v>
      </c>
      <c r="B204" t="s">
        <v>712</v>
      </c>
      <c r="C204" t="s">
        <v>734</v>
      </c>
      <c r="D204">
        <v>2017</v>
      </c>
      <c r="E204">
        <v>1</v>
      </c>
      <c r="F204">
        <v>29</v>
      </c>
      <c r="G204">
        <v>5</v>
      </c>
      <c r="H204">
        <v>9</v>
      </c>
      <c r="I204">
        <v>0</v>
      </c>
      <c r="J204">
        <v>0</v>
      </c>
      <c r="K204" t="s">
        <v>733</v>
      </c>
      <c r="L204" t="s">
        <v>1608</v>
      </c>
    </row>
    <row r="205" spans="1:12">
      <c r="A205">
        <v>203</v>
      </c>
      <c r="B205" t="s">
        <v>712</v>
      </c>
      <c r="C205" t="s">
        <v>734</v>
      </c>
      <c r="D205">
        <v>2017</v>
      </c>
      <c r="E205">
        <v>1</v>
      </c>
      <c r="F205">
        <v>40</v>
      </c>
      <c r="G205">
        <v>5</v>
      </c>
      <c r="H205">
        <v>9</v>
      </c>
      <c r="I205">
        <v>157</v>
      </c>
      <c r="J205">
        <v>0</v>
      </c>
      <c r="K205" t="s">
        <v>733</v>
      </c>
      <c r="L205" t="s">
        <v>1603</v>
      </c>
    </row>
    <row r="206" spans="1:12">
      <c r="A206">
        <v>204</v>
      </c>
      <c r="B206" t="s">
        <v>712</v>
      </c>
      <c r="C206" t="s">
        <v>734</v>
      </c>
      <c r="D206">
        <v>2017</v>
      </c>
      <c r="E206">
        <v>1</v>
      </c>
      <c r="F206">
        <v>41</v>
      </c>
      <c r="G206">
        <v>5</v>
      </c>
      <c r="H206">
        <v>9</v>
      </c>
      <c r="I206">
        <v>13</v>
      </c>
      <c r="J206">
        <v>0</v>
      </c>
      <c r="K206" t="s">
        <v>733</v>
      </c>
      <c r="L206" t="s">
        <v>1605</v>
      </c>
    </row>
    <row r="207" spans="1:12">
      <c r="A207">
        <v>205</v>
      </c>
      <c r="B207" t="s">
        <v>712</v>
      </c>
      <c r="C207" t="s">
        <v>734</v>
      </c>
      <c r="D207">
        <v>2017</v>
      </c>
      <c r="E207">
        <v>2</v>
      </c>
      <c r="F207">
        <v>26</v>
      </c>
      <c r="G207">
        <v>5</v>
      </c>
      <c r="H207">
        <v>13</v>
      </c>
      <c r="I207">
        <v>0</v>
      </c>
      <c r="J207">
        <v>114.83</v>
      </c>
      <c r="K207" t="s">
        <v>733</v>
      </c>
      <c r="L207" t="s">
        <v>1619</v>
      </c>
    </row>
    <row r="208" spans="1:12">
      <c r="A208">
        <v>206</v>
      </c>
      <c r="B208" t="s">
        <v>712</v>
      </c>
      <c r="C208" t="s">
        <v>734</v>
      </c>
      <c r="D208">
        <v>2017</v>
      </c>
      <c r="E208">
        <v>2</v>
      </c>
      <c r="F208">
        <v>29</v>
      </c>
      <c r="G208">
        <v>5</v>
      </c>
      <c r="H208">
        <v>13</v>
      </c>
      <c r="I208">
        <v>0</v>
      </c>
      <c r="J208">
        <v>543.32000000000005</v>
      </c>
      <c r="K208" t="s">
        <v>733</v>
      </c>
      <c r="L208" t="s">
        <v>1620</v>
      </c>
    </row>
    <row r="209" spans="1:12">
      <c r="A209">
        <v>207</v>
      </c>
      <c r="B209" t="s">
        <v>712</v>
      </c>
      <c r="C209" t="s">
        <v>734</v>
      </c>
      <c r="D209">
        <v>2017</v>
      </c>
      <c r="E209">
        <v>2</v>
      </c>
      <c r="F209">
        <v>29</v>
      </c>
      <c r="G209">
        <v>5</v>
      </c>
      <c r="H209">
        <v>13</v>
      </c>
      <c r="I209">
        <v>0</v>
      </c>
      <c r="J209">
        <v>19.399999999999999</v>
      </c>
      <c r="K209" t="s">
        <v>733</v>
      </c>
      <c r="L209" t="s">
        <v>1608</v>
      </c>
    </row>
    <row r="210" spans="1:12">
      <c r="A210">
        <v>208</v>
      </c>
      <c r="B210" t="s">
        <v>712</v>
      </c>
      <c r="C210" t="s">
        <v>734</v>
      </c>
      <c r="D210">
        <v>2017</v>
      </c>
      <c r="E210">
        <v>2</v>
      </c>
      <c r="F210">
        <v>29</v>
      </c>
      <c r="G210">
        <v>5</v>
      </c>
      <c r="H210">
        <v>13</v>
      </c>
      <c r="I210">
        <v>0</v>
      </c>
      <c r="J210">
        <v>160</v>
      </c>
      <c r="K210" t="s">
        <v>733</v>
      </c>
      <c r="L210" t="s">
        <v>1621</v>
      </c>
    </row>
    <row r="211" spans="1:12">
      <c r="A211">
        <v>209</v>
      </c>
      <c r="B211" t="s">
        <v>712</v>
      </c>
      <c r="C211" t="s">
        <v>734</v>
      </c>
      <c r="D211">
        <v>2017</v>
      </c>
      <c r="E211">
        <v>2</v>
      </c>
      <c r="F211">
        <v>40</v>
      </c>
      <c r="G211">
        <v>5</v>
      </c>
      <c r="H211">
        <v>13</v>
      </c>
      <c r="I211">
        <v>0</v>
      </c>
      <c r="J211">
        <v>25.299999999999997</v>
      </c>
      <c r="K211" t="s">
        <v>733</v>
      </c>
      <c r="L211" t="s">
        <v>1603</v>
      </c>
    </row>
    <row r="212" spans="1:12">
      <c r="A212">
        <v>210</v>
      </c>
      <c r="B212" t="s">
        <v>712</v>
      </c>
      <c r="C212" t="s">
        <v>734</v>
      </c>
      <c r="D212">
        <v>2017</v>
      </c>
      <c r="E212">
        <v>2</v>
      </c>
      <c r="F212">
        <v>40</v>
      </c>
      <c r="G212">
        <v>5</v>
      </c>
      <c r="H212">
        <v>13</v>
      </c>
      <c r="I212">
        <v>0</v>
      </c>
      <c r="J212">
        <v>25.29</v>
      </c>
      <c r="K212" t="s">
        <v>733</v>
      </c>
      <c r="L212" t="s">
        <v>1604</v>
      </c>
    </row>
    <row r="213" spans="1:12">
      <c r="A213">
        <v>211</v>
      </c>
      <c r="B213" t="s">
        <v>712</v>
      </c>
      <c r="C213" t="s">
        <v>734</v>
      </c>
      <c r="D213">
        <v>2017</v>
      </c>
      <c r="E213">
        <v>2</v>
      </c>
      <c r="F213">
        <v>41</v>
      </c>
      <c r="G213">
        <v>5</v>
      </c>
      <c r="H213">
        <v>13</v>
      </c>
      <c r="I213">
        <v>0</v>
      </c>
      <c r="J213">
        <v>4.1900000000000004</v>
      </c>
      <c r="K213" t="s">
        <v>733</v>
      </c>
      <c r="L213" t="s">
        <v>1605</v>
      </c>
    </row>
    <row r="214" spans="1:12">
      <c r="A214">
        <v>212</v>
      </c>
      <c r="B214" t="s">
        <v>712</v>
      </c>
      <c r="C214" t="s">
        <v>734</v>
      </c>
      <c r="D214">
        <v>2017</v>
      </c>
      <c r="E214">
        <v>3</v>
      </c>
      <c r="F214">
        <v>8</v>
      </c>
      <c r="G214">
        <v>5</v>
      </c>
      <c r="H214">
        <v>17</v>
      </c>
      <c r="I214">
        <v>0</v>
      </c>
      <c r="J214">
        <v>-1385</v>
      </c>
      <c r="K214" t="s">
        <v>733</v>
      </c>
      <c r="L214" t="s">
        <v>1599</v>
      </c>
    </row>
    <row r="215" spans="1:12">
      <c r="A215">
        <v>213</v>
      </c>
      <c r="B215" t="s">
        <v>712</v>
      </c>
      <c r="C215" t="s">
        <v>734</v>
      </c>
      <c r="D215">
        <v>2017</v>
      </c>
      <c r="E215">
        <v>3</v>
      </c>
      <c r="F215">
        <v>26</v>
      </c>
      <c r="G215">
        <v>5</v>
      </c>
      <c r="H215">
        <v>17</v>
      </c>
      <c r="I215">
        <v>0</v>
      </c>
      <c r="J215">
        <v>406.8</v>
      </c>
      <c r="K215" t="s">
        <v>733</v>
      </c>
      <c r="L215" t="s">
        <v>1622</v>
      </c>
    </row>
    <row r="216" spans="1:12">
      <c r="A216">
        <v>214</v>
      </c>
      <c r="B216" t="s">
        <v>712</v>
      </c>
      <c r="C216" t="s">
        <v>734</v>
      </c>
      <c r="D216">
        <v>2017</v>
      </c>
      <c r="E216">
        <v>3</v>
      </c>
      <c r="F216">
        <v>26</v>
      </c>
      <c r="G216">
        <v>5</v>
      </c>
      <c r="H216">
        <v>17</v>
      </c>
      <c r="I216">
        <v>0</v>
      </c>
      <c r="J216">
        <v>179</v>
      </c>
      <c r="K216" t="s">
        <v>733</v>
      </c>
      <c r="L216" t="s">
        <v>1618</v>
      </c>
    </row>
    <row r="217" spans="1:12">
      <c r="A217">
        <v>215</v>
      </c>
      <c r="B217" t="s">
        <v>712</v>
      </c>
      <c r="C217" t="s">
        <v>734</v>
      </c>
      <c r="D217">
        <v>2017</v>
      </c>
      <c r="E217">
        <v>3</v>
      </c>
      <c r="F217">
        <v>26</v>
      </c>
      <c r="G217">
        <v>5</v>
      </c>
      <c r="H217">
        <v>17</v>
      </c>
      <c r="I217">
        <v>0</v>
      </c>
      <c r="J217">
        <v>21.98</v>
      </c>
      <c r="K217" t="s">
        <v>733</v>
      </c>
      <c r="L217" t="s">
        <v>1619</v>
      </c>
    </row>
    <row r="218" spans="1:12">
      <c r="A218">
        <v>216</v>
      </c>
      <c r="B218" t="s">
        <v>712</v>
      </c>
      <c r="C218" t="s">
        <v>734</v>
      </c>
      <c r="D218">
        <v>2017</v>
      </c>
      <c r="E218">
        <v>3</v>
      </c>
      <c r="F218">
        <v>29</v>
      </c>
      <c r="G218">
        <v>5</v>
      </c>
      <c r="H218">
        <v>17</v>
      </c>
      <c r="I218">
        <v>0</v>
      </c>
      <c r="J218">
        <v>83.8</v>
      </c>
      <c r="K218" t="s">
        <v>733</v>
      </c>
      <c r="L218" t="s">
        <v>1608</v>
      </c>
    </row>
    <row r="219" spans="1:12">
      <c r="A219">
        <v>217</v>
      </c>
      <c r="B219" t="s">
        <v>712</v>
      </c>
      <c r="C219" t="s">
        <v>734</v>
      </c>
      <c r="D219">
        <v>2017</v>
      </c>
      <c r="E219">
        <v>3</v>
      </c>
      <c r="F219">
        <v>32</v>
      </c>
      <c r="G219">
        <v>5</v>
      </c>
      <c r="H219">
        <v>17</v>
      </c>
      <c r="I219">
        <v>0</v>
      </c>
      <c r="J219">
        <v>157.44</v>
      </c>
      <c r="K219" t="s">
        <v>733</v>
      </c>
      <c r="L219" t="s">
        <v>1623</v>
      </c>
    </row>
    <row r="220" spans="1:12">
      <c r="A220">
        <v>218</v>
      </c>
      <c r="B220" t="s">
        <v>712</v>
      </c>
      <c r="C220" t="s">
        <v>734</v>
      </c>
      <c r="D220">
        <v>2017</v>
      </c>
      <c r="E220">
        <v>3</v>
      </c>
      <c r="F220">
        <v>40</v>
      </c>
      <c r="G220">
        <v>5</v>
      </c>
      <c r="H220">
        <v>17</v>
      </c>
      <c r="I220">
        <v>0</v>
      </c>
      <c r="J220">
        <v>25.639999999999997</v>
      </c>
      <c r="K220" t="s">
        <v>733</v>
      </c>
      <c r="L220" t="s">
        <v>1603</v>
      </c>
    </row>
    <row r="221" spans="1:12">
      <c r="A221">
        <v>219</v>
      </c>
      <c r="B221" t="s">
        <v>712</v>
      </c>
      <c r="C221" t="s">
        <v>734</v>
      </c>
      <c r="D221">
        <v>2017</v>
      </c>
      <c r="E221">
        <v>3</v>
      </c>
      <c r="F221">
        <v>40</v>
      </c>
      <c r="G221">
        <v>5</v>
      </c>
      <c r="H221">
        <v>17</v>
      </c>
      <c r="I221">
        <v>0</v>
      </c>
      <c r="J221">
        <v>25.64</v>
      </c>
      <c r="K221" t="s">
        <v>733</v>
      </c>
      <c r="L221" t="s">
        <v>1604</v>
      </c>
    </row>
    <row r="222" spans="1:12">
      <c r="A222">
        <v>220</v>
      </c>
      <c r="B222" t="s">
        <v>712</v>
      </c>
      <c r="C222" t="s">
        <v>734</v>
      </c>
      <c r="D222">
        <v>2017</v>
      </c>
      <c r="E222">
        <v>3</v>
      </c>
      <c r="F222">
        <v>41</v>
      </c>
      <c r="G222">
        <v>5</v>
      </c>
      <c r="H222">
        <v>17</v>
      </c>
      <c r="I222">
        <v>0</v>
      </c>
      <c r="J222">
        <v>4.25</v>
      </c>
      <c r="K222" t="s">
        <v>733</v>
      </c>
      <c r="L222" t="s">
        <v>1605</v>
      </c>
    </row>
    <row r="223" spans="1:12">
      <c r="A223">
        <v>221</v>
      </c>
      <c r="B223" t="s">
        <v>712</v>
      </c>
      <c r="C223" t="s">
        <v>734</v>
      </c>
      <c r="D223">
        <v>2017</v>
      </c>
      <c r="E223">
        <v>4</v>
      </c>
      <c r="F223">
        <v>26</v>
      </c>
      <c r="G223">
        <v>5</v>
      </c>
      <c r="H223">
        <v>21</v>
      </c>
      <c r="I223">
        <v>0</v>
      </c>
      <c r="J223">
        <v>53.8</v>
      </c>
      <c r="K223" t="s">
        <v>733</v>
      </c>
      <c r="L223" t="s">
        <v>1622</v>
      </c>
    </row>
    <row r="224" spans="1:12">
      <c r="A224">
        <v>222</v>
      </c>
      <c r="B224" t="s">
        <v>712</v>
      </c>
      <c r="C224" t="s">
        <v>734</v>
      </c>
      <c r="D224">
        <v>2017</v>
      </c>
      <c r="E224">
        <v>4</v>
      </c>
      <c r="F224">
        <v>26</v>
      </c>
      <c r="G224">
        <v>5</v>
      </c>
      <c r="H224">
        <v>21</v>
      </c>
      <c r="I224">
        <v>0</v>
      </c>
      <c r="J224">
        <v>110</v>
      </c>
      <c r="K224" t="s">
        <v>733</v>
      </c>
      <c r="L224" t="s">
        <v>1618</v>
      </c>
    </row>
    <row r="225" spans="1:12">
      <c r="A225">
        <v>223</v>
      </c>
      <c r="B225" t="s">
        <v>712</v>
      </c>
      <c r="C225" t="s">
        <v>734</v>
      </c>
      <c r="D225">
        <v>2017</v>
      </c>
      <c r="E225">
        <v>4</v>
      </c>
      <c r="F225">
        <v>29</v>
      </c>
      <c r="G225">
        <v>5</v>
      </c>
      <c r="H225">
        <v>21</v>
      </c>
      <c r="I225">
        <v>0</v>
      </c>
      <c r="J225">
        <v>37.799999999999997</v>
      </c>
      <c r="K225" t="s">
        <v>733</v>
      </c>
      <c r="L225" t="s">
        <v>1608</v>
      </c>
    </row>
    <row r="226" spans="1:12">
      <c r="A226">
        <v>224</v>
      </c>
      <c r="B226" t="s">
        <v>712</v>
      </c>
      <c r="C226" t="s">
        <v>734</v>
      </c>
      <c r="D226">
        <v>2017</v>
      </c>
      <c r="E226">
        <v>4</v>
      </c>
      <c r="F226">
        <v>40</v>
      </c>
      <c r="G226">
        <v>5</v>
      </c>
      <c r="H226">
        <v>21</v>
      </c>
      <c r="I226">
        <v>0</v>
      </c>
      <c r="J226">
        <v>6.1</v>
      </c>
      <c r="K226" t="s">
        <v>733</v>
      </c>
      <c r="L226" t="s">
        <v>1603</v>
      </c>
    </row>
    <row r="227" spans="1:12">
      <c r="A227">
        <v>225</v>
      </c>
      <c r="B227" t="s">
        <v>712</v>
      </c>
      <c r="C227" t="s">
        <v>734</v>
      </c>
      <c r="D227">
        <v>2017</v>
      </c>
      <c r="E227">
        <v>4</v>
      </c>
      <c r="F227">
        <v>40</v>
      </c>
      <c r="G227">
        <v>5</v>
      </c>
      <c r="H227">
        <v>21</v>
      </c>
      <c r="I227">
        <v>0</v>
      </c>
      <c r="J227">
        <v>6.08</v>
      </c>
      <c r="K227" t="s">
        <v>733</v>
      </c>
      <c r="L227" t="s">
        <v>1604</v>
      </c>
    </row>
    <row r="228" spans="1:12">
      <c r="A228">
        <v>226</v>
      </c>
      <c r="B228" t="s">
        <v>712</v>
      </c>
      <c r="C228" t="s">
        <v>734</v>
      </c>
      <c r="D228">
        <v>2017</v>
      </c>
      <c r="E228">
        <v>4</v>
      </c>
      <c r="F228">
        <v>41</v>
      </c>
      <c r="G228">
        <v>5</v>
      </c>
      <c r="H228">
        <v>21</v>
      </c>
      <c r="I228">
        <v>0</v>
      </c>
      <c r="J228">
        <v>1.01</v>
      </c>
      <c r="K228" t="s">
        <v>733</v>
      </c>
      <c r="L228" t="s">
        <v>1605</v>
      </c>
    </row>
    <row r="229" spans="1:12">
      <c r="A229">
        <v>227</v>
      </c>
      <c r="B229" t="s">
        <v>712</v>
      </c>
      <c r="C229" t="s">
        <v>734</v>
      </c>
      <c r="D229">
        <v>2017</v>
      </c>
      <c r="E229">
        <v>4</v>
      </c>
      <c r="F229">
        <v>45</v>
      </c>
      <c r="G229">
        <v>5</v>
      </c>
      <c r="H229">
        <v>21</v>
      </c>
      <c r="I229">
        <v>0</v>
      </c>
      <c r="J229">
        <v>758.33</v>
      </c>
      <c r="K229" t="s">
        <v>733</v>
      </c>
      <c r="L229" t="s">
        <v>1606</v>
      </c>
    </row>
    <row r="230" spans="1:12">
      <c r="A230">
        <v>228</v>
      </c>
      <c r="B230" t="s">
        <v>712</v>
      </c>
      <c r="C230" t="s">
        <v>734</v>
      </c>
      <c r="D230">
        <v>2018</v>
      </c>
      <c r="E230">
        <v>1</v>
      </c>
      <c r="F230">
        <v>8</v>
      </c>
      <c r="G230">
        <v>4</v>
      </c>
      <c r="H230">
        <v>8</v>
      </c>
      <c r="I230">
        <v>-2770</v>
      </c>
      <c r="J230">
        <v>-1385</v>
      </c>
      <c r="K230" t="s">
        <v>733</v>
      </c>
      <c r="L230" t="s">
        <v>1599</v>
      </c>
    </row>
    <row r="231" spans="1:12">
      <c r="A231">
        <v>229</v>
      </c>
      <c r="B231" t="s">
        <v>712</v>
      </c>
      <c r="C231" t="s">
        <v>734</v>
      </c>
      <c r="D231">
        <v>2018</v>
      </c>
      <c r="E231">
        <v>1</v>
      </c>
      <c r="F231">
        <v>23</v>
      </c>
      <c r="G231">
        <v>4</v>
      </c>
      <c r="H231">
        <v>8</v>
      </c>
      <c r="I231">
        <v>2600</v>
      </c>
      <c r="J231">
        <v>0</v>
      </c>
      <c r="K231" t="s">
        <v>733</v>
      </c>
      <c r="L231" t="s">
        <v>1602</v>
      </c>
    </row>
    <row r="232" spans="1:12">
      <c r="A232">
        <v>230</v>
      </c>
      <c r="B232" t="s">
        <v>712</v>
      </c>
      <c r="C232" t="s">
        <v>734</v>
      </c>
      <c r="D232">
        <v>2018</v>
      </c>
      <c r="E232">
        <v>1</v>
      </c>
      <c r="F232">
        <v>29</v>
      </c>
      <c r="G232">
        <v>4</v>
      </c>
      <c r="H232">
        <v>8</v>
      </c>
      <c r="I232">
        <v>0</v>
      </c>
      <c r="J232">
        <v>44.4</v>
      </c>
      <c r="K232" t="s">
        <v>733</v>
      </c>
      <c r="L232" t="s">
        <v>1608</v>
      </c>
    </row>
    <row r="233" spans="1:12">
      <c r="A233">
        <v>231</v>
      </c>
      <c r="B233" t="s">
        <v>712</v>
      </c>
      <c r="C233" t="s">
        <v>734</v>
      </c>
      <c r="D233">
        <v>2018</v>
      </c>
      <c r="E233">
        <v>1</v>
      </c>
      <c r="F233">
        <v>40</v>
      </c>
      <c r="G233">
        <v>4</v>
      </c>
      <c r="H233">
        <v>8</v>
      </c>
      <c r="I233">
        <v>157</v>
      </c>
      <c r="J233">
        <v>1.3900000000000001</v>
      </c>
      <c r="K233" t="s">
        <v>733</v>
      </c>
      <c r="L233" t="s">
        <v>1603</v>
      </c>
    </row>
    <row r="234" spans="1:12">
      <c r="A234">
        <v>232</v>
      </c>
      <c r="B234" t="s">
        <v>712</v>
      </c>
      <c r="C234" t="s">
        <v>734</v>
      </c>
      <c r="D234">
        <v>2018</v>
      </c>
      <c r="E234">
        <v>1</v>
      </c>
      <c r="F234">
        <v>40</v>
      </c>
      <c r="G234">
        <v>4</v>
      </c>
      <c r="H234">
        <v>8</v>
      </c>
      <c r="I234">
        <v>0</v>
      </c>
      <c r="J234">
        <v>1.4</v>
      </c>
      <c r="K234" t="s">
        <v>733</v>
      </c>
      <c r="L234" t="s">
        <v>1604</v>
      </c>
    </row>
    <row r="235" spans="1:12">
      <c r="A235">
        <v>233</v>
      </c>
      <c r="B235" t="s">
        <v>712</v>
      </c>
      <c r="C235" t="s">
        <v>734</v>
      </c>
      <c r="D235">
        <v>2018</v>
      </c>
      <c r="E235">
        <v>1</v>
      </c>
      <c r="F235">
        <v>41</v>
      </c>
      <c r="G235">
        <v>4</v>
      </c>
      <c r="H235">
        <v>8</v>
      </c>
      <c r="I235">
        <v>13</v>
      </c>
      <c r="J235">
        <v>0.23</v>
      </c>
      <c r="K235" t="s">
        <v>733</v>
      </c>
      <c r="L235" t="s">
        <v>1605</v>
      </c>
    </row>
    <row r="236" spans="1:12">
      <c r="A236">
        <v>234</v>
      </c>
      <c r="B236" t="s">
        <v>712</v>
      </c>
      <c r="C236" t="s">
        <v>734</v>
      </c>
      <c r="D236">
        <v>2018</v>
      </c>
      <c r="E236">
        <v>2</v>
      </c>
      <c r="F236">
        <v>33</v>
      </c>
      <c r="G236">
        <v>4</v>
      </c>
      <c r="H236">
        <v>12</v>
      </c>
      <c r="I236">
        <v>0</v>
      </c>
      <c r="J236">
        <v>799</v>
      </c>
      <c r="K236" t="s">
        <v>733</v>
      </c>
      <c r="L236" t="s">
        <v>1624</v>
      </c>
    </row>
    <row r="237" spans="1:12">
      <c r="A237">
        <v>235</v>
      </c>
      <c r="B237" t="s">
        <v>712</v>
      </c>
      <c r="C237" t="s">
        <v>734</v>
      </c>
      <c r="D237">
        <v>2018</v>
      </c>
      <c r="E237">
        <v>2</v>
      </c>
      <c r="F237">
        <v>40</v>
      </c>
      <c r="G237">
        <v>4</v>
      </c>
      <c r="H237">
        <v>12</v>
      </c>
      <c r="I237">
        <v>0</v>
      </c>
      <c r="J237">
        <v>25.13</v>
      </c>
      <c r="K237" t="s">
        <v>733</v>
      </c>
      <c r="L237" t="s">
        <v>1603</v>
      </c>
    </row>
    <row r="238" spans="1:12">
      <c r="A238">
        <v>236</v>
      </c>
      <c r="B238" t="s">
        <v>712</v>
      </c>
      <c r="C238" t="s">
        <v>734</v>
      </c>
      <c r="D238">
        <v>2018</v>
      </c>
      <c r="E238">
        <v>2</v>
      </c>
      <c r="F238">
        <v>40</v>
      </c>
      <c r="G238">
        <v>4</v>
      </c>
      <c r="H238">
        <v>12</v>
      </c>
      <c r="I238">
        <v>0</v>
      </c>
      <c r="J238">
        <v>25.13</v>
      </c>
      <c r="K238" t="s">
        <v>733</v>
      </c>
      <c r="L238" t="s">
        <v>1604</v>
      </c>
    </row>
    <row r="239" spans="1:12">
      <c r="A239">
        <v>237</v>
      </c>
      <c r="B239" t="s">
        <v>712</v>
      </c>
      <c r="C239" t="s">
        <v>734</v>
      </c>
      <c r="D239">
        <v>2018</v>
      </c>
      <c r="E239">
        <v>2</v>
      </c>
      <c r="F239">
        <v>41</v>
      </c>
      <c r="G239">
        <v>4</v>
      </c>
      <c r="H239">
        <v>12</v>
      </c>
      <c r="I239">
        <v>0</v>
      </c>
      <c r="J239">
        <v>4.08</v>
      </c>
      <c r="K239" t="s">
        <v>733</v>
      </c>
      <c r="L239" t="s">
        <v>1605</v>
      </c>
    </row>
    <row r="240" spans="1:12">
      <c r="A240">
        <v>238</v>
      </c>
      <c r="B240" t="s">
        <v>712</v>
      </c>
      <c r="C240" t="s">
        <v>734</v>
      </c>
      <c r="D240">
        <v>2018</v>
      </c>
      <c r="E240">
        <v>3</v>
      </c>
      <c r="F240">
        <v>8</v>
      </c>
      <c r="G240">
        <v>4</v>
      </c>
      <c r="H240">
        <v>16</v>
      </c>
      <c r="I240">
        <v>0</v>
      </c>
      <c r="J240">
        <v>-1385</v>
      </c>
      <c r="K240" t="s">
        <v>733</v>
      </c>
      <c r="L240" t="s">
        <v>1599</v>
      </c>
    </row>
    <row r="241" spans="1:12">
      <c r="A241">
        <v>239</v>
      </c>
      <c r="B241" t="s">
        <v>712</v>
      </c>
      <c r="C241" t="s">
        <v>734</v>
      </c>
      <c r="D241">
        <v>2018</v>
      </c>
      <c r="E241">
        <v>3</v>
      </c>
      <c r="F241">
        <v>26</v>
      </c>
      <c r="G241">
        <v>4</v>
      </c>
      <c r="H241">
        <v>16</v>
      </c>
      <c r="I241">
        <v>0</v>
      </c>
      <c r="J241">
        <v>1014.25</v>
      </c>
      <c r="K241" t="s">
        <v>733</v>
      </c>
      <c r="L241" t="s">
        <v>1622</v>
      </c>
    </row>
    <row r="242" spans="1:12">
      <c r="A242">
        <v>240</v>
      </c>
      <c r="B242" t="s">
        <v>712</v>
      </c>
      <c r="C242" t="s">
        <v>734</v>
      </c>
      <c r="D242">
        <v>2018</v>
      </c>
      <c r="E242">
        <v>3</v>
      </c>
      <c r="F242">
        <v>29</v>
      </c>
      <c r="G242">
        <v>4</v>
      </c>
      <c r="H242">
        <v>16</v>
      </c>
      <c r="I242">
        <v>0</v>
      </c>
      <c r="J242">
        <v>92.800000000000011</v>
      </c>
      <c r="K242" t="s">
        <v>733</v>
      </c>
      <c r="L242" t="s">
        <v>1608</v>
      </c>
    </row>
    <row r="243" spans="1:12">
      <c r="A243">
        <v>241</v>
      </c>
      <c r="B243" t="s">
        <v>712</v>
      </c>
      <c r="C243" t="s">
        <v>734</v>
      </c>
      <c r="D243">
        <v>2018</v>
      </c>
      <c r="E243">
        <v>3</v>
      </c>
      <c r="F243">
        <v>29</v>
      </c>
      <c r="G243">
        <v>4</v>
      </c>
      <c r="H243">
        <v>16</v>
      </c>
      <c r="I243">
        <v>0</v>
      </c>
      <c r="J243">
        <v>52</v>
      </c>
      <c r="K243" t="s">
        <v>733</v>
      </c>
      <c r="L243" t="s">
        <v>1625</v>
      </c>
    </row>
    <row r="244" spans="1:12">
      <c r="A244">
        <v>242</v>
      </c>
      <c r="B244" t="s">
        <v>712</v>
      </c>
      <c r="C244" t="s">
        <v>734</v>
      </c>
      <c r="D244">
        <v>2018</v>
      </c>
      <c r="E244">
        <v>3</v>
      </c>
      <c r="F244">
        <v>40</v>
      </c>
      <c r="G244">
        <v>4</v>
      </c>
      <c r="H244">
        <v>16</v>
      </c>
      <c r="I244">
        <v>0</v>
      </c>
      <c r="J244">
        <v>36.450000000000003</v>
      </c>
      <c r="K244" t="s">
        <v>733</v>
      </c>
      <c r="L244" t="s">
        <v>1603</v>
      </c>
    </row>
    <row r="245" spans="1:12">
      <c r="A245">
        <v>243</v>
      </c>
      <c r="B245" t="s">
        <v>712</v>
      </c>
      <c r="C245" t="s">
        <v>734</v>
      </c>
      <c r="D245">
        <v>2018</v>
      </c>
      <c r="E245">
        <v>3</v>
      </c>
      <c r="F245">
        <v>40</v>
      </c>
      <c r="G245">
        <v>4</v>
      </c>
      <c r="H245">
        <v>16</v>
      </c>
      <c r="I245">
        <v>0</v>
      </c>
      <c r="J245">
        <v>36.46</v>
      </c>
      <c r="K245" t="s">
        <v>733</v>
      </c>
      <c r="L245" t="s">
        <v>1604</v>
      </c>
    </row>
    <row r="246" spans="1:12">
      <c r="A246">
        <v>244</v>
      </c>
      <c r="B246" t="s">
        <v>712</v>
      </c>
      <c r="C246" t="s">
        <v>734</v>
      </c>
      <c r="D246">
        <v>2018</v>
      </c>
      <c r="E246">
        <v>3</v>
      </c>
      <c r="F246">
        <v>41</v>
      </c>
      <c r="G246">
        <v>4</v>
      </c>
      <c r="H246">
        <v>16</v>
      </c>
      <c r="I246">
        <v>0</v>
      </c>
      <c r="J246">
        <v>5.91</v>
      </c>
      <c r="K246" t="s">
        <v>733</v>
      </c>
      <c r="L246" t="s">
        <v>1605</v>
      </c>
    </row>
    <row r="247" spans="1:12">
      <c r="A247">
        <v>245</v>
      </c>
      <c r="B247" t="s">
        <v>712</v>
      </c>
      <c r="C247" t="s">
        <v>734</v>
      </c>
      <c r="D247">
        <v>2018</v>
      </c>
      <c r="E247">
        <v>4</v>
      </c>
      <c r="F247">
        <v>11</v>
      </c>
      <c r="G247">
        <v>4</v>
      </c>
      <c r="H247">
        <v>20</v>
      </c>
      <c r="I247">
        <v>0</v>
      </c>
      <c r="J247">
        <v>-2468.16</v>
      </c>
      <c r="K247" t="s">
        <v>733</v>
      </c>
      <c r="L247" t="s">
        <v>1607</v>
      </c>
    </row>
    <row r="248" spans="1:12">
      <c r="A248">
        <v>246</v>
      </c>
      <c r="B248" t="s">
        <v>712</v>
      </c>
      <c r="C248" t="s">
        <v>734</v>
      </c>
      <c r="D248">
        <v>2018</v>
      </c>
      <c r="E248">
        <v>4</v>
      </c>
      <c r="F248">
        <v>26</v>
      </c>
      <c r="G248">
        <v>4</v>
      </c>
      <c r="H248">
        <v>20</v>
      </c>
      <c r="I248">
        <v>0</v>
      </c>
      <c r="J248">
        <v>566.66999999999996</v>
      </c>
      <c r="K248" t="s">
        <v>733</v>
      </c>
      <c r="L248" t="s">
        <v>1618</v>
      </c>
    </row>
    <row r="249" spans="1:12">
      <c r="A249">
        <v>247</v>
      </c>
      <c r="B249" t="s">
        <v>712</v>
      </c>
      <c r="C249" t="s">
        <v>734</v>
      </c>
      <c r="D249">
        <v>2018</v>
      </c>
      <c r="E249">
        <v>4</v>
      </c>
      <c r="F249">
        <v>33</v>
      </c>
      <c r="G249">
        <v>4</v>
      </c>
      <c r="H249">
        <v>20</v>
      </c>
      <c r="I249">
        <v>0</v>
      </c>
      <c r="J249">
        <v>1180</v>
      </c>
      <c r="K249" t="s">
        <v>733</v>
      </c>
      <c r="L249" t="s">
        <v>1624</v>
      </c>
    </row>
    <row r="250" spans="1:12">
      <c r="A250">
        <v>248</v>
      </c>
      <c r="B250" t="s">
        <v>712</v>
      </c>
      <c r="C250" t="s">
        <v>734</v>
      </c>
      <c r="D250">
        <v>2018</v>
      </c>
      <c r="E250">
        <v>4</v>
      </c>
      <c r="F250">
        <v>40</v>
      </c>
      <c r="G250">
        <v>4</v>
      </c>
      <c r="H250">
        <v>20</v>
      </c>
      <c r="I250">
        <v>0</v>
      </c>
      <c r="J250">
        <v>54.940000000000005</v>
      </c>
      <c r="K250" t="s">
        <v>733</v>
      </c>
      <c r="L250" t="s">
        <v>1603</v>
      </c>
    </row>
    <row r="251" spans="1:12">
      <c r="A251">
        <v>249</v>
      </c>
      <c r="B251" t="s">
        <v>712</v>
      </c>
      <c r="C251" t="s">
        <v>734</v>
      </c>
      <c r="D251">
        <v>2018</v>
      </c>
      <c r="E251">
        <v>4</v>
      </c>
      <c r="F251">
        <v>40</v>
      </c>
      <c r="G251">
        <v>4</v>
      </c>
      <c r="H251">
        <v>20</v>
      </c>
      <c r="I251">
        <v>0</v>
      </c>
      <c r="J251">
        <v>54.930000000000007</v>
      </c>
      <c r="K251" t="s">
        <v>733</v>
      </c>
      <c r="L251" t="s">
        <v>1604</v>
      </c>
    </row>
    <row r="252" spans="1:12">
      <c r="A252">
        <v>250</v>
      </c>
      <c r="B252" t="s">
        <v>712</v>
      </c>
      <c r="C252" t="s">
        <v>734</v>
      </c>
      <c r="D252">
        <v>2018</v>
      </c>
      <c r="E252">
        <v>4</v>
      </c>
      <c r="F252">
        <v>41</v>
      </c>
      <c r="G252">
        <v>4</v>
      </c>
      <c r="H252">
        <v>20</v>
      </c>
      <c r="I252">
        <v>0</v>
      </c>
      <c r="J252">
        <v>8.91</v>
      </c>
      <c r="K252" t="s">
        <v>733</v>
      </c>
      <c r="L252" t="s">
        <v>1605</v>
      </c>
    </row>
    <row r="253" spans="1:12">
      <c r="A253">
        <v>251</v>
      </c>
      <c r="B253" t="s">
        <v>712</v>
      </c>
      <c r="C253" t="s">
        <v>734</v>
      </c>
      <c r="D253">
        <v>2018</v>
      </c>
      <c r="E253">
        <v>4</v>
      </c>
      <c r="F253">
        <v>45</v>
      </c>
      <c r="G253">
        <v>4</v>
      </c>
      <c r="H253">
        <v>20</v>
      </c>
      <c r="I253">
        <v>0</v>
      </c>
      <c r="J253">
        <v>1234.08</v>
      </c>
      <c r="K253" t="s">
        <v>733</v>
      </c>
      <c r="L253" t="s">
        <v>1606</v>
      </c>
    </row>
    <row r="254" spans="1:12">
      <c r="A254">
        <v>252</v>
      </c>
      <c r="B254" t="s">
        <v>712</v>
      </c>
      <c r="C254" t="s">
        <v>734</v>
      </c>
      <c r="D254">
        <v>2019</v>
      </c>
      <c r="E254">
        <v>1</v>
      </c>
      <c r="F254">
        <v>8</v>
      </c>
      <c r="G254">
        <v>3</v>
      </c>
      <c r="H254">
        <v>7</v>
      </c>
      <c r="I254">
        <v>-2777</v>
      </c>
      <c r="J254">
        <v>-1388</v>
      </c>
      <c r="K254" t="s">
        <v>733</v>
      </c>
      <c r="L254" t="s">
        <v>1599</v>
      </c>
    </row>
    <row r="255" spans="1:12">
      <c r="A255">
        <v>253</v>
      </c>
      <c r="B255" t="s">
        <v>712</v>
      </c>
      <c r="C255" t="s">
        <v>734</v>
      </c>
      <c r="D255">
        <v>2019</v>
      </c>
      <c r="E255">
        <v>1</v>
      </c>
      <c r="F255">
        <v>23</v>
      </c>
      <c r="G255">
        <v>3</v>
      </c>
      <c r="H255">
        <v>7</v>
      </c>
      <c r="I255">
        <v>2600</v>
      </c>
      <c r="J255">
        <v>0</v>
      </c>
      <c r="K255" t="s">
        <v>733</v>
      </c>
      <c r="L255" t="s">
        <v>1602</v>
      </c>
    </row>
    <row r="256" spans="1:12">
      <c r="A256">
        <v>254</v>
      </c>
      <c r="B256" t="s">
        <v>712</v>
      </c>
      <c r="C256" t="s">
        <v>734</v>
      </c>
      <c r="D256">
        <v>2019</v>
      </c>
      <c r="E256">
        <v>1</v>
      </c>
      <c r="F256">
        <v>29</v>
      </c>
      <c r="G256">
        <v>3</v>
      </c>
      <c r="H256">
        <v>7</v>
      </c>
      <c r="I256">
        <v>0</v>
      </c>
      <c r="J256">
        <v>180.25</v>
      </c>
      <c r="K256" t="s">
        <v>733</v>
      </c>
      <c r="L256" t="s">
        <v>1608</v>
      </c>
    </row>
    <row r="257" spans="1:12">
      <c r="A257">
        <v>255</v>
      </c>
      <c r="B257" t="s">
        <v>712</v>
      </c>
      <c r="C257" t="s">
        <v>734</v>
      </c>
      <c r="D257">
        <v>2019</v>
      </c>
      <c r="E257">
        <v>1</v>
      </c>
      <c r="F257">
        <v>40</v>
      </c>
      <c r="G257">
        <v>3</v>
      </c>
      <c r="H257">
        <v>7</v>
      </c>
      <c r="I257">
        <v>164</v>
      </c>
      <c r="J257">
        <v>6.1</v>
      </c>
      <c r="K257" t="s">
        <v>733</v>
      </c>
      <c r="L257" t="s">
        <v>1603</v>
      </c>
    </row>
    <row r="258" spans="1:12">
      <c r="A258">
        <v>256</v>
      </c>
      <c r="B258" t="s">
        <v>712</v>
      </c>
      <c r="C258" t="s">
        <v>734</v>
      </c>
      <c r="D258">
        <v>2019</v>
      </c>
      <c r="E258">
        <v>1</v>
      </c>
      <c r="F258">
        <v>40</v>
      </c>
      <c r="G258">
        <v>3</v>
      </c>
      <c r="H258">
        <v>7</v>
      </c>
      <c r="I258">
        <v>0</v>
      </c>
      <c r="J258">
        <v>6.09</v>
      </c>
      <c r="K258" t="s">
        <v>733</v>
      </c>
      <c r="L258" t="s">
        <v>1604</v>
      </c>
    </row>
    <row r="259" spans="1:12">
      <c r="A259">
        <v>257</v>
      </c>
      <c r="B259" t="s">
        <v>712</v>
      </c>
      <c r="C259" t="s">
        <v>734</v>
      </c>
      <c r="D259">
        <v>2019</v>
      </c>
      <c r="E259">
        <v>1</v>
      </c>
      <c r="F259">
        <v>41</v>
      </c>
      <c r="G259">
        <v>3</v>
      </c>
      <c r="H259">
        <v>7</v>
      </c>
      <c r="I259">
        <v>13</v>
      </c>
      <c r="J259">
        <v>1.1200000000000001</v>
      </c>
      <c r="K259" t="s">
        <v>733</v>
      </c>
      <c r="L259" t="s">
        <v>1605</v>
      </c>
    </row>
    <row r="260" spans="1:12">
      <c r="A260">
        <v>258</v>
      </c>
      <c r="B260" t="s">
        <v>712</v>
      </c>
      <c r="C260" t="s">
        <v>734</v>
      </c>
      <c r="D260">
        <v>2019</v>
      </c>
      <c r="E260">
        <v>2</v>
      </c>
      <c r="F260">
        <v>29</v>
      </c>
      <c r="G260">
        <v>3</v>
      </c>
      <c r="H260">
        <v>11</v>
      </c>
      <c r="I260">
        <v>0</v>
      </c>
      <c r="J260">
        <v>143</v>
      </c>
      <c r="K260" t="s">
        <v>733</v>
      </c>
      <c r="L260" t="s">
        <v>1608</v>
      </c>
    </row>
    <row r="261" spans="1:12">
      <c r="A261">
        <v>259</v>
      </c>
      <c r="B261" t="s">
        <v>712</v>
      </c>
      <c r="C261" t="s">
        <v>734</v>
      </c>
      <c r="D261">
        <v>2019</v>
      </c>
      <c r="E261">
        <v>2</v>
      </c>
      <c r="F261">
        <v>40</v>
      </c>
      <c r="G261">
        <v>3</v>
      </c>
      <c r="H261">
        <v>11</v>
      </c>
      <c r="I261">
        <v>0</v>
      </c>
      <c r="J261">
        <v>4.83</v>
      </c>
      <c r="K261" t="s">
        <v>733</v>
      </c>
      <c r="L261" t="s">
        <v>1603</v>
      </c>
    </row>
    <row r="262" spans="1:12">
      <c r="A262">
        <v>260</v>
      </c>
      <c r="B262" t="s">
        <v>712</v>
      </c>
      <c r="C262" t="s">
        <v>734</v>
      </c>
      <c r="D262">
        <v>2019</v>
      </c>
      <c r="E262">
        <v>2</v>
      </c>
      <c r="F262">
        <v>40</v>
      </c>
      <c r="G262">
        <v>3</v>
      </c>
      <c r="H262">
        <v>11</v>
      </c>
      <c r="I262">
        <v>0</v>
      </c>
      <c r="J262">
        <v>4.84</v>
      </c>
      <c r="K262" t="s">
        <v>733</v>
      </c>
      <c r="L262" t="s">
        <v>1604</v>
      </c>
    </row>
    <row r="263" spans="1:12">
      <c r="A263">
        <v>261</v>
      </c>
      <c r="B263" t="s">
        <v>712</v>
      </c>
      <c r="C263" t="s">
        <v>734</v>
      </c>
      <c r="D263">
        <v>2019</v>
      </c>
      <c r="E263">
        <v>2</v>
      </c>
      <c r="F263">
        <v>41</v>
      </c>
      <c r="G263">
        <v>3</v>
      </c>
      <c r="H263">
        <v>11</v>
      </c>
      <c r="I263">
        <v>0</v>
      </c>
      <c r="J263">
        <v>0.88000000000000012</v>
      </c>
      <c r="K263" t="s">
        <v>733</v>
      </c>
      <c r="L263" t="s">
        <v>1605</v>
      </c>
    </row>
    <row r="264" spans="1:12">
      <c r="A264">
        <v>262</v>
      </c>
      <c r="B264" t="s">
        <v>712</v>
      </c>
      <c r="C264" t="s">
        <v>734</v>
      </c>
      <c r="D264">
        <v>2019</v>
      </c>
      <c r="E264">
        <v>3</v>
      </c>
      <c r="F264">
        <v>8</v>
      </c>
      <c r="G264">
        <v>3</v>
      </c>
      <c r="H264">
        <v>15</v>
      </c>
      <c r="I264">
        <v>0</v>
      </c>
      <c r="J264">
        <v>-1389</v>
      </c>
      <c r="K264" t="s">
        <v>733</v>
      </c>
      <c r="L264" t="s">
        <v>1599</v>
      </c>
    </row>
    <row r="265" spans="1:12">
      <c r="A265">
        <v>263</v>
      </c>
      <c r="B265" t="s">
        <v>712</v>
      </c>
      <c r="C265" t="s">
        <v>734</v>
      </c>
      <c r="D265">
        <v>2019</v>
      </c>
      <c r="E265">
        <v>3</v>
      </c>
      <c r="F265">
        <v>26</v>
      </c>
      <c r="G265">
        <v>3</v>
      </c>
      <c r="H265">
        <v>15</v>
      </c>
      <c r="I265">
        <v>0</v>
      </c>
      <c r="J265">
        <v>868</v>
      </c>
      <c r="K265" t="s">
        <v>733</v>
      </c>
      <c r="L265" t="s">
        <v>1622</v>
      </c>
    </row>
    <row r="266" spans="1:12">
      <c r="A266">
        <v>264</v>
      </c>
      <c r="B266" t="s">
        <v>712</v>
      </c>
      <c r="C266" t="s">
        <v>734</v>
      </c>
      <c r="D266">
        <v>2019</v>
      </c>
      <c r="E266">
        <v>3</v>
      </c>
      <c r="F266">
        <v>26</v>
      </c>
      <c r="G266">
        <v>3</v>
      </c>
      <c r="H266">
        <v>15</v>
      </c>
      <c r="I266">
        <v>0</v>
      </c>
      <c r="J266">
        <v>515</v>
      </c>
      <c r="K266" t="s">
        <v>733</v>
      </c>
      <c r="L266" t="s">
        <v>1618</v>
      </c>
    </row>
    <row r="267" spans="1:12">
      <c r="A267">
        <v>265</v>
      </c>
      <c r="B267" t="s">
        <v>712</v>
      </c>
      <c r="C267" t="s">
        <v>734</v>
      </c>
      <c r="D267">
        <v>2019</v>
      </c>
      <c r="E267">
        <v>3</v>
      </c>
      <c r="F267">
        <v>27</v>
      </c>
      <c r="G267">
        <v>3</v>
      </c>
      <c r="H267">
        <v>15</v>
      </c>
      <c r="I267">
        <v>0</v>
      </c>
      <c r="J267">
        <v>70</v>
      </c>
      <c r="K267" t="s">
        <v>733</v>
      </c>
      <c r="L267" t="s">
        <v>1626</v>
      </c>
    </row>
    <row r="268" spans="1:12">
      <c r="A268">
        <v>266</v>
      </c>
      <c r="B268" t="s">
        <v>712</v>
      </c>
      <c r="C268" t="s">
        <v>734</v>
      </c>
      <c r="D268">
        <v>2019</v>
      </c>
      <c r="E268">
        <v>3</v>
      </c>
      <c r="F268">
        <v>29</v>
      </c>
      <c r="G268">
        <v>3</v>
      </c>
      <c r="H268">
        <v>15</v>
      </c>
      <c r="I268">
        <v>0</v>
      </c>
      <c r="J268">
        <v>87</v>
      </c>
      <c r="K268" t="s">
        <v>733</v>
      </c>
      <c r="L268" t="s">
        <v>1608</v>
      </c>
    </row>
    <row r="269" spans="1:12">
      <c r="A269">
        <v>267</v>
      </c>
      <c r="B269" t="s">
        <v>712</v>
      </c>
      <c r="C269" t="s">
        <v>734</v>
      </c>
      <c r="D269">
        <v>2019</v>
      </c>
      <c r="E269">
        <v>3</v>
      </c>
      <c r="F269">
        <v>29</v>
      </c>
      <c r="G269">
        <v>3</v>
      </c>
      <c r="H269">
        <v>15</v>
      </c>
      <c r="I269">
        <v>0</v>
      </c>
      <c r="J269">
        <v>0</v>
      </c>
      <c r="K269" t="s">
        <v>733</v>
      </c>
      <c r="L269" t="s">
        <v>1625</v>
      </c>
    </row>
    <row r="270" spans="1:12">
      <c r="A270">
        <v>268</v>
      </c>
      <c r="B270" t="s">
        <v>712</v>
      </c>
      <c r="C270" t="s">
        <v>734</v>
      </c>
      <c r="D270">
        <v>2019</v>
      </c>
      <c r="E270">
        <v>3</v>
      </c>
      <c r="F270">
        <v>40</v>
      </c>
      <c r="G270">
        <v>3</v>
      </c>
      <c r="H270">
        <v>15</v>
      </c>
      <c r="I270">
        <v>0</v>
      </c>
      <c r="J270">
        <v>52.06</v>
      </c>
      <c r="K270" t="s">
        <v>733</v>
      </c>
      <c r="L270" t="s">
        <v>1603</v>
      </c>
    </row>
    <row r="271" spans="1:12">
      <c r="A271">
        <v>269</v>
      </c>
      <c r="B271" t="s">
        <v>712</v>
      </c>
      <c r="C271" t="s">
        <v>734</v>
      </c>
      <c r="D271">
        <v>2019</v>
      </c>
      <c r="E271">
        <v>3</v>
      </c>
      <c r="F271">
        <v>40</v>
      </c>
      <c r="G271">
        <v>3</v>
      </c>
      <c r="H271">
        <v>15</v>
      </c>
      <c r="I271">
        <v>0</v>
      </c>
      <c r="J271">
        <v>52.05</v>
      </c>
      <c r="K271" t="s">
        <v>733</v>
      </c>
      <c r="L271" t="s">
        <v>1604</v>
      </c>
    </row>
    <row r="272" spans="1:12">
      <c r="A272">
        <v>270</v>
      </c>
      <c r="B272" t="s">
        <v>712</v>
      </c>
      <c r="C272" t="s">
        <v>734</v>
      </c>
      <c r="D272">
        <v>2019</v>
      </c>
      <c r="E272">
        <v>3</v>
      </c>
      <c r="F272">
        <v>41</v>
      </c>
      <c r="G272">
        <v>3</v>
      </c>
      <c r="H272">
        <v>15</v>
      </c>
      <c r="I272">
        <v>0</v>
      </c>
      <c r="J272">
        <v>9.5500000000000007</v>
      </c>
      <c r="K272" t="s">
        <v>733</v>
      </c>
      <c r="L272" t="s">
        <v>1605</v>
      </c>
    </row>
    <row r="273" spans="1:12">
      <c r="A273">
        <v>271</v>
      </c>
      <c r="B273" t="s">
        <v>712</v>
      </c>
      <c r="C273" t="s">
        <v>734</v>
      </c>
      <c r="D273">
        <v>2019</v>
      </c>
      <c r="E273">
        <v>4</v>
      </c>
      <c r="F273">
        <v>11</v>
      </c>
      <c r="G273">
        <v>3</v>
      </c>
      <c r="H273">
        <v>19</v>
      </c>
      <c r="I273">
        <v>0</v>
      </c>
      <c r="J273">
        <v>-618.5</v>
      </c>
      <c r="K273" t="s">
        <v>733</v>
      </c>
      <c r="L273" t="s">
        <v>1607</v>
      </c>
    </row>
    <row r="274" spans="1:12">
      <c r="A274">
        <v>272</v>
      </c>
      <c r="B274" t="s">
        <v>712</v>
      </c>
      <c r="C274" t="s">
        <v>734</v>
      </c>
      <c r="D274">
        <v>2019</v>
      </c>
      <c r="E274">
        <v>4</v>
      </c>
      <c r="F274">
        <v>26</v>
      </c>
      <c r="G274">
        <v>3</v>
      </c>
      <c r="H274">
        <v>19</v>
      </c>
      <c r="I274">
        <v>0</v>
      </c>
      <c r="J274">
        <v>523.26</v>
      </c>
      <c r="K274" t="s">
        <v>733</v>
      </c>
      <c r="L274" t="s">
        <v>1618</v>
      </c>
    </row>
    <row r="275" spans="1:12">
      <c r="A275">
        <v>273</v>
      </c>
      <c r="B275" t="s">
        <v>712</v>
      </c>
      <c r="C275" t="s">
        <v>734</v>
      </c>
      <c r="D275">
        <v>2019</v>
      </c>
      <c r="E275">
        <v>4</v>
      </c>
      <c r="F275">
        <v>29</v>
      </c>
      <c r="G275">
        <v>3</v>
      </c>
      <c r="H275">
        <v>19</v>
      </c>
      <c r="I275">
        <v>0</v>
      </c>
      <c r="J275">
        <v>683.37</v>
      </c>
      <c r="K275" t="s">
        <v>733</v>
      </c>
      <c r="L275" t="s">
        <v>1620</v>
      </c>
    </row>
    <row r="276" spans="1:12">
      <c r="A276">
        <v>274</v>
      </c>
      <c r="B276" t="s">
        <v>712</v>
      </c>
      <c r="C276" t="s">
        <v>734</v>
      </c>
      <c r="D276">
        <v>2019</v>
      </c>
      <c r="E276">
        <v>4</v>
      </c>
      <c r="F276">
        <v>29</v>
      </c>
      <c r="G276">
        <v>3</v>
      </c>
      <c r="H276">
        <v>19</v>
      </c>
      <c r="I276">
        <v>0</v>
      </c>
      <c r="J276">
        <v>92.25</v>
      </c>
      <c r="K276" t="s">
        <v>733</v>
      </c>
      <c r="L276" t="s">
        <v>1608</v>
      </c>
    </row>
    <row r="277" spans="1:12">
      <c r="A277">
        <v>275</v>
      </c>
      <c r="B277" t="s">
        <v>712</v>
      </c>
      <c r="C277" t="s">
        <v>734</v>
      </c>
      <c r="D277">
        <v>2019</v>
      </c>
      <c r="E277">
        <v>4</v>
      </c>
      <c r="F277">
        <v>40</v>
      </c>
      <c r="G277">
        <v>3</v>
      </c>
      <c r="H277">
        <v>19</v>
      </c>
      <c r="I277">
        <v>0</v>
      </c>
      <c r="J277">
        <v>43.89</v>
      </c>
      <c r="K277" t="s">
        <v>733</v>
      </c>
      <c r="L277" t="s">
        <v>1603</v>
      </c>
    </row>
    <row r="278" spans="1:12">
      <c r="A278">
        <v>276</v>
      </c>
      <c r="B278" t="s">
        <v>712</v>
      </c>
      <c r="C278" t="s">
        <v>734</v>
      </c>
      <c r="D278">
        <v>2019</v>
      </c>
      <c r="E278">
        <v>4</v>
      </c>
      <c r="F278">
        <v>40</v>
      </c>
      <c r="G278">
        <v>3</v>
      </c>
      <c r="H278">
        <v>19</v>
      </c>
      <c r="I278">
        <v>0</v>
      </c>
      <c r="J278">
        <v>43.910000000000004</v>
      </c>
      <c r="K278" t="s">
        <v>733</v>
      </c>
      <c r="L278" t="s">
        <v>1604</v>
      </c>
    </row>
    <row r="279" spans="1:12">
      <c r="A279">
        <v>277</v>
      </c>
      <c r="B279" t="s">
        <v>712</v>
      </c>
      <c r="C279" t="s">
        <v>734</v>
      </c>
      <c r="D279">
        <v>2019</v>
      </c>
      <c r="E279">
        <v>4</v>
      </c>
      <c r="F279">
        <v>41</v>
      </c>
      <c r="G279">
        <v>3</v>
      </c>
      <c r="H279">
        <v>19</v>
      </c>
      <c r="I279">
        <v>0</v>
      </c>
      <c r="J279">
        <v>8.0500000000000007</v>
      </c>
      <c r="K279" t="s">
        <v>733</v>
      </c>
      <c r="L279" t="s">
        <v>1605</v>
      </c>
    </row>
    <row r="280" spans="1:12">
      <c r="A280">
        <v>278</v>
      </c>
      <c r="B280" t="s">
        <v>712</v>
      </c>
      <c r="C280" t="s">
        <v>734</v>
      </c>
      <c r="D280">
        <v>2020</v>
      </c>
      <c r="E280">
        <v>1</v>
      </c>
      <c r="F280">
        <v>8</v>
      </c>
      <c r="G280">
        <v>2</v>
      </c>
      <c r="H280">
        <v>6</v>
      </c>
      <c r="I280">
        <v>-2800</v>
      </c>
      <c r="J280">
        <v>0</v>
      </c>
      <c r="K280" t="s">
        <v>733</v>
      </c>
      <c r="L280" t="s">
        <v>1599</v>
      </c>
    </row>
    <row r="281" spans="1:12">
      <c r="A281">
        <v>279</v>
      </c>
      <c r="B281" t="s">
        <v>712</v>
      </c>
      <c r="C281" t="s">
        <v>734</v>
      </c>
      <c r="D281">
        <v>2020</v>
      </c>
      <c r="E281">
        <v>1</v>
      </c>
      <c r="F281">
        <v>8</v>
      </c>
      <c r="G281">
        <v>2</v>
      </c>
      <c r="H281">
        <v>6</v>
      </c>
      <c r="I281">
        <v>0</v>
      </c>
      <c r="J281">
        <v>-1400</v>
      </c>
      <c r="K281" t="s">
        <v>733</v>
      </c>
      <c r="L281" t="s">
        <v>1611</v>
      </c>
    </row>
    <row r="282" spans="1:12">
      <c r="A282">
        <v>280</v>
      </c>
      <c r="B282" t="s">
        <v>712</v>
      </c>
      <c r="C282" t="s">
        <v>734</v>
      </c>
      <c r="D282">
        <v>2020</v>
      </c>
      <c r="E282">
        <v>1</v>
      </c>
      <c r="F282">
        <v>23</v>
      </c>
      <c r="G282">
        <v>2</v>
      </c>
      <c r="H282">
        <v>6</v>
      </c>
      <c r="I282">
        <v>2600</v>
      </c>
      <c r="J282">
        <v>0</v>
      </c>
      <c r="K282" t="s">
        <v>733</v>
      </c>
      <c r="L282" t="s">
        <v>1602</v>
      </c>
    </row>
    <row r="283" spans="1:12">
      <c r="A283">
        <v>281</v>
      </c>
      <c r="B283" t="s">
        <v>712</v>
      </c>
      <c r="C283" t="s">
        <v>734</v>
      </c>
      <c r="D283">
        <v>2020</v>
      </c>
      <c r="E283">
        <v>1</v>
      </c>
      <c r="F283">
        <v>27</v>
      </c>
      <c r="G283">
        <v>2</v>
      </c>
      <c r="H283">
        <v>6</v>
      </c>
      <c r="I283">
        <v>0</v>
      </c>
      <c r="J283">
        <v>205</v>
      </c>
      <c r="K283" t="s">
        <v>733</v>
      </c>
      <c r="L283" t="s">
        <v>1627</v>
      </c>
    </row>
    <row r="284" spans="1:12">
      <c r="A284">
        <v>282</v>
      </c>
      <c r="B284" t="s">
        <v>712</v>
      </c>
      <c r="C284" t="s">
        <v>734</v>
      </c>
      <c r="D284">
        <v>2020</v>
      </c>
      <c r="E284">
        <v>1</v>
      </c>
      <c r="F284">
        <v>40</v>
      </c>
      <c r="G284">
        <v>2</v>
      </c>
      <c r="H284">
        <v>6</v>
      </c>
      <c r="I284">
        <v>184</v>
      </c>
      <c r="J284">
        <v>7.23</v>
      </c>
      <c r="K284" t="s">
        <v>733</v>
      </c>
      <c r="L284" t="s">
        <v>1603</v>
      </c>
    </row>
    <row r="285" spans="1:12">
      <c r="A285">
        <v>283</v>
      </c>
      <c r="B285" t="s">
        <v>712</v>
      </c>
      <c r="C285" t="s">
        <v>734</v>
      </c>
      <c r="D285">
        <v>2020</v>
      </c>
      <c r="E285">
        <v>1</v>
      </c>
      <c r="F285">
        <v>40</v>
      </c>
      <c r="G285">
        <v>2</v>
      </c>
      <c r="H285">
        <v>6</v>
      </c>
      <c r="I285">
        <v>0</v>
      </c>
      <c r="J285">
        <v>7.24</v>
      </c>
      <c r="K285" t="s">
        <v>733</v>
      </c>
      <c r="L285" t="s">
        <v>1604</v>
      </c>
    </row>
    <row r="286" spans="1:12">
      <c r="A286">
        <v>284</v>
      </c>
      <c r="B286" t="s">
        <v>712</v>
      </c>
      <c r="C286" t="s">
        <v>734</v>
      </c>
      <c r="D286">
        <v>2020</v>
      </c>
      <c r="E286">
        <v>1</v>
      </c>
      <c r="F286">
        <v>41</v>
      </c>
      <c r="G286">
        <v>2</v>
      </c>
      <c r="H286">
        <v>6</v>
      </c>
      <c r="I286">
        <v>16</v>
      </c>
      <c r="J286">
        <v>1.27</v>
      </c>
      <c r="K286" t="s">
        <v>733</v>
      </c>
      <c r="L286" t="s">
        <v>1605</v>
      </c>
    </row>
    <row r="287" spans="1:12">
      <c r="A287">
        <v>285</v>
      </c>
      <c r="B287" t="s">
        <v>712</v>
      </c>
      <c r="C287" t="s">
        <v>734</v>
      </c>
      <c r="D287">
        <v>2020</v>
      </c>
      <c r="E287">
        <v>2</v>
      </c>
      <c r="F287">
        <v>29</v>
      </c>
      <c r="G287">
        <v>2</v>
      </c>
      <c r="H287">
        <v>10</v>
      </c>
      <c r="I287">
        <v>0</v>
      </c>
      <c r="J287">
        <v>86</v>
      </c>
      <c r="K287" t="s">
        <v>733</v>
      </c>
      <c r="L287" t="s">
        <v>1608</v>
      </c>
    </row>
    <row r="288" spans="1:12">
      <c r="A288">
        <v>286</v>
      </c>
      <c r="B288" t="s">
        <v>712</v>
      </c>
      <c r="C288" t="s">
        <v>734</v>
      </c>
      <c r="D288">
        <v>2020</v>
      </c>
      <c r="E288">
        <v>2</v>
      </c>
      <c r="F288">
        <v>40</v>
      </c>
      <c r="G288">
        <v>2</v>
      </c>
      <c r="H288">
        <v>10</v>
      </c>
      <c r="I288">
        <v>0</v>
      </c>
      <c r="J288">
        <v>3.04</v>
      </c>
      <c r="K288" t="s">
        <v>733</v>
      </c>
      <c r="L288" t="s">
        <v>1603</v>
      </c>
    </row>
    <row r="289" spans="1:12">
      <c r="A289">
        <v>287</v>
      </c>
      <c r="B289" t="s">
        <v>712</v>
      </c>
      <c r="C289" t="s">
        <v>734</v>
      </c>
      <c r="D289">
        <v>2020</v>
      </c>
      <c r="E289">
        <v>2</v>
      </c>
      <c r="F289">
        <v>40</v>
      </c>
      <c r="G289">
        <v>2</v>
      </c>
      <c r="H289">
        <v>10</v>
      </c>
      <c r="I289">
        <v>0</v>
      </c>
      <c r="J289">
        <v>3.0300000000000002</v>
      </c>
      <c r="K289" t="s">
        <v>733</v>
      </c>
      <c r="L289" t="s">
        <v>1604</v>
      </c>
    </row>
    <row r="290" spans="1:12">
      <c r="A290">
        <v>288</v>
      </c>
      <c r="B290" t="s">
        <v>712</v>
      </c>
      <c r="C290" t="s">
        <v>734</v>
      </c>
      <c r="D290">
        <v>2020</v>
      </c>
      <c r="E290">
        <v>2</v>
      </c>
      <c r="F290">
        <v>41</v>
      </c>
      <c r="G290">
        <v>2</v>
      </c>
      <c r="H290">
        <v>10</v>
      </c>
      <c r="I290">
        <v>0</v>
      </c>
      <c r="J290">
        <v>0.53</v>
      </c>
      <c r="K290" t="s">
        <v>733</v>
      </c>
      <c r="L290" t="s">
        <v>1605</v>
      </c>
    </row>
    <row r="291" spans="1:12">
      <c r="A291">
        <v>289</v>
      </c>
      <c r="B291" t="s">
        <v>712</v>
      </c>
      <c r="C291" t="s">
        <v>734</v>
      </c>
      <c r="D291">
        <v>2020</v>
      </c>
      <c r="E291">
        <v>3</v>
      </c>
      <c r="F291">
        <v>8</v>
      </c>
      <c r="G291">
        <v>2</v>
      </c>
      <c r="H291">
        <v>14</v>
      </c>
      <c r="I291">
        <v>0</v>
      </c>
      <c r="J291">
        <v>-1400</v>
      </c>
      <c r="K291" t="s">
        <v>733</v>
      </c>
      <c r="L291" t="s">
        <v>1611</v>
      </c>
    </row>
    <row r="292" spans="1:12">
      <c r="A292">
        <v>290</v>
      </c>
      <c r="B292" t="s">
        <v>712</v>
      </c>
      <c r="C292" t="s">
        <v>734</v>
      </c>
      <c r="D292">
        <v>2020</v>
      </c>
      <c r="E292">
        <v>3</v>
      </c>
      <c r="F292">
        <v>26</v>
      </c>
      <c r="G292">
        <v>2</v>
      </c>
      <c r="H292">
        <v>14</v>
      </c>
      <c r="I292">
        <v>0</v>
      </c>
      <c r="J292">
        <v>1364</v>
      </c>
      <c r="K292" t="s">
        <v>733</v>
      </c>
      <c r="L292" t="s">
        <v>1622</v>
      </c>
    </row>
    <row r="293" spans="1:12">
      <c r="A293">
        <v>291</v>
      </c>
      <c r="B293" t="s">
        <v>712</v>
      </c>
      <c r="C293" t="s">
        <v>734</v>
      </c>
      <c r="D293">
        <v>2020</v>
      </c>
      <c r="E293">
        <v>3</v>
      </c>
      <c r="F293">
        <v>26</v>
      </c>
      <c r="G293">
        <v>2</v>
      </c>
      <c r="H293">
        <v>14</v>
      </c>
      <c r="I293">
        <v>0</v>
      </c>
      <c r="J293">
        <v>202</v>
      </c>
      <c r="K293" t="s">
        <v>733</v>
      </c>
      <c r="L293" t="s">
        <v>1618</v>
      </c>
    </row>
    <row r="294" spans="1:12">
      <c r="A294">
        <v>292</v>
      </c>
      <c r="B294" t="s">
        <v>712</v>
      </c>
      <c r="C294" t="s">
        <v>734</v>
      </c>
      <c r="D294">
        <v>2020</v>
      </c>
      <c r="E294">
        <v>3</v>
      </c>
      <c r="F294">
        <v>29</v>
      </c>
      <c r="G294">
        <v>2</v>
      </c>
      <c r="H294">
        <v>14</v>
      </c>
      <c r="I294">
        <v>0</v>
      </c>
      <c r="J294">
        <v>70</v>
      </c>
      <c r="K294" t="s">
        <v>733</v>
      </c>
      <c r="L294" t="s">
        <v>1628</v>
      </c>
    </row>
    <row r="295" spans="1:12">
      <c r="A295">
        <v>293</v>
      </c>
      <c r="B295" t="s">
        <v>712</v>
      </c>
      <c r="C295" t="s">
        <v>734</v>
      </c>
      <c r="D295">
        <v>2020</v>
      </c>
      <c r="E295">
        <v>3</v>
      </c>
      <c r="F295">
        <v>29</v>
      </c>
      <c r="G295">
        <v>2</v>
      </c>
      <c r="H295">
        <v>14</v>
      </c>
      <c r="I295">
        <v>0</v>
      </c>
      <c r="J295">
        <v>104</v>
      </c>
      <c r="K295" t="s">
        <v>733</v>
      </c>
      <c r="L295" t="s">
        <v>1625</v>
      </c>
    </row>
    <row r="296" spans="1:12">
      <c r="A296">
        <v>294</v>
      </c>
      <c r="B296" t="s">
        <v>712</v>
      </c>
      <c r="C296" t="s">
        <v>734</v>
      </c>
      <c r="D296">
        <v>2020</v>
      </c>
      <c r="E296">
        <v>3</v>
      </c>
      <c r="F296">
        <v>33</v>
      </c>
      <c r="G296">
        <v>2</v>
      </c>
      <c r="H296">
        <v>14</v>
      </c>
      <c r="I296">
        <v>0</v>
      </c>
      <c r="J296">
        <v>1436.62</v>
      </c>
      <c r="K296" t="s">
        <v>733</v>
      </c>
      <c r="L296" t="s">
        <v>1624</v>
      </c>
    </row>
    <row r="297" spans="1:12">
      <c r="A297">
        <v>295</v>
      </c>
      <c r="B297" t="s">
        <v>712</v>
      </c>
      <c r="C297" t="s">
        <v>734</v>
      </c>
      <c r="D297">
        <v>2020</v>
      </c>
      <c r="E297">
        <v>3</v>
      </c>
      <c r="F297">
        <v>40</v>
      </c>
      <c r="G297">
        <v>2</v>
      </c>
      <c r="H297">
        <v>14</v>
      </c>
      <c r="I297">
        <v>0</v>
      </c>
      <c r="J297">
        <v>112.13</v>
      </c>
      <c r="K297" t="s">
        <v>733</v>
      </c>
      <c r="L297" t="s">
        <v>1603</v>
      </c>
    </row>
    <row r="298" spans="1:12">
      <c r="A298">
        <v>296</v>
      </c>
      <c r="B298" t="s">
        <v>712</v>
      </c>
      <c r="C298" t="s">
        <v>734</v>
      </c>
      <c r="D298">
        <v>2020</v>
      </c>
      <c r="E298">
        <v>3</v>
      </c>
      <c r="F298">
        <v>40</v>
      </c>
      <c r="G298">
        <v>2</v>
      </c>
      <c r="H298">
        <v>14</v>
      </c>
      <c r="I298">
        <v>0</v>
      </c>
      <c r="J298">
        <v>112.14</v>
      </c>
      <c r="K298" t="s">
        <v>733</v>
      </c>
      <c r="L298" t="s">
        <v>1604</v>
      </c>
    </row>
    <row r="299" spans="1:12">
      <c r="A299">
        <v>297</v>
      </c>
      <c r="B299" t="s">
        <v>712</v>
      </c>
      <c r="C299" t="s">
        <v>734</v>
      </c>
      <c r="D299">
        <v>2020</v>
      </c>
      <c r="E299">
        <v>3</v>
      </c>
      <c r="F299">
        <v>41</v>
      </c>
      <c r="G299">
        <v>2</v>
      </c>
      <c r="H299">
        <v>14</v>
      </c>
      <c r="I299">
        <v>0</v>
      </c>
      <c r="J299">
        <v>19.690000000000001</v>
      </c>
      <c r="K299" t="s">
        <v>733</v>
      </c>
      <c r="L299" t="s">
        <v>1605</v>
      </c>
    </row>
    <row r="300" spans="1:12">
      <c r="A300">
        <v>298</v>
      </c>
      <c r="B300" t="s">
        <v>712</v>
      </c>
      <c r="C300" t="s">
        <v>734</v>
      </c>
      <c r="D300">
        <v>2020</v>
      </c>
      <c r="E300">
        <v>4</v>
      </c>
      <c r="F300">
        <v>11</v>
      </c>
      <c r="G300">
        <v>2</v>
      </c>
      <c r="H300">
        <v>18</v>
      </c>
      <c r="I300">
        <v>0</v>
      </c>
      <c r="J300">
        <v>-1612.65</v>
      </c>
      <c r="K300" t="s">
        <v>733</v>
      </c>
      <c r="L300" t="s">
        <v>1607</v>
      </c>
    </row>
    <row r="301" spans="1:12">
      <c r="A301">
        <v>299</v>
      </c>
      <c r="B301" t="s">
        <v>712</v>
      </c>
      <c r="C301" t="s">
        <v>734</v>
      </c>
      <c r="D301">
        <v>2020</v>
      </c>
      <c r="E301">
        <v>4</v>
      </c>
      <c r="F301">
        <v>26</v>
      </c>
      <c r="G301">
        <v>2</v>
      </c>
      <c r="H301">
        <v>18</v>
      </c>
      <c r="I301">
        <v>0</v>
      </c>
      <c r="J301">
        <v>384.65999999999997</v>
      </c>
      <c r="K301" t="s">
        <v>733</v>
      </c>
      <c r="L301" t="s">
        <v>1618</v>
      </c>
    </row>
    <row r="302" spans="1:12">
      <c r="A302">
        <v>300</v>
      </c>
      <c r="B302" t="s">
        <v>712</v>
      </c>
      <c r="C302" t="s">
        <v>734</v>
      </c>
      <c r="D302">
        <v>2020</v>
      </c>
      <c r="E302">
        <v>4</v>
      </c>
      <c r="F302">
        <v>29</v>
      </c>
      <c r="G302">
        <v>2</v>
      </c>
      <c r="H302">
        <v>18</v>
      </c>
      <c r="I302">
        <v>0</v>
      </c>
      <c r="J302">
        <v>245.66</v>
      </c>
      <c r="K302" t="s">
        <v>733</v>
      </c>
      <c r="L302" t="s">
        <v>1629</v>
      </c>
    </row>
    <row r="303" spans="1:12">
      <c r="A303">
        <v>301</v>
      </c>
      <c r="B303" t="s">
        <v>712</v>
      </c>
      <c r="C303" t="s">
        <v>734</v>
      </c>
      <c r="D303">
        <v>2020</v>
      </c>
      <c r="E303">
        <v>4</v>
      </c>
      <c r="F303">
        <v>40</v>
      </c>
      <c r="G303">
        <v>2</v>
      </c>
      <c r="H303">
        <v>18</v>
      </c>
      <c r="I303">
        <v>0</v>
      </c>
      <c r="J303">
        <v>22.25</v>
      </c>
      <c r="K303" t="s">
        <v>733</v>
      </c>
      <c r="L303" t="s">
        <v>1603</v>
      </c>
    </row>
    <row r="304" spans="1:12">
      <c r="A304">
        <v>302</v>
      </c>
      <c r="B304" t="s">
        <v>712</v>
      </c>
      <c r="C304" t="s">
        <v>734</v>
      </c>
      <c r="D304">
        <v>2020</v>
      </c>
      <c r="E304">
        <v>4</v>
      </c>
      <c r="F304">
        <v>40</v>
      </c>
      <c r="G304">
        <v>2</v>
      </c>
      <c r="H304">
        <v>18</v>
      </c>
      <c r="I304">
        <v>0</v>
      </c>
      <c r="J304">
        <v>22.25</v>
      </c>
      <c r="K304" t="s">
        <v>733</v>
      </c>
      <c r="L304" t="s">
        <v>1604</v>
      </c>
    </row>
    <row r="305" spans="1:12">
      <c r="A305">
        <v>303</v>
      </c>
      <c r="B305" t="s">
        <v>712</v>
      </c>
      <c r="C305" t="s">
        <v>734</v>
      </c>
      <c r="D305">
        <v>2020</v>
      </c>
      <c r="E305">
        <v>4</v>
      </c>
      <c r="F305">
        <v>41</v>
      </c>
      <c r="G305">
        <v>2</v>
      </c>
      <c r="H305">
        <v>18</v>
      </c>
      <c r="I305">
        <v>0</v>
      </c>
      <c r="J305">
        <v>3.91</v>
      </c>
      <c r="K305" t="s">
        <v>733</v>
      </c>
      <c r="L305" t="s">
        <v>1605</v>
      </c>
    </row>
    <row r="306" spans="1:12">
      <c r="A306">
        <v>304</v>
      </c>
      <c r="B306" t="s">
        <v>712</v>
      </c>
      <c r="C306" t="s">
        <v>746</v>
      </c>
      <c r="D306">
        <v>2017</v>
      </c>
      <c r="E306">
        <v>1</v>
      </c>
      <c r="F306">
        <v>8</v>
      </c>
      <c r="G306">
        <v>5</v>
      </c>
      <c r="H306">
        <v>9</v>
      </c>
      <c r="I306">
        <v>-26635</v>
      </c>
      <c r="J306">
        <v>-12637.99</v>
      </c>
      <c r="K306" t="s">
        <v>745</v>
      </c>
      <c r="L306" t="s">
        <v>1599</v>
      </c>
    </row>
    <row r="307" spans="1:12">
      <c r="A307">
        <v>305</v>
      </c>
      <c r="B307" t="s">
        <v>712</v>
      </c>
      <c r="C307" t="s">
        <v>746</v>
      </c>
      <c r="D307">
        <v>2017</v>
      </c>
      <c r="E307">
        <v>1</v>
      </c>
      <c r="F307">
        <v>23</v>
      </c>
      <c r="G307">
        <v>5</v>
      </c>
      <c r="H307">
        <v>9</v>
      </c>
      <c r="I307">
        <v>25000</v>
      </c>
      <c r="J307">
        <v>0</v>
      </c>
      <c r="K307" t="s">
        <v>745</v>
      </c>
      <c r="L307" t="s">
        <v>1602</v>
      </c>
    </row>
    <row r="308" spans="1:12">
      <c r="A308">
        <v>306</v>
      </c>
      <c r="B308" t="s">
        <v>712</v>
      </c>
      <c r="C308" t="s">
        <v>746</v>
      </c>
      <c r="D308">
        <v>2017</v>
      </c>
      <c r="E308">
        <v>1</v>
      </c>
      <c r="F308">
        <v>40</v>
      </c>
      <c r="G308">
        <v>5</v>
      </c>
      <c r="H308">
        <v>9</v>
      </c>
      <c r="I308">
        <v>1510</v>
      </c>
      <c r="J308">
        <v>0</v>
      </c>
      <c r="K308" t="s">
        <v>745</v>
      </c>
      <c r="L308" t="s">
        <v>1603</v>
      </c>
    </row>
    <row r="309" spans="1:12">
      <c r="A309">
        <v>307</v>
      </c>
      <c r="B309" t="s">
        <v>712</v>
      </c>
      <c r="C309" t="s">
        <v>746</v>
      </c>
      <c r="D309">
        <v>2017</v>
      </c>
      <c r="E309">
        <v>1</v>
      </c>
      <c r="F309">
        <v>41</v>
      </c>
      <c r="G309">
        <v>5</v>
      </c>
      <c r="H309">
        <v>9</v>
      </c>
      <c r="I309">
        <v>125</v>
      </c>
      <c r="J309">
        <v>0</v>
      </c>
      <c r="K309" t="s">
        <v>745</v>
      </c>
      <c r="L309" t="s">
        <v>1605</v>
      </c>
    </row>
    <row r="310" spans="1:12">
      <c r="A310">
        <v>308</v>
      </c>
      <c r="B310" t="s">
        <v>712</v>
      </c>
      <c r="C310" t="s">
        <v>746</v>
      </c>
      <c r="D310">
        <v>2017</v>
      </c>
      <c r="E310">
        <v>2</v>
      </c>
      <c r="F310">
        <v>8</v>
      </c>
      <c r="G310">
        <v>5</v>
      </c>
      <c r="H310">
        <v>13</v>
      </c>
      <c r="I310">
        <v>0</v>
      </c>
      <c r="J310">
        <v>9818.3799999999992</v>
      </c>
      <c r="K310" t="s">
        <v>745</v>
      </c>
      <c r="L310" t="s">
        <v>1599</v>
      </c>
    </row>
    <row r="311" spans="1:12">
      <c r="A311">
        <v>309</v>
      </c>
      <c r="B311" t="s">
        <v>712</v>
      </c>
      <c r="C311" t="s">
        <v>746</v>
      </c>
      <c r="D311">
        <v>2017</v>
      </c>
      <c r="E311">
        <v>3</v>
      </c>
      <c r="F311">
        <v>8</v>
      </c>
      <c r="G311">
        <v>5</v>
      </c>
      <c r="H311">
        <v>17</v>
      </c>
      <c r="I311">
        <v>0</v>
      </c>
      <c r="J311">
        <v>3532.929999999998</v>
      </c>
      <c r="K311" t="s">
        <v>745</v>
      </c>
      <c r="L311" t="s">
        <v>1599</v>
      </c>
    </row>
    <row r="312" spans="1:12">
      <c r="A312">
        <v>310</v>
      </c>
      <c r="B312" t="s">
        <v>712</v>
      </c>
      <c r="C312" t="s">
        <v>746</v>
      </c>
      <c r="D312">
        <v>2017</v>
      </c>
      <c r="E312">
        <v>4</v>
      </c>
      <c r="F312">
        <v>8</v>
      </c>
      <c r="G312">
        <v>5</v>
      </c>
      <c r="H312">
        <v>21</v>
      </c>
      <c r="I312">
        <v>0</v>
      </c>
      <c r="J312">
        <v>1569.9199999999996</v>
      </c>
      <c r="K312" t="s">
        <v>745</v>
      </c>
      <c r="L312" t="s">
        <v>1599</v>
      </c>
    </row>
    <row r="313" spans="1:12">
      <c r="A313">
        <v>311</v>
      </c>
      <c r="B313" t="s">
        <v>712</v>
      </c>
      <c r="C313" t="s">
        <v>746</v>
      </c>
      <c r="D313">
        <v>2017</v>
      </c>
      <c r="E313">
        <v>4</v>
      </c>
      <c r="F313">
        <v>11</v>
      </c>
      <c r="G313">
        <v>5</v>
      </c>
      <c r="H313">
        <v>21</v>
      </c>
      <c r="I313">
        <v>0</v>
      </c>
      <c r="J313">
        <v>-34156.67</v>
      </c>
      <c r="K313" t="s">
        <v>745</v>
      </c>
      <c r="L313" t="s">
        <v>1607</v>
      </c>
    </row>
    <row r="314" spans="1:12">
      <c r="A314">
        <v>312</v>
      </c>
      <c r="B314" t="s">
        <v>712</v>
      </c>
      <c r="C314" t="s">
        <v>746</v>
      </c>
      <c r="D314">
        <v>2017</v>
      </c>
      <c r="E314">
        <v>4</v>
      </c>
      <c r="F314">
        <v>26</v>
      </c>
      <c r="G314">
        <v>5</v>
      </c>
      <c r="H314">
        <v>21</v>
      </c>
      <c r="I314">
        <v>0</v>
      </c>
      <c r="J314">
        <v>318</v>
      </c>
      <c r="K314" t="s">
        <v>745</v>
      </c>
      <c r="L314" t="s">
        <v>1618</v>
      </c>
    </row>
    <row r="315" spans="1:12">
      <c r="A315">
        <v>313</v>
      </c>
      <c r="B315" t="s">
        <v>712</v>
      </c>
      <c r="C315" t="s">
        <v>746</v>
      </c>
      <c r="D315">
        <v>2017</v>
      </c>
      <c r="E315">
        <v>4</v>
      </c>
      <c r="F315">
        <v>40</v>
      </c>
      <c r="G315">
        <v>5</v>
      </c>
      <c r="H315">
        <v>21</v>
      </c>
      <c r="I315">
        <v>0</v>
      </c>
      <c r="J315">
        <v>9.6100000000000012</v>
      </c>
      <c r="K315" t="s">
        <v>745</v>
      </c>
      <c r="L315" t="s">
        <v>1603</v>
      </c>
    </row>
    <row r="316" spans="1:12">
      <c r="A316">
        <v>314</v>
      </c>
      <c r="B316" t="s">
        <v>712</v>
      </c>
      <c r="C316" t="s">
        <v>746</v>
      </c>
      <c r="D316">
        <v>2017</v>
      </c>
      <c r="E316">
        <v>4</v>
      </c>
      <c r="F316">
        <v>40</v>
      </c>
      <c r="G316">
        <v>5</v>
      </c>
      <c r="H316">
        <v>21</v>
      </c>
      <c r="I316">
        <v>0</v>
      </c>
      <c r="J316">
        <v>9.6</v>
      </c>
      <c r="K316" t="s">
        <v>745</v>
      </c>
      <c r="L316" t="s">
        <v>1604</v>
      </c>
    </row>
    <row r="317" spans="1:12">
      <c r="A317">
        <v>315</v>
      </c>
      <c r="B317" t="s">
        <v>712</v>
      </c>
      <c r="C317" t="s">
        <v>746</v>
      </c>
      <c r="D317">
        <v>2017</v>
      </c>
      <c r="E317">
        <v>4</v>
      </c>
      <c r="F317">
        <v>41</v>
      </c>
      <c r="G317">
        <v>5</v>
      </c>
      <c r="H317">
        <v>21</v>
      </c>
      <c r="I317">
        <v>0</v>
      </c>
      <c r="J317">
        <v>1.59</v>
      </c>
      <c r="K317" t="s">
        <v>745</v>
      </c>
      <c r="L317" t="s">
        <v>1605</v>
      </c>
    </row>
    <row r="318" spans="1:12">
      <c r="A318">
        <v>316</v>
      </c>
      <c r="B318" t="s">
        <v>712</v>
      </c>
      <c r="C318" t="s">
        <v>746</v>
      </c>
      <c r="D318">
        <v>2018</v>
      </c>
      <c r="E318">
        <v>1</v>
      </c>
      <c r="F318">
        <v>8</v>
      </c>
      <c r="G318">
        <v>4</v>
      </c>
      <c r="H318">
        <v>8</v>
      </c>
      <c r="I318">
        <v>-26635</v>
      </c>
      <c r="J318">
        <v>-13317</v>
      </c>
      <c r="K318" t="s">
        <v>745</v>
      </c>
      <c r="L318" t="s">
        <v>1599</v>
      </c>
    </row>
    <row r="319" spans="1:12">
      <c r="A319">
        <v>317</v>
      </c>
      <c r="B319" t="s">
        <v>712</v>
      </c>
      <c r="C319" t="s">
        <v>746</v>
      </c>
      <c r="D319">
        <v>2018</v>
      </c>
      <c r="E319">
        <v>1</v>
      </c>
      <c r="F319">
        <v>23</v>
      </c>
      <c r="G319">
        <v>4</v>
      </c>
      <c r="H319">
        <v>8</v>
      </c>
      <c r="I319">
        <v>25000</v>
      </c>
      <c r="J319">
        <v>0</v>
      </c>
      <c r="K319" t="s">
        <v>745</v>
      </c>
      <c r="L319" t="s">
        <v>1602</v>
      </c>
    </row>
    <row r="320" spans="1:12">
      <c r="A320">
        <v>318</v>
      </c>
      <c r="B320" t="s">
        <v>712</v>
      </c>
      <c r="C320" t="s">
        <v>746</v>
      </c>
      <c r="D320">
        <v>2018</v>
      </c>
      <c r="E320">
        <v>1</v>
      </c>
      <c r="F320">
        <v>40</v>
      </c>
      <c r="G320">
        <v>4</v>
      </c>
      <c r="H320">
        <v>8</v>
      </c>
      <c r="I320">
        <v>1510</v>
      </c>
      <c r="J320">
        <v>0</v>
      </c>
      <c r="K320" t="s">
        <v>745</v>
      </c>
      <c r="L320" t="s">
        <v>1603</v>
      </c>
    </row>
    <row r="321" spans="1:12">
      <c r="A321">
        <v>319</v>
      </c>
      <c r="B321" t="s">
        <v>712</v>
      </c>
      <c r="C321" t="s">
        <v>746</v>
      </c>
      <c r="D321">
        <v>2018</v>
      </c>
      <c r="E321">
        <v>1</v>
      </c>
      <c r="F321">
        <v>41</v>
      </c>
      <c r="G321">
        <v>4</v>
      </c>
      <c r="H321">
        <v>8</v>
      </c>
      <c r="I321">
        <v>125</v>
      </c>
      <c r="J321">
        <v>0</v>
      </c>
      <c r="K321" t="s">
        <v>745</v>
      </c>
      <c r="L321" t="s">
        <v>1605</v>
      </c>
    </row>
    <row r="322" spans="1:12">
      <c r="A322">
        <v>320</v>
      </c>
      <c r="B322" t="s">
        <v>712</v>
      </c>
      <c r="C322" t="s">
        <v>746</v>
      </c>
      <c r="D322">
        <v>2018</v>
      </c>
      <c r="E322">
        <v>2</v>
      </c>
      <c r="F322">
        <v>11</v>
      </c>
      <c r="G322">
        <v>4</v>
      </c>
      <c r="H322">
        <v>12</v>
      </c>
      <c r="I322">
        <v>0</v>
      </c>
      <c r="J322">
        <v>-468.16</v>
      </c>
      <c r="K322" t="s">
        <v>745</v>
      </c>
      <c r="L322" t="s">
        <v>1607</v>
      </c>
    </row>
    <row r="323" spans="1:12">
      <c r="A323">
        <v>321</v>
      </c>
      <c r="B323" t="s">
        <v>712</v>
      </c>
      <c r="C323" t="s">
        <v>746</v>
      </c>
      <c r="D323">
        <v>2018</v>
      </c>
      <c r="E323">
        <v>2</v>
      </c>
      <c r="F323">
        <v>45</v>
      </c>
      <c r="G323">
        <v>4</v>
      </c>
      <c r="H323">
        <v>12</v>
      </c>
      <c r="I323">
        <v>0</v>
      </c>
      <c r="J323">
        <v>10771.099999999999</v>
      </c>
      <c r="K323" t="s">
        <v>745</v>
      </c>
      <c r="L323" t="s">
        <v>1606</v>
      </c>
    </row>
    <row r="324" spans="1:12">
      <c r="A324">
        <v>322</v>
      </c>
      <c r="B324" t="s">
        <v>712</v>
      </c>
      <c r="C324" t="s">
        <v>746</v>
      </c>
      <c r="D324">
        <v>2018</v>
      </c>
      <c r="E324">
        <v>3</v>
      </c>
      <c r="F324">
        <v>8</v>
      </c>
      <c r="G324">
        <v>4</v>
      </c>
      <c r="H324">
        <v>16</v>
      </c>
      <c r="I324">
        <v>0</v>
      </c>
      <c r="J324">
        <v>-13318</v>
      </c>
      <c r="K324" t="s">
        <v>745</v>
      </c>
      <c r="L324" t="s">
        <v>1599</v>
      </c>
    </row>
    <row r="325" spans="1:12">
      <c r="A325">
        <v>323</v>
      </c>
      <c r="B325" t="s">
        <v>712</v>
      </c>
      <c r="C325" t="s">
        <v>746</v>
      </c>
      <c r="D325">
        <v>2018</v>
      </c>
      <c r="E325">
        <v>3</v>
      </c>
      <c r="F325">
        <v>45</v>
      </c>
      <c r="G325">
        <v>4</v>
      </c>
      <c r="H325">
        <v>16</v>
      </c>
      <c r="I325">
        <v>0</v>
      </c>
      <c r="J325">
        <v>12898.23</v>
      </c>
      <c r="K325" t="s">
        <v>745</v>
      </c>
      <c r="L325" t="s">
        <v>1606</v>
      </c>
    </row>
    <row r="326" spans="1:12">
      <c r="A326">
        <v>324</v>
      </c>
      <c r="B326" t="s">
        <v>712</v>
      </c>
      <c r="C326" t="s">
        <v>746</v>
      </c>
      <c r="D326">
        <v>2018</v>
      </c>
      <c r="E326">
        <v>4</v>
      </c>
      <c r="F326">
        <v>11</v>
      </c>
      <c r="G326">
        <v>4</v>
      </c>
      <c r="H326">
        <v>20</v>
      </c>
      <c r="I326">
        <v>0</v>
      </c>
      <c r="J326">
        <v>-6750.82</v>
      </c>
      <c r="K326" t="s">
        <v>745</v>
      </c>
      <c r="L326" t="s">
        <v>1607</v>
      </c>
    </row>
    <row r="327" spans="1:12">
      <c r="A327">
        <v>325</v>
      </c>
      <c r="B327" t="s">
        <v>712</v>
      </c>
      <c r="C327" t="s">
        <v>746</v>
      </c>
      <c r="D327">
        <v>2018</v>
      </c>
      <c r="E327">
        <v>4</v>
      </c>
      <c r="F327">
        <v>45</v>
      </c>
      <c r="G327">
        <v>4</v>
      </c>
      <c r="H327">
        <v>20</v>
      </c>
      <c r="I327">
        <v>0</v>
      </c>
      <c r="J327">
        <v>41719.279999999999</v>
      </c>
      <c r="K327" t="s">
        <v>745</v>
      </c>
      <c r="L327" t="s">
        <v>1606</v>
      </c>
    </row>
    <row r="328" spans="1:12">
      <c r="A328">
        <v>326</v>
      </c>
      <c r="B328" t="s">
        <v>712</v>
      </c>
      <c r="C328" t="s">
        <v>746</v>
      </c>
      <c r="D328">
        <v>2019</v>
      </c>
      <c r="E328">
        <v>1</v>
      </c>
      <c r="F328">
        <v>8</v>
      </c>
      <c r="G328">
        <v>3</v>
      </c>
      <c r="H328">
        <v>7</v>
      </c>
      <c r="I328">
        <v>-26700</v>
      </c>
      <c r="J328">
        <v>-13350</v>
      </c>
      <c r="K328" t="s">
        <v>745</v>
      </c>
      <c r="L328" t="s">
        <v>1599</v>
      </c>
    </row>
    <row r="329" spans="1:12">
      <c r="A329">
        <v>327</v>
      </c>
      <c r="B329" t="s">
        <v>712</v>
      </c>
      <c r="C329" t="s">
        <v>746</v>
      </c>
      <c r="D329">
        <v>2019</v>
      </c>
      <c r="E329">
        <v>1</v>
      </c>
      <c r="F329">
        <v>45</v>
      </c>
      <c r="G329">
        <v>3</v>
      </c>
      <c r="H329">
        <v>7</v>
      </c>
      <c r="I329">
        <v>26700</v>
      </c>
      <c r="J329">
        <v>0</v>
      </c>
      <c r="K329" t="s">
        <v>745</v>
      </c>
      <c r="L329" t="s">
        <v>1609</v>
      </c>
    </row>
    <row r="330" spans="1:12">
      <c r="A330">
        <v>328</v>
      </c>
      <c r="B330" t="s">
        <v>712</v>
      </c>
      <c r="C330" t="s">
        <v>746</v>
      </c>
      <c r="D330">
        <v>2019</v>
      </c>
      <c r="E330">
        <v>1</v>
      </c>
      <c r="F330">
        <v>45</v>
      </c>
      <c r="G330">
        <v>3</v>
      </c>
      <c r="H330">
        <v>7</v>
      </c>
      <c r="I330">
        <v>0</v>
      </c>
      <c r="J330">
        <v>9625.34</v>
      </c>
      <c r="K330" t="s">
        <v>745</v>
      </c>
      <c r="L330" t="s">
        <v>1606</v>
      </c>
    </row>
    <row r="331" spans="1:12">
      <c r="A331">
        <v>329</v>
      </c>
      <c r="B331" t="s">
        <v>712</v>
      </c>
      <c r="C331" t="s">
        <v>746</v>
      </c>
      <c r="D331">
        <v>2019</v>
      </c>
      <c r="E331">
        <v>2</v>
      </c>
      <c r="F331">
        <v>11</v>
      </c>
      <c r="G331">
        <v>3</v>
      </c>
      <c r="H331">
        <v>11</v>
      </c>
      <c r="I331">
        <v>0</v>
      </c>
      <c r="J331">
        <v>-1127.49</v>
      </c>
      <c r="K331" t="s">
        <v>745</v>
      </c>
      <c r="L331" t="s">
        <v>1607</v>
      </c>
    </row>
    <row r="332" spans="1:12">
      <c r="A332">
        <v>330</v>
      </c>
      <c r="B332" t="s">
        <v>712</v>
      </c>
      <c r="C332" t="s">
        <v>746</v>
      </c>
      <c r="D332">
        <v>2019</v>
      </c>
      <c r="E332">
        <v>2</v>
      </c>
      <c r="F332">
        <v>45</v>
      </c>
      <c r="G332">
        <v>3</v>
      </c>
      <c r="H332">
        <v>11</v>
      </c>
      <c r="I332">
        <v>0</v>
      </c>
      <c r="J332">
        <v>19643.229999999996</v>
      </c>
      <c r="K332" t="s">
        <v>745</v>
      </c>
      <c r="L332" t="s">
        <v>1606</v>
      </c>
    </row>
    <row r="333" spans="1:12">
      <c r="A333">
        <v>331</v>
      </c>
      <c r="B333" t="s">
        <v>712</v>
      </c>
      <c r="C333" t="s">
        <v>746</v>
      </c>
      <c r="D333">
        <v>2019</v>
      </c>
      <c r="E333">
        <v>3</v>
      </c>
      <c r="F333">
        <v>8</v>
      </c>
      <c r="G333">
        <v>3</v>
      </c>
      <c r="H333">
        <v>15</v>
      </c>
      <c r="I333">
        <v>0</v>
      </c>
      <c r="J333">
        <v>-13350</v>
      </c>
      <c r="K333" t="s">
        <v>745</v>
      </c>
      <c r="L333" t="s">
        <v>1599</v>
      </c>
    </row>
    <row r="334" spans="1:12">
      <c r="A334">
        <v>332</v>
      </c>
      <c r="B334" t="s">
        <v>712</v>
      </c>
      <c r="C334" t="s">
        <v>746</v>
      </c>
      <c r="D334">
        <v>2019</v>
      </c>
      <c r="E334">
        <v>3</v>
      </c>
      <c r="F334">
        <v>11</v>
      </c>
      <c r="G334">
        <v>3</v>
      </c>
      <c r="H334">
        <v>15</v>
      </c>
      <c r="I334">
        <v>0</v>
      </c>
      <c r="J334">
        <v>-27150.77</v>
      </c>
      <c r="K334" t="s">
        <v>745</v>
      </c>
      <c r="L334" t="s">
        <v>1607</v>
      </c>
    </row>
    <row r="335" spans="1:12">
      <c r="A335">
        <v>333</v>
      </c>
      <c r="B335" t="s">
        <v>712</v>
      </c>
      <c r="C335" t="s">
        <v>746</v>
      </c>
      <c r="D335">
        <v>2019</v>
      </c>
      <c r="E335">
        <v>3</v>
      </c>
      <c r="F335">
        <v>45</v>
      </c>
      <c r="G335">
        <v>3</v>
      </c>
      <c r="H335">
        <v>15</v>
      </c>
      <c r="I335">
        <v>0</v>
      </c>
      <c r="J335">
        <v>14911.989999999996</v>
      </c>
      <c r="K335" t="s">
        <v>745</v>
      </c>
      <c r="L335" t="s">
        <v>1606</v>
      </c>
    </row>
    <row r="336" spans="1:12">
      <c r="A336">
        <v>334</v>
      </c>
      <c r="B336" t="s">
        <v>712</v>
      </c>
      <c r="C336" t="s">
        <v>746</v>
      </c>
      <c r="D336">
        <v>2019</v>
      </c>
      <c r="E336">
        <v>4</v>
      </c>
      <c r="F336">
        <v>11</v>
      </c>
      <c r="G336">
        <v>3</v>
      </c>
      <c r="H336">
        <v>19</v>
      </c>
      <c r="I336">
        <v>0</v>
      </c>
      <c r="J336">
        <v>-5823.0400000000009</v>
      </c>
      <c r="K336" t="s">
        <v>745</v>
      </c>
      <c r="L336" t="s">
        <v>1607</v>
      </c>
    </row>
    <row r="337" spans="1:12">
      <c r="A337">
        <v>335</v>
      </c>
      <c r="B337" t="s">
        <v>712</v>
      </c>
      <c r="C337" t="s">
        <v>746</v>
      </c>
      <c r="D337">
        <v>2019</v>
      </c>
      <c r="E337">
        <v>4</v>
      </c>
      <c r="F337">
        <v>45</v>
      </c>
      <c r="G337">
        <v>3</v>
      </c>
      <c r="H337">
        <v>19</v>
      </c>
      <c r="I337">
        <v>0</v>
      </c>
      <c r="J337">
        <v>16620.739999999998</v>
      </c>
      <c r="K337" t="s">
        <v>745</v>
      </c>
      <c r="L337" t="s">
        <v>1606</v>
      </c>
    </row>
    <row r="338" spans="1:12">
      <c r="A338">
        <v>336</v>
      </c>
      <c r="B338" t="s">
        <v>712</v>
      </c>
      <c r="C338" t="s">
        <v>746</v>
      </c>
      <c r="D338">
        <v>2020</v>
      </c>
      <c r="E338">
        <v>1</v>
      </c>
      <c r="F338">
        <v>8</v>
      </c>
      <c r="G338">
        <v>2</v>
      </c>
      <c r="H338">
        <v>6</v>
      </c>
      <c r="I338">
        <v>-36700</v>
      </c>
      <c r="J338">
        <v>0</v>
      </c>
      <c r="K338" t="s">
        <v>745</v>
      </c>
      <c r="L338" t="s">
        <v>1599</v>
      </c>
    </row>
    <row r="339" spans="1:12">
      <c r="A339">
        <v>337</v>
      </c>
      <c r="B339" t="s">
        <v>712</v>
      </c>
      <c r="C339" t="s">
        <v>746</v>
      </c>
      <c r="D339">
        <v>2020</v>
      </c>
      <c r="E339">
        <v>1</v>
      </c>
      <c r="F339">
        <v>8</v>
      </c>
      <c r="G339">
        <v>2</v>
      </c>
      <c r="H339">
        <v>6</v>
      </c>
      <c r="I339">
        <v>0</v>
      </c>
      <c r="J339">
        <v>-18350</v>
      </c>
      <c r="K339" t="s">
        <v>745</v>
      </c>
      <c r="L339" t="s">
        <v>1611</v>
      </c>
    </row>
    <row r="340" spans="1:12">
      <c r="A340">
        <v>338</v>
      </c>
      <c r="B340" t="s">
        <v>712</v>
      </c>
      <c r="C340" t="s">
        <v>746</v>
      </c>
      <c r="D340">
        <v>2020</v>
      </c>
      <c r="E340">
        <v>1</v>
      </c>
      <c r="F340">
        <v>11</v>
      </c>
      <c r="G340">
        <v>2</v>
      </c>
      <c r="H340">
        <v>6</v>
      </c>
      <c r="I340">
        <v>0</v>
      </c>
      <c r="J340">
        <v>-5.6</v>
      </c>
      <c r="K340" t="s">
        <v>745</v>
      </c>
      <c r="L340" t="s">
        <v>1607</v>
      </c>
    </row>
    <row r="341" spans="1:12">
      <c r="A341">
        <v>339</v>
      </c>
      <c r="B341" t="s">
        <v>712</v>
      </c>
      <c r="C341" t="s">
        <v>746</v>
      </c>
      <c r="D341">
        <v>2020</v>
      </c>
      <c r="E341">
        <v>1</v>
      </c>
      <c r="F341">
        <v>45</v>
      </c>
      <c r="G341">
        <v>2</v>
      </c>
      <c r="H341">
        <v>6</v>
      </c>
      <c r="I341">
        <v>36700</v>
      </c>
      <c r="J341">
        <v>0</v>
      </c>
      <c r="K341" t="s">
        <v>745</v>
      </c>
      <c r="L341" t="s">
        <v>1609</v>
      </c>
    </row>
    <row r="342" spans="1:12">
      <c r="A342">
        <v>340</v>
      </c>
      <c r="B342" t="s">
        <v>712</v>
      </c>
      <c r="C342" t="s">
        <v>746</v>
      </c>
      <c r="D342">
        <v>2020</v>
      </c>
      <c r="E342">
        <v>1</v>
      </c>
      <c r="F342">
        <v>45</v>
      </c>
      <c r="G342">
        <v>2</v>
      </c>
      <c r="H342">
        <v>6</v>
      </c>
      <c r="I342">
        <v>0</v>
      </c>
      <c r="J342">
        <v>8071.69</v>
      </c>
      <c r="K342" t="s">
        <v>745</v>
      </c>
      <c r="L342" t="s">
        <v>1606</v>
      </c>
    </row>
    <row r="343" spans="1:12">
      <c r="A343">
        <v>341</v>
      </c>
      <c r="B343" t="s">
        <v>712</v>
      </c>
      <c r="C343" t="s">
        <v>746</v>
      </c>
      <c r="D343">
        <v>2020</v>
      </c>
      <c r="E343">
        <v>2</v>
      </c>
      <c r="F343">
        <v>11</v>
      </c>
      <c r="G343">
        <v>2</v>
      </c>
      <c r="H343">
        <v>10</v>
      </c>
      <c r="I343">
        <v>0</v>
      </c>
      <c r="J343">
        <v>-9000</v>
      </c>
      <c r="K343" t="s">
        <v>745</v>
      </c>
      <c r="L343" t="s">
        <v>1607</v>
      </c>
    </row>
    <row r="344" spans="1:12">
      <c r="A344">
        <v>342</v>
      </c>
      <c r="B344" t="s">
        <v>712</v>
      </c>
      <c r="C344" t="s">
        <v>746</v>
      </c>
      <c r="D344">
        <v>2020</v>
      </c>
      <c r="E344">
        <v>2</v>
      </c>
      <c r="F344">
        <v>45</v>
      </c>
      <c r="G344">
        <v>2</v>
      </c>
      <c r="H344">
        <v>10</v>
      </c>
      <c r="I344">
        <v>0</v>
      </c>
      <c r="J344">
        <v>13130.5</v>
      </c>
      <c r="K344" t="s">
        <v>745</v>
      </c>
      <c r="L344" t="s">
        <v>1606</v>
      </c>
    </row>
    <row r="345" spans="1:12">
      <c r="A345">
        <v>343</v>
      </c>
      <c r="B345" t="s">
        <v>712</v>
      </c>
      <c r="C345" t="s">
        <v>746</v>
      </c>
      <c r="D345">
        <v>2020</v>
      </c>
      <c r="E345">
        <v>3</v>
      </c>
      <c r="F345">
        <v>8</v>
      </c>
      <c r="G345">
        <v>2</v>
      </c>
      <c r="H345">
        <v>14</v>
      </c>
      <c r="I345">
        <v>0</v>
      </c>
      <c r="J345">
        <v>-18350</v>
      </c>
      <c r="K345" t="s">
        <v>745</v>
      </c>
      <c r="L345" t="s">
        <v>1611</v>
      </c>
    </row>
    <row r="346" spans="1:12">
      <c r="A346">
        <v>344</v>
      </c>
      <c r="B346" t="s">
        <v>712</v>
      </c>
      <c r="C346" t="s">
        <v>746</v>
      </c>
      <c r="D346">
        <v>2020</v>
      </c>
      <c r="E346">
        <v>3</v>
      </c>
      <c r="F346">
        <v>11</v>
      </c>
      <c r="G346">
        <v>2</v>
      </c>
      <c r="H346">
        <v>14</v>
      </c>
      <c r="I346">
        <v>0</v>
      </c>
      <c r="J346">
        <v>-9732.98</v>
      </c>
      <c r="K346" t="s">
        <v>745</v>
      </c>
      <c r="L346" t="s">
        <v>1607</v>
      </c>
    </row>
    <row r="347" spans="1:12">
      <c r="A347">
        <v>345</v>
      </c>
      <c r="B347" t="s">
        <v>712</v>
      </c>
      <c r="C347" t="s">
        <v>746</v>
      </c>
      <c r="D347">
        <v>2020</v>
      </c>
      <c r="E347">
        <v>3</v>
      </c>
      <c r="F347">
        <v>26</v>
      </c>
      <c r="G347">
        <v>2</v>
      </c>
      <c r="H347">
        <v>14</v>
      </c>
      <c r="I347">
        <v>0</v>
      </c>
      <c r="J347">
        <v>37.6</v>
      </c>
      <c r="K347" t="s">
        <v>745</v>
      </c>
      <c r="L347" t="s">
        <v>1622</v>
      </c>
    </row>
    <row r="348" spans="1:12">
      <c r="A348">
        <v>346</v>
      </c>
      <c r="B348" t="s">
        <v>712</v>
      </c>
      <c r="C348" t="s">
        <v>746</v>
      </c>
      <c r="D348">
        <v>2020</v>
      </c>
      <c r="E348">
        <v>3</v>
      </c>
      <c r="F348">
        <v>40</v>
      </c>
      <c r="G348">
        <v>2</v>
      </c>
      <c r="H348">
        <v>14</v>
      </c>
      <c r="I348">
        <v>0</v>
      </c>
      <c r="J348">
        <v>1.33</v>
      </c>
      <c r="K348" t="s">
        <v>745</v>
      </c>
      <c r="L348" t="s">
        <v>1603</v>
      </c>
    </row>
    <row r="349" spans="1:12">
      <c r="A349">
        <v>347</v>
      </c>
      <c r="B349" t="s">
        <v>712</v>
      </c>
      <c r="C349" t="s">
        <v>746</v>
      </c>
      <c r="D349">
        <v>2020</v>
      </c>
      <c r="E349">
        <v>3</v>
      </c>
      <c r="F349">
        <v>40</v>
      </c>
      <c r="G349">
        <v>2</v>
      </c>
      <c r="H349">
        <v>14</v>
      </c>
      <c r="I349">
        <v>0</v>
      </c>
      <c r="J349">
        <v>1.33</v>
      </c>
      <c r="K349" t="s">
        <v>745</v>
      </c>
      <c r="L349" t="s">
        <v>1604</v>
      </c>
    </row>
    <row r="350" spans="1:12">
      <c r="A350">
        <v>348</v>
      </c>
      <c r="B350" t="s">
        <v>712</v>
      </c>
      <c r="C350" t="s">
        <v>746</v>
      </c>
      <c r="D350">
        <v>2020</v>
      </c>
      <c r="E350">
        <v>3</v>
      </c>
      <c r="F350">
        <v>41</v>
      </c>
      <c r="G350">
        <v>2</v>
      </c>
      <c r="H350">
        <v>14</v>
      </c>
      <c r="I350">
        <v>0</v>
      </c>
      <c r="J350">
        <v>0.23</v>
      </c>
      <c r="K350" t="s">
        <v>745</v>
      </c>
      <c r="L350" t="s">
        <v>1605</v>
      </c>
    </row>
    <row r="351" spans="1:12">
      <c r="A351">
        <v>349</v>
      </c>
      <c r="B351" t="s">
        <v>712</v>
      </c>
      <c r="C351" t="s">
        <v>746</v>
      </c>
      <c r="D351">
        <v>2020</v>
      </c>
      <c r="E351">
        <v>3</v>
      </c>
      <c r="F351">
        <v>45</v>
      </c>
      <c r="G351">
        <v>2</v>
      </c>
      <c r="H351">
        <v>14</v>
      </c>
      <c r="I351">
        <v>0</v>
      </c>
      <c r="J351">
        <v>24798.570000000007</v>
      </c>
      <c r="K351" t="s">
        <v>745</v>
      </c>
      <c r="L351" t="s">
        <v>1606</v>
      </c>
    </row>
    <row r="352" spans="1:12">
      <c r="A352">
        <v>350</v>
      </c>
      <c r="B352" t="s">
        <v>712</v>
      </c>
      <c r="C352" t="s">
        <v>746</v>
      </c>
      <c r="D352">
        <v>2020</v>
      </c>
      <c r="E352">
        <v>4</v>
      </c>
      <c r="F352">
        <v>11</v>
      </c>
      <c r="G352">
        <v>2</v>
      </c>
      <c r="H352">
        <v>18</v>
      </c>
      <c r="I352">
        <v>0</v>
      </c>
      <c r="J352">
        <v>-9791.6400000000012</v>
      </c>
      <c r="K352" t="s">
        <v>745</v>
      </c>
      <c r="L352" t="s">
        <v>1607</v>
      </c>
    </row>
    <row r="353" spans="1:12">
      <c r="A353">
        <v>351</v>
      </c>
      <c r="B353" t="s">
        <v>712</v>
      </c>
      <c r="C353" t="s">
        <v>746</v>
      </c>
      <c r="D353">
        <v>2020</v>
      </c>
      <c r="E353">
        <v>4</v>
      </c>
      <c r="F353">
        <v>45</v>
      </c>
      <c r="G353">
        <v>2</v>
      </c>
      <c r="H353">
        <v>18</v>
      </c>
      <c r="I353">
        <v>0</v>
      </c>
      <c r="J353">
        <v>19188.97</v>
      </c>
      <c r="K353" t="s">
        <v>745</v>
      </c>
      <c r="L353" t="s">
        <v>1606</v>
      </c>
    </row>
    <row r="354" spans="1:12">
      <c r="A354">
        <v>352</v>
      </c>
      <c r="B354" t="s">
        <v>712</v>
      </c>
      <c r="C354" t="s">
        <v>748</v>
      </c>
      <c r="D354">
        <v>2017</v>
      </c>
      <c r="E354">
        <v>4</v>
      </c>
      <c r="F354">
        <v>45</v>
      </c>
      <c r="G354">
        <v>5</v>
      </c>
      <c r="H354">
        <v>21</v>
      </c>
      <c r="I354">
        <v>0</v>
      </c>
      <c r="J354">
        <v>34156.67</v>
      </c>
      <c r="K354" t="s">
        <v>747</v>
      </c>
      <c r="L354" t="s">
        <v>1606</v>
      </c>
    </row>
    <row r="355" spans="1:12">
      <c r="A355">
        <v>353</v>
      </c>
      <c r="B355" t="s">
        <v>712</v>
      </c>
      <c r="C355" t="s">
        <v>748</v>
      </c>
      <c r="D355">
        <v>2018</v>
      </c>
      <c r="E355">
        <v>4</v>
      </c>
      <c r="F355">
        <v>11</v>
      </c>
      <c r="G355">
        <v>4</v>
      </c>
      <c r="H355">
        <v>20</v>
      </c>
      <c r="I355">
        <v>0</v>
      </c>
      <c r="J355">
        <v>-34187.96</v>
      </c>
      <c r="K355" t="s">
        <v>747</v>
      </c>
      <c r="L355" t="s">
        <v>1607</v>
      </c>
    </row>
    <row r="356" spans="1:12">
      <c r="A356">
        <v>354</v>
      </c>
      <c r="B356" t="s">
        <v>712</v>
      </c>
      <c r="C356" t="s">
        <v>748</v>
      </c>
      <c r="D356">
        <v>2018</v>
      </c>
      <c r="E356">
        <v>4</v>
      </c>
      <c r="F356">
        <v>45</v>
      </c>
      <c r="G356">
        <v>4</v>
      </c>
      <c r="H356">
        <v>20</v>
      </c>
      <c r="I356">
        <v>0</v>
      </c>
      <c r="J356">
        <v>1234.08</v>
      </c>
      <c r="K356" t="s">
        <v>747</v>
      </c>
      <c r="L356" t="s">
        <v>1606</v>
      </c>
    </row>
    <row r="357" spans="1:12">
      <c r="A357">
        <v>355</v>
      </c>
      <c r="B357" t="s">
        <v>712</v>
      </c>
      <c r="C357" t="s">
        <v>748</v>
      </c>
      <c r="D357">
        <v>2019</v>
      </c>
      <c r="E357">
        <v>3</v>
      </c>
      <c r="F357">
        <v>45</v>
      </c>
      <c r="G357">
        <v>3</v>
      </c>
      <c r="H357">
        <v>15</v>
      </c>
      <c r="I357">
        <v>0</v>
      </c>
      <c r="J357">
        <v>25369</v>
      </c>
      <c r="K357" t="s">
        <v>747</v>
      </c>
      <c r="L357" t="s">
        <v>1606</v>
      </c>
    </row>
    <row r="358" spans="1:12">
      <c r="A358">
        <v>356</v>
      </c>
      <c r="B358" t="s">
        <v>712</v>
      </c>
      <c r="C358" t="s">
        <v>748</v>
      </c>
      <c r="D358">
        <v>2019</v>
      </c>
      <c r="E358">
        <v>4</v>
      </c>
      <c r="F358">
        <v>11</v>
      </c>
      <c r="G358">
        <v>3</v>
      </c>
      <c r="H358">
        <v>19</v>
      </c>
      <c r="I358">
        <v>0</v>
      </c>
      <c r="J358">
        <v>-11069.19</v>
      </c>
      <c r="K358" t="s">
        <v>747</v>
      </c>
      <c r="L358" t="s">
        <v>1607</v>
      </c>
    </row>
    <row r="359" spans="1:12">
      <c r="A359">
        <v>357</v>
      </c>
      <c r="B359" t="s">
        <v>712</v>
      </c>
      <c r="C359" t="s">
        <v>748</v>
      </c>
      <c r="D359">
        <v>2020</v>
      </c>
      <c r="E359">
        <v>2</v>
      </c>
      <c r="F359">
        <v>45</v>
      </c>
      <c r="G359">
        <v>2</v>
      </c>
      <c r="H359">
        <v>10</v>
      </c>
      <c r="I359">
        <v>0</v>
      </c>
      <c r="J359">
        <v>9000</v>
      </c>
      <c r="K359" t="s">
        <v>747</v>
      </c>
      <c r="L359" t="s">
        <v>1606</v>
      </c>
    </row>
    <row r="360" spans="1:12">
      <c r="A360">
        <v>358</v>
      </c>
      <c r="B360" t="s">
        <v>712</v>
      </c>
      <c r="C360" t="s">
        <v>748</v>
      </c>
      <c r="D360">
        <v>2020</v>
      </c>
      <c r="E360">
        <v>3</v>
      </c>
      <c r="F360">
        <v>45</v>
      </c>
      <c r="G360">
        <v>2</v>
      </c>
      <c r="H360">
        <v>14</v>
      </c>
      <c r="I360">
        <v>0</v>
      </c>
      <c r="J360">
        <v>8000</v>
      </c>
      <c r="K360" t="s">
        <v>747</v>
      </c>
      <c r="L360" t="s">
        <v>1606</v>
      </c>
    </row>
    <row r="361" spans="1:12">
      <c r="A361">
        <v>359</v>
      </c>
      <c r="B361" t="s">
        <v>712</v>
      </c>
      <c r="C361" t="s">
        <v>748</v>
      </c>
      <c r="D361">
        <v>2020</v>
      </c>
      <c r="E361">
        <v>4</v>
      </c>
      <c r="F361">
        <v>45</v>
      </c>
      <c r="G361">
        <v>2</v>
      </c>
      <c r="H361">
        <v>18</v>
      </c>
      <c r="I361">
        <v>0</v>
      </c>
      <c r="J361">
        <v>1654.07</v>
      </c>
      <c r="K361" t="s">
        <v>747</v>
      </c>
      <c r="L361" t="s">
        <v>1606</v>
      </c>
    </row>
    <row r="362" spans="1:12">
      <c r="A362">
        <v>360</v>
      </c>
      <c r="B362" t="s">
        <v>3</v>
      </c>
      <c r="C362" t="s">
        <v>710</v>
      </c>
      <c r="D362">
        <v>2017</v>
      </c>
      <c r="E362">
        <v>1</v>
      </c>
      <c r="F362">
        <v>8</v>
      </c>
      <c r="G362">
        <v>5</v>
      </c>
      <c r="H362">
        <v>9</v>
      </c>
      <c r="I362">
        <v>-800</v>
      </c>
      <c r="J362">
        <v>-400</v>
      </c>
      <c r="K362" t="s">
        <v>709</v>
      </c>
      <c r="L362" t="s">
        <v>1599</v>
      </c>
    </row>
    <row r="363" spans="1:12">
      <c r="A363">
        <v>361</v>
      </c>
      <c r="B363" t="s">
        <v>3</v>
      </c>
      <c r="C363" t="s">
        <v>710</v>
      </c>
      <c r="D363">
        <v>2017</v>
      </c>
      <c r="E363">
        <v>1</v>
      </c>
      <c r="F363">
        <v>17</v>
      </c>
      <c r="G363">
        <v>5</v>
      </c>
      <c r="H363">
        <v>9</v>
      </c>
      <c r="I363">
        <v>742</v>
      </c>
      <c r="J363">
        <v>0</v>
      </c>
      <c r="K363" t="s">
        <v>709</v>
      </c>
      <c r="L363" t="s">
        <v>1612</v>
      </c>
    </row>
    <row r="364" spans="1:12">
      <c r="A364">
        <v>362</v>
      </c>
      <c r="B364" t="s">
        <v>3</v>
      </c>
      <c r="C364" t="s">
        <v>710</v>
      </c>
      <c r="D364">
        <v>2017</v>
      </c>
      <c r="E364">
        <v>1</v>
      </c>
      <c r="F364">
        <v>20</v>
      </c>
      <c r="G364">
        <v>5</v>
      </c>
      <c r="H364">
        <v>9</v>
      </c>
      <c r="I364">
        <v>9</v>
      </c>
      <c r="J364">
        <v>0</v>
      </c>
      <c r="K364" t="s">
        <v>709</v>
      </c>
      <c r="L364" t="s">
        <v>1615</v>
      </c>
    </row>
    <row r="365" spans="1:12">
      <c r="A365">
        <v>363</v>
      </c>
      <c r="B365" t="s">
        <v>3</v>
      </c>
      <c r="C365" t="s">
        <v>710</v>
      </c>
      <c r="D365">
        <v>2017</v>
      </c>
      <c r="E365">
        <v>1</v>
      </c>
      <c r="F365">
        <v>40</v>
      </c>
      <c r="G365">
        <v>5</v>
      </c>
      <c r="H365">
        <v>9</v>
      </c>
      <c r="I365">
        <v>45</v>
      </c>
      <c r="J365">
        <v>0</v>
      </c>
      <c r="K365" t="s">
        <v>709</v>
      </c>
      <c r="L365" t="s">
        <v>1603</v>
      </c>
    </row>
    <row r="366" spans="1:12">
      <c r="A366">
        <v>364</v>
      </c>
      <c r="B366" t="s">
        <v>3</v>
      </c>
      <c r="C366" t="s">
        <v>710</v>
      </c>
      <c r="D366">
        <v>2017</v>
      </c>
      <c r="E366">
        <v>1</v>
      </c>
      <c r="F366">
        <v>41</v>
      </c>
      <c r="G366">
        <v>5</v>
      </c>
      <c r="H366">
        <v>9</v>
      </c>
      <c r="I366">
        <v>4</v>
      </c>
      <c r="J366">
        <v>0</v>
      </c>
      <c r="K366" t="s">
        <v>709</v>
      </c>
      <c r="L366" t="s">
        <v>1605</v>
      </c>
    </row>
    <row r="367" spans="1:12">
      <c r="A367">
        <v>365</v>
      </c>
      <c r="B367" t="s">
        <v>3</v>
      </c>
      <c r="C367" t="s">
        <v>710</v>
      </c>
      <c r="D367">
        <v>2017</v>
      </c>
      <c r="E367">
        <v>2</v>
      </c>
      <c r="F367">
        <v>29</v>
      </c>
      <c r="G367">
        <v>5</v>
      </c>
      <c r="H367">
        <v>13</v>
      </c>
      <c r="I367">
        <v>0</v>
      </c>
      <c r="J367">
        <v>13</v>
      </c>
      <c r="K367" t="s">
        <v>709</v>
      </c>
      <c r="L367" t="s">
        <v>1608</v>
      </c>
    </row>
    <row r="368" spans="1:12">
      <c r="A368">
        <v>366</v>
      </c>
      <c r="B368" t="s">
        <v>3</v>
      </c>
      <c r="C368" t="s">
        <v>710</v>
      </c>
      <c r="D368">
        <v>2017</v>
      </c>
      <c r="E368">
        <v>2</v>
      </c>
      <c r="F368">
        <v>40</v>
      </c>
      <c r="G368">
        <v>5</v>
      </c>
      <c r="H368">
        <v>13</v>
      </c>
      <c r="I368">
        <v>0</v>
      </c>
      <c r="J368">
        <v>0.4</v>
      </c>
      <c r="K368" t="s">
        <v>709</v>
      </c>
      <c r="L368" t="s">
        <v>1603</v>
      </c>
    </row>
    <row r="369" spans="1:12">
      <c r="A369">
        <v>367</v>
      </c>
      <c r="B369" t="s">
        <v>3</v>
      </c>
      <c r="C369" t="s">
        <v>710</v>
      </c>
      <c r="D369">
        <v>2017</v>
      </c>
      <c r="E369">
        <v>2</v>
      </c>
      <c r="F369">
        <v>40</v>
      </c>
      <c r="G369">
        <v>5</v>
      </c>
      <c r="H369">
        <v>13</v>
      </c>
      <c r="I369">
        <v>0</v>
      </c>
      <c r="J369">
        <v>0.39</v>
      </c>
      <c r="K369" t="s">
        <v>709</v>
      </c>
      <c r="L369" t="s">
        <v>1604</v>
      </c>
    </row>
    <row r="370" spans="1:12">
      <c r="A370">
        <v>368</v>
      </c>
      <c r="B370" t="s">
        <v>3</v>
      </c>
      <c r="C370" t="s">
        <v>710</v>
      </c>
      <c r="D370">
        <v>2017</v>
      </c>
      <c r="E370">
        <v>2</v>
      </c>
      <c r="F370">
        <v>41</v>
      </c>
      <c r="G370">
        <v>5</v>
      </c>
      <c r="H370">
        <v>13</v>
      </c>
      <c r="I370">
        <v>0</v>
      </c>
      <c r="J370">
        <v>7.0000000000000007E-2</v>
      </c>
      <c r="K370" t="s">
        <v>709</v>
      </c>
      <c r="L370" t="s">
        <v>1605</v>
      </c>
    </row>
    <row r="371" spans="1:12">
      <c r="A371">
        <v>369</v>
      </c>
      <c r="B371" t="s">
        <v>3</v>
      </c>
      <c r="C371" t="s">
        <v>710</v>
      </c>
      <c r="D371">
        <v>2017</v>
      </c>
      <c r="E371">
        <v>3</v>
      </c>
      <c r="F371">
        <v>8</v>
      </c>
      <c r="G371">
        <v>5</v>
      </c>
      <c r="H371">
        <v>17</v>
      </c>
      <c r="I371">
        <v>0</v>
      </c>
      <c r="J371">
        <v>-400</v>
      </c>
      <c r="K371" t="s">
        <v>709</v>
      </c>
      <c r="L371" t="s">
        <v>1599</v>
      </c>
    </row>
    <row r="372" spans="1:12">
      <c r="A372">
        <v>370</v>
      </c>
      <c r="B372" t="s">
        <v>3</v>
      </c>
      <c r="C372" t="s">
        <v>710</v>
      </c>
      <c r="D372">
        <v>2017</v>
      </c>
      <c r="E372">
        <v>3</v>
      </c>
      <c r="F372">
        <v>29</v>
      </c>
      <c r="G372">
        <v>5</v>
      </c>
      <c r="H372">
        <v>17</v>
      </c>
      <c r="I372">
        <v>0</v>
      </c>
      <c r="J372">
        <v>794.47</v>
      </c>
      <c r="K372" t="s">
        <v>709</v>
      </c>
      <c r="L372" t="s">
        <v>1630</v>
      </c>
    </row>
    <row r="373" spans="1:12">
      <c r="A373">
        <v>371</v>
      </c>
      <c r="B373" t="s">
        <v>3</v>
      </c>
      <c r="C373" t="s">
        <v>710</v>
      </c>
      <c r="D373">
        <v>2017</v>
      </c>
      <c r="E373">
        <v>3</v>
      </c>
      <c r="F373">
        <v>29</v>
      </c>
      <c r="G373">
        <v>5</v>
      </c>
      <c r="H373">
        <v>17</v>
      </c>
      <c r="I373">
        <v>0</v>
      </c>
      <c r="J373">
        <v>30</v>
      </c>
      <c r="K373" t="s">
        <v>709</v>
      </c>
      <c r="L373" t="s">
        <v>1631</v>
      </c>
    </row>
    <row r="374" spans="1:12">
      <c r="A374">
        <v>372</v>
      </c>
      <c r="B374" t="s">
        <v>3</v>
      </c>
      <c r="C374" t="s">
        <v>710</v>
      </c>
      <c r="D374">
        <v>2017</v>
      </c>
      <c r="E374">
        <v>3</v>
      </c>
      <c r="F374">
        <v>29</v>
      </c>
      <c r="G374">
        <v>5</v>
      </c>
      <c r="H374">
        <v>17</v>
      </c>
      <c r="I374">
        <v>0</v>
      </c>
      <c r="J374">
        <v>13</v>
      </c>
      <c r="K374" t="s">
        <v>709</v>
      </c>
      <c r="L374" t="s">
        <v>1608</v>
      </c>
    </row>
    <row r="375" spans="1:12">
      <c r="A375">
        <v>373</v>
      </c>
      <c r="B375" t="s">
        <v>3</v>
      </c>
      <c r="C375" t="s">
        <v>710</v>
      </c>
      <c r="D375">
        <v>2017</v>
      </c>
      <c r="E375">
        <v>3</v>
      </c>
      <c r="F375">
        <v>40</v>
      </c>
      <c r="G375">
        <v>5</v>
      </c>
      <c r="H375">
        <v>17</v>
      </c>
      <c r="I375">
        <v>0</v>
      </c>
      <c r="J375">
        <v>25.299999999999997</v>
      </c>
      <c r="K375" t="s">
        <v>709</v>
      </c>
      <c r="L375" t="s">
        <v>1603</v>
      </c>
    </row>
    <row r="376" spans="1:12">
      <c r="A376">
        <v>374</v>
      </c>
      <c r="B376" t="s">
        <v>3</v>
      </c>
      <c r="C376" t="s">
        <v>710</v>
      </c>
      <c r="D376">
        <v>2017</v>
      </c>
      <c r="E376">
        <v>3</v>
      </c>
      <c r="F376">
        <v>40</v>
      </c>
      <c r="G376">
        <v>5</v>
      </c>
      <c r="H376">
        <v>17</v>
      </c>
      <c r="I376">
        <v>0</v>
      </c>
      <c r="J376">
        <v>25.29</v>
      </c>
      <c r="K376" t="s">
        <v>709</v>
      </c>
      <c r="L376" t="s">
        <v>1604</v>
      </c>
    </row>
    <row r="377" spans="1:12">
      <c r="A377">
        <v>375</v>
      </c>
      <c r="B377" t="s">
        <v>3</v>
      </c>
      <c r="C377" t="s">
        <v>710</v>
      </c>
      <c r="D377">
        <v>2017</v>
      </c>
      <c r="E377">
        <v>3</v>
      </c>
      <c r="F377">
        <v>41</v>
      </c>
      <c r="G377">
        <v>5</v>
      </c>
      <c r="H377">
        <v>17</v>
      </c>
      <c r="I377">
        <v>0</v>
      </c>
      <c r="J377">
        <v>4.1900000000000004</v>
      </c>
      <c r="K377" t="s">
        <v>709</v>
      </c>
      <c r="L377" t="s">
        <v>1605</v>
      </c>
    </row>
    <row r="378" spans="1:12">
      <c r="A378">
        <v>376</v>
      </c>
      <c r="B378" t="s">
        <v>3</v>
      </c>
      <c r="C378" t="s">
        <v>710</v>
      </c>
      <c r="D378">
        <v>2017</v>
      </c>
      <c r="E378">
        <v>4</v>
      </c>
      <c r="F378">
        <v>11</v>
      </c>
      <c r="G378">
        <v>5</v>
      </c>
      <c r="H378">
        <v>21</v>
      </c>
      <c r="I378">
        <v>0</v>
      </c>
      <c r="J378">
        <v>-1179.1600000000001</v>
      </c>
      <c r="K378" t="s">
        <v>709</v>
      </c>
      <c r="L378" t="s">
        <v>1607</v>
      </c>
    </row>
    <row r="379" spans="1:12">
      <c r="A379">
        <v>377</v>
      </c>
      <c r="B379" t="s">
        <v>3</v>
      </c>
      <c r="C379" t="s">
        <v>710</v>
      </c>
      <c r="D379">
        <v>2017</v>
      </c>
      <c r="E379">
        <v>4</v>
      </c>
      <c r="F379">
        <v>25</v>
      </c>
      <c r="G379">
        <v>5</v>
      </c>
      <c r="H379">
        <v>21</v>
      </c>
      <c r="I379">
        <v>0</v>
      </c>
      <c r="J379">
        <v>37.229999999999997</v>
      </c>
      <c r="K379" t="s">
        <v>709</v>
      </c>
      <c r="L379" t="s">
        <v>1632</v>
      </c>
    </row>
    <row r="380" spans="1:12">
      <c r="A380">
        <v>378</v>
      </c>
      <c r="B380" t="s">
        <v>3</v>
      </c>
      <c r="C380" t="s">
        <v>710</v>
      </c>
      <c r="D380">
        <v>2017</v>
      </c>
      <c r="E380">
        <v>4</v>
      </c>
      <c r="F380">
        <v>26</v>
      </c>
      <c r="G380">
        <v>5</v>
      </c>
      <c r="H380">
        <v>21</v>
      </c>
      <c r="I380">
        <v>0</v>
      </c>
      <c r="J380">
        <v>947.05</v>
      </c>
      <c r="K380" t="s">
        <v>709</v>
      </c>
      <c r="L380" t="s">
        <v>1618</v>
      </c>
    </row>
    <row r="381" spans="1:12">
      <c r="A381">
        <v>379</v>
      </c>
      <c r="B381" t="s">
        <v>3</v>
      </c>
      <c r="C381" t="s">
        <v>710</v>
      </c>
      <c r="D381">
        <v>2017</v>
      </c>
      <c r="E381">
        <v>4</v>
      </c>
      <c r="F381">
        <v>29</v>
      </c>
      <c r="G381">
        <v>5</v>
      </c>
      <c r="H381">
        <v>21</v>
      </c>
      <c r="I381">
        <v>0</v>
      </c>
      <c r="J381">
        <v>22.9</v>
      </c>
      <c r="K381" t="s">
        <v>709</v>
      </c>
      <c r="L381" t="s">
        <v>1608</v>
      </c>
    </row>
    <row r="382" spans="1:12">
      <c r="A382">
        <v>380</v>
      </c>
      <c r="B382" t="s">
        <v>3</v>
      </c>
      <c r="C382" t="s">
        <v>710</v>
      </c>
      <c r="D382">
        <v>2017</v>
      </c>
      <c r="E382">
        <v>4</v>
      </c>
      <c r="F382">
        <v>40</v>
      </c>
      <c r="G382">
        <v>5</v>
      </c>
      <c r="H382">
        <v>21</v>
      </c>
      <c r="I382">
        <v>0</v>
      </c>
      <c r="J382">
        <v>30.410000000000004</v>
      </c>
      <c r="K382" t="s">
        <v>709</v>
      </c>
      <c r="L382" t="s">
        <v>1603</v>
      </c>
    </row>
    <row r="383" spans="1:12">
      <c r="A383">
        <v>381</v>
      </c>
      <c r="B383" t="s">
        <v>3</v>
      </c>
      <c r="C383" t="s">
        <v>710</v>
      </c>
      <c r="D383">
        <v>2017</v>
      </c>
      <c r="E383">
        <v>4</v>
      </c>
      <c r="F383">
        <v>40</v>
      </c>
      <c r="G383">
        <v>5</v>
      </c>
      <c r="H383">
        <v>21</v>
      </c>
      <c r="I383">
        <v>0</v>
      </c>
      <c r="J383">
        <v>30.42</v>
      </c>
      <c r="K383" t="s">
        <v>709</v>
      </c>
      <c r="L383" t="s">
        <v>1604</v>
      </c>
    </row>
    <row r="384" spans="1:12">
      <c r="A384">
        <v>382</v>
      </c>
      <c r="B384" t="s">
        <v>3</v>
      </c>
      <c r="C384" t="s">
        <v>710</v>
      </c>
      <c r="D384">
        <v>2017</v>
      </c>
      <c r="E384">
        <v>4</v>
      </c>
      <c r="F384">
        <v>41</v>
      </c>
      <c r="G384">
        <v>5</v>
      </c>
      <c r="H384">
        <v>21</v>
      </c>
      <c r="I384">
        <v>0</v>
      </c>
      <c r="J384">
        <v>5.0399999999999991</v>
      </c>
      <c r="K384" t="s">
        <v>709</v>
      </c>
      <c r="L384" t="s">
        <v>1605</v>
      </c>
    </row>
    <row r="385" spans="1:12">
      <c r="A385">
        <v>383</v>
      </c>
      <c r="B385" t="s">
        <v>3</v>
      </c>
      <c r="C385" t="s">
        <v>710</v>
      </c>
      <c r="D385">
        <v>2018</v>
      </c>
      <c r="E385">
        <v>1</v>
      </c>
      <c r="F385">
        <v>8</v>
      </c>
      <c r="G385">
        <v>4</v>
      </c>
      <c r="H385">
        <v>8</v>
      </c>
      <c r="I385">
        <v>-6173</v>
      </c>
      <c r="J385">
        <v>-3086</v>
      </c>
      <c r="K385" t="s">
        <v>709</v>
      </c>
      <c r="L385" t="s">
        <v>1599</v>
      </c>
    </row>
    <row r="386" spans="1:12">
      <c r="A386">
        <v>384</v>
      </c>
      <c r="B386" t="s">
        <v>3</v>
      </c>
      <c r="C386" t="s">
        <v>710</v>
      </c>
      <c r="D386">
        <v>2018</v>
      </c>
      <c r="E386">
        <v>1</v>
      </c>
      <c r="F386">
        <v>17</v>
      </c>
      <c r="G386">
        <v>4</v>
      </c>
      <c r="H386">
        <v>8</v>
      </c>
      <c r="I386">
        <v>5737</v>
      </c>
      <c r="J386">
        <v>0</v>
      </c>
      <c r="K386" t="s">
        <v>709</v>
      </c>
      <c r="L386" t="s">
        <v>1612</v>
      </c>
    </row>
    <row r="387" spans="1:12">
      <c r="A387">
        <v>385</v>
      </c>
      <c r="B387" t="s">
        <v>3</v>
      </c>
      <c r="C387" t="s">
        <v>710</v>
      </c>
      <c r="D387">
        <v>2018</v>
      </c>
      <c r="E387">
        <v>1</v>
      </c>
      <c r="F387">
        <v>20</v>
      </c>
      <c r="G387">
        <v>4</v>
      </c>
      <c r="H387">
        <v>8</v>
      </c>
      <c r="I387">
        <v>57</v>
      </c>
      <c r="J387">
        <v>0</v>
      </c>
      <c r="K387" t="s">
        <v>709</v>
      </c>
      <c r="L387" t="s">
        <v>1615</v>
      </c>
    </row>
    <row r="388" spans="1:12">
      <c r="A388">
        <v>386</v>
      </c>
      <c r="B388" t="s">
        <v>3</v>
      </c>
      <c r="C388" t="s">
        <v>710</v>
      </c>
      <c r="D388">
        <v>2018</v>
      </c>
      <c r="E388">
        <v>1</v>
      </c>
      <c r="F388">
        <v>29</v>
      </c>
      <c r="G388">
        <v>4</v>
      </c>
      <c r="H388">
        <v>8</v>
      </c>
      <c r="I388">
        <v>0</v>
      </c>
      <c r="J388">
        <v>160</v>
      </c>
      <c r="K388" t="s">
        <v>709</v>
      </c>
      <c r="L388" t="s">
        <v>1617</v>
      </c>
    </row>
    <row r="389" spans="1:12">
      <c r="A389">
        <v>387</v>
      </c>
      <c r="B389" t="s">
        <v>3</v>
      </c>
      <c r="C389" t="s">
        <v>710</v>
      </c>
      <c r="D389">
        <v>2018</v>
      </c>
      <c r="E389">
        <v>1</v>
      </c>
      <c r="F389">
        <v>40</v>
      </c>
      <c r="G389">
        <v>4</v>
      </c>
      <c r="H389">
        <v>8</v>
      </c>
      <c r="I389">
        <v>350</v>
      </c>
      <c r="J389">
        <v>5.03</v>
      </c>
      <c r="K389" t="s">
        <v>709</v>
      </c>
      <c r="L389" t="s">
        <v>1603</v>
      </c>
    </row>
    <row r="390" spans="1:12">
      <c r="A390">
        <v>388</v>
      </c>
      <c r="B390" t="s">
        <v>3</v>
      </c>
      <c r="C390" t="s">
        <v>710</v>
      </c>
      <c r="D390">
        <v>2018</v>
      </c>
      <c r="E390">
        <v>1</v>
      </c>
      <c r="F390">
        <v>40</v>
      </c>
      <c r="G390">
        <v>4</v>
      </c>
      <c r="H390">
        <v>8</v>
      </c>
      <c r="I390">
        <v>0</v>
      </c>
      <c r="J390">
        <v>5.03</v>
      </c>
      <c r="K390" t="s">
        <v>709</v>
      </c>
      <c r="L390" t="s">
        <v>1604</v>
      </c>
    </row>
    <row r="391" spans="1:12">
      <c r="A391">
        <v>389</v>
      </c>
      <c r="B391" t="s">
        <v>3</v>
      </c>
      <c r="C391" t="s">
        <v>710</v>
      </c>
      <c r="D391">
        <v>2018</v>
      </c>
      <c r="E391">
        <v>1</v>
      </c>
      <c r="F391">
        <v>41</v>
      </c>
      <c r="G391">
        <v>4</v>
      </c>
      <c r="H391">
        <v>8</v>
      </c>
      <c r="I391">
        <v>29</v>
      </c>
      <c r="J391">
        <v>0.82</v>
      </c>
      <c r="K391" t="s">
        <v>709</v>
      </c>
      <c r="L391" t="s">
        <v>1605</v>
      </c>
    </row>
    <row r="392" spans="1:12">
      <c r="A392">
        <v>390</v>
      </c>
      <c r="B392" t="s">
        <v>3</v>
      </c>
      <c r="C392" t="s">
        <v>710</v>
      </c>
      <c r="D392">
        <v>2018</v>
      </c>
      <c r="E392">
        <v>2</v>
      </c>
      <c r="F392">
        <v>29</v>
      </c>
      <c r="G392">
        <v>4</v>
      </c>
      <c r="H392">
        <v>12</v>
      </c>
      <c r="I392">
        <v>0</v>
      </c>
      <c r="J392">
        <v>1465.6000000000001</v>
      </c>
      <c r="K392" t="s">
        <v>709</v>
      </c>
      <c r="L392" t="s">
        <v>1617</v>
      </c>
    </row>
    <row r="393" spans="1:12">
      <c r="A393">
        <v>391</v>
      </c>
      <c r="B393" t="s">
        <v>3</v>
      </c>
      <c r="C393" t="s">
        <v>710</v>
      </c>
      <c r="D393">
        <v>2018</v>
      </c>
      <c r="E393">
        <v>2</v>
      </c>
      <c r="F393">
        <v>40</v>
      </c>
      <c r="G393">
        <v>4</v>
      </c>
      <c r="H393">
        <v>12</v>
      </c>
      <c r="I393">
        <v>0</v>
      </c>
      <c r="J393">
        <v>46.099999999999994</v>
      </c>
      <c r="K393" t="s">
        <v>709</v>
      </c>
      <c r="L393" t="s">
        <v>1603</v>
      </c>
    </row>
    <row r="394" spans="1:12">
      <c r="A394">
        <v>392</v>
      </c>
      <c r="B394" t="s">
        <v>3</v>
      </c>
      <c r="C394" t="s">
        <v>710</v>
      </c>
      <c r="D394">
        <v>2018</v>
      </c>
      <c r="E394">
        <v>2</v>
      </c>
      <c r="F394">
        <v>40</v>
      </c>
      <c r="G394">
        <v>4</v>
      </c>
      <c r="H394">
        <v>12</v>
      </c>
      <c r="I394">
        <v>0</v>
      </c>
      <c r="J394">
        <v>46.09</v>
      </c>
      <c r="K394" t="s">
        <v>709</v>
      </c>
      <c r="L394" t="s">
        <v>1604</v>
      </c>
    </row>
    <row r="395" spans="1:12">
      <c r="A395">
        <v>393</v>
      </c>
      <c r="B395" t="s">
        <v>3</v>
      </c>
      <c r="C395" t="s">
        <v>710</v>
      </c>
      <c r="D395">
        <v>2018</v>
      </c>
      <c r="E395">
        <v>2</v>
      </c>
      <c r="F395">
        <v>41</v>
      </c>
      <c r="G395">
        <v>4</v>
      </c>
      <c r="H395">
        <v>12</v>
      </c>
      <c r="I395">
        <v>0</v>
      </c>
      <c r="J395">
        <v>7.47</v>
      </c>
      <c r="K395" t="s">
        <v>709</v>
      </c>
      <c r="L395" t="s">
        <v>1605</v>
      </c>
    </row>
    <row r="396" spans="1:12">
      <c r="A396">
        <v>394</v>
      </c>
      <c r="B396" t="s">
        <v>3</v>
      </c>
      <c r="C396" t="s">
        <v>710</v>
      </c>
      <c r="D396">
        <v>2018</v>
      </c>
      <c r="E396">
        <v>3</v>
      </c>
      <c r="F396">
        <v>8</v>
      </c>
      <c r="G396">
        <v>4</v>
      </c>
      <c r="H396">
        <v>16</v>
      </c>
      <c r="I396">
        <v>0</v>
      </c>
      <c r="J396">
        <v>-3087</v>
      </c>
      <c r="K396" t="s">
        <v>709</v>
      </c>
      <c r="L396" t="s">
        <v>1599</v>
      </c>
    </row>
    <row r="397" spans="1:12">
      <c r="A397">
        <v>395</v>
      </c>
      <c r="B397" t="s">
        <v>3</v>
      </c>
      <c r="C397" t="s">
        <v>710</v>
      </c>
      <c r="D397">
        <v>2018</v>
      </c>
      <c r="E397">
        <v>3</v>
      </c>
      <c r="F397">
        <v>29</v>
      </c>
      <c r="G397">
        <v>4</v>
      </c>
      <c r="H397">
        <v>16</v>
      </c>
      <c r="I397">
        <v>0</v>
      </c>
      <c r="J397">
        <v>1088</v>
      </c>
      <c r="K397" t="s">
        <v>709</v>
      </c>
      <c r="L397" t="s">
        <v>1617</v>
      </c>
    </row>
    <row r="398" spans="1:12">
      <c r="A398">
        <v>396</v>
      </c>
      <c r="B398" t="s">
        <v>3</v>
      </c>
      <c r="C398" t="s">
        <v>710</v>
      </c>
      <c r="D398">
        <v>2018</v>
      </c>
      <c r="E398">
        <v>3</v>
      </c>
      <c r="F398">
        <v>40</v>
      </c>
      <c r="G398">
        <v>4</v>
      </c>
      <c r="H398">
        <v>16</v>
      </c>
      <c r="I398">
        <v>0</v>
      </c>
      <c r="J398">
        <v>34.22</v>
      </c>
      <c r="K398" t="s">
        <v>709</v>
      </c>
      <c r="L398" t="s">
        <v>1603</v>
      </c>
    </row>
    <row r="399" spans="1:12">
      <c r="A399">
        <v>397</v>
      </c>
      <c r="B399" t="s">
        <v>3</v>
      </c>
      <c r="C399" t="s">
        <v>710</v>
      </c>
      <c r="D399">
        <v>2018</v>
      </c>
      <c r="E399">
        <v>3</v>
      </c>
      <c r="F399">
        <v>40</v>
      </c>
      <c r="G399">
        <v>4</v>
      </c>
      <c r="H399">
        <v>16</v>
      </c>
      <c r="I399">
        <v>0</v>
      </c>
      <c r="J399">
        <v>34.22</v>
      </c>
      <c r="K399" t="s">
        <v>709</v>
      </c>
      <c r="L399" t="s">
        <v>1604</v>
      </c>
    </row>
    <row r="400" spans="1:12">
      <c r="A400">
        <v>398</v>
      </c>
      <c r="B400" t="s">
        <v>3</v>
      </c>
      <c r="C400" t="s">
        <v>710</v>
      </c>
      <c r="D400">
        <v>2018</v>
      </c>
      <c r="E400">
        <v>3</v>
      </c>
      <c r="F400">
        <v>41</v>
      </c>
      <c r="G400">
        <v>4</v>
      </c>
      <c r="H400">
        <v>16</v>
      </c>
      <c r="I400">
        <v>0</v>
      </c>
      <c r="J400">
        <v>5.5600000000000005</v>
      </c>
      <c r="K400" t="s">
        <v>709</v>
      </c>
      <c r="L400" t="s">
        <v>1605</v>
      </c>
    </row>
    <row r="401" spans="1:12">
      <c r="A401">
        <v>399</v>
      </c>
      <c r="B401" t="s">
        <v>3</v>
      </c>
      <c r="C401" t="s">
        <v>710</v>
      </c>
      <c r="D401">
        <v>2018</v>
      </c>
      <c r="E401">
        <v>4</v>
      </c>
      <c r="F401">
        <v>11</v>
      </c>
      <c r="G401">
        <v>4</v>
      </c>
      <c r="H401">
        <v>20</v>
      </c>
      <c r="I401">
        <v>0</v>
      </c>
      <c r="J401">
        <v>-128</v>
      </c>
      <c r="K401" t="s">
        <v>709</v>
      </c>
      <c r="L401" t="s">
        <v>1607</v>
      </c>
    </row>
    <row r="402" spans="1:12">
      <c r="A402">
        <v>400</v>
      </c>
      <c r="B402" t="s">
        <v>3</v>
      </c>
      <c r="C402" t="s">
        <v>710</v>
      </c>
      <c r="D402">
        <v>2018</v>
      </c>
      <c r="E402">
        <v>4</v>
      </c>
      <c r="F402">
        <v>26</v>
      </c>
      <c r="G402">
        <v>4</v>
      </c>
      <c r="H402">
        <v>20</v>
      </c>
      <c r="I402">
        <v>0</v>
      </c>
      <c r="J402">
        <v>255.04</v>
      </c>
      <c r="K402" t="s">
        <v>709</v>
      </c>
      <c r="L402" t="s">
        <v>1622</v>
      </c>
    </row>
    <row r="403" spans="1:12">
      <c r="A403">
        <v>401</v>
      </c>
      <c r="B403" t="s">
        <v>3</v>
      </c>
      <c r="C403" t="s">
        <v>710</v>
      </c>
      <c r="D403">
        <v>2018</v>
      </c>
      <c r="E403">
        <v>4</v>
      </c>
      <c r="F403">
        <v>26</v>
      </c>
      <c r="G403">
        <v>4</v>
      </c>
      <c r="H403">
        <v>20</v>
      </c>
      <c r="I403">
        <v>0</v>
      </c>
      <c r="J403">
        <v>17.600000000000001</v>
      </c>
      <c r="K403" t="s">
        <v>709</v>
      </c>
      <c r="L403" t="s">
        <v>1618</v>
      </c>
    </row>
    <row r="404" spans="1:12">
      <c r="A404">
        <v>402</v>
      </c>
      <c r="B404" t="s">
        <v>3</v>
      </c>
      <c r="C404" t="s">
        <v>710</v>
      </c>
      <c r="D404">
        <v>2018</v>
      </c>
      <c r="E404">
        <v>4</v>
      </c>
      <c r="F404">
        <v>27</v>
      </c>
      <c r="G404">
        <v>4</v>
      </c>
      <c r="H404">
        <v>20</v>
      </c>
      <c r="I404">
        <v>0</v>
      </c>
      <c r="J404">
        <v>42</v>
      </c>
      <c r="K404" t="s">
        <v>709</v>
      </c>
      <c r="L404" t="s">
        <v>1626</v>
      </c>
    </row>
    <row r="405" spans="1:12">
      <c r="A405">
        <v>403</v>
      </c>
      <c r="B405" t="s">
        <v>3</v>
      </c>
      <c r="C405" t="s">
        <v>710</v>
      </c>
      <c r="D405">
        <v>2018</v>
      </c>
      <c r="E405">
        <v>4</v>
      </c>
      <c r="F405">
        <v>29</v>
      </c>
      <c r="G405">
        <v>4</v>
      </c>
      <c r="H405">
        <v>20</v>
      </c>
      <c r="I405">
        <v>0</v>
      </c>
      <c r="J405">
        <v>1622.3999999999999</v>
      </c>
      <c r="K405" t="s">
        <v>709</v>
      </c>
      <c r="L405" t="s">
        <v>1617</v>
      </c>
    </row>
    <row r="406" spans="1:12">
      <c r="A406">
        <v>404</v>
      </c>
      <c r="B406" t="s">
        <v>3</v>
      </c>
      <c r="C406" t="s">
        <v>710</v>
      </c>
      <c r="D406">
        <v>2018</v>
      </c>
      <c r="E406">
        <v>4</v>
      </c>
      <c r="F406">
        <v>29</v>
      </c>
      <c r="G406">
        <v>4</v>
      </c>
      <c r="H406">
        <v>20</v>
      </c>
      <c r="I406">
        <v>0</v>
      </c>
      <c r="J406">
        <v>351.47</v>
      </c>
      <c r="K406" t="s">
        <v>709</v>
      </c>
      <c r="L406" t="s">
        <v>1620</v>
      </c>
    </row>
    <row r="407" spans="1:12">
      <c r="A407">
        <v>405</v>
      </c>
      <c r="B407" t="s">
        <v>3</v>
      </c>
      <c r="C407" t="s">
        <v>710</v>
      </c>
      <c r="D407">
        <v>2018</v>
      </c>
      <c r="E407">
        <v>4</v>
      </c>
      <c r="F407">
        <v>29</v>
      </c>
      <c r="G407">
        <v>4</v>
      </c>
      <c r="H407">
        <v>20</v>
      </c>
      <c r="I407">
        <v>0</v>
      </c>
      <c r="J407">
        <v>202.34</v>
      </c>
      <c r="K407" t="s">
        <v>709</v>
      </c>
      <c r="L407" t="s">
        <v>1608</v>
      </c>
    </row>
    <row r="408" spans="1:12">
      <c r="A408">
        <v>406</v>
      </c>
      <c r="B408" t="s">
        <v>3</v>
      </c>
      <c r="C408" t="s">
        <v>710</v>
      </c>
      <c r="D408">
        <v>2018</v>
      </c>
      <c r="E408">
        <v>4</v>
      </c>
      <c r="F408">
        <v>40</v>
      </c>
      <c r="G408">
        <v>4</v>
      </c>
      <c r="H408">
        <v>20</v>
      </c>
      <c r="I408">
        <v>0</v>
      </c>
      <c r="J408">
        <v>78.329999999999984</v>
      </c>
      <c r="K408" t="s">
        <v>709</v>
      </c>
      <c r="L408" t="s">
        <v>1603</v>
      </c>
    </row>
    <row r="409" spans="1:12">
      <c r="A409">
        <v>407</v>
      </c>
      <c r="B409" t="s">
        <v>3</v>
      </c>
      <c r="C409" t="s">
        <v>710</v>
      </c>
      <c r="D409">
        <v>2018</v>
      </c>
      <c r="E409">
        <v>4</v>
      </c>
      <c r="F409">
        <v>40</v>
      </c>
      <c r="G409">
        <v>4</v>
      </c>
      <c r="H409">
        <v>20</v>
      </c>
      <c r="I409">
        <v>0</v>
      </c>
      <c r="J409">
        <v>78.349999999999994</v>
      </c>
      <c r="K409" t="s">
        <v>709</v>
      </c>
      <c r="L409" t="s">
        <v>1604</v>
      </c>
    </row>
    <row r="410" spans="1:12">
      <c r="A410">
        <v>408</v>
      </c>
      <c r="B410" t="s">
        <v>3</v>
      </c>
      <c r="C410" t="s">
        <v>710</v>
      </c>
      <c r="D410">
        <v>2018</v>
      </c>
      <c r="E410">
        <v>4</v>
      </c>
      <c r="F410">
        <v>41</v>
      </c>
      <c r="G410">
        <v>4</v>
      </c>
      <c r="H410">
        <v>20</v>
      </c>
      <c r="I410">
        <v>0</v>
      </c>
      <c r="J410">
        <v>12.69</v>
      </c>
      <c r="K410" t="s">
        <v>709</v>
      </c>
      <c r="L410" t="s">
        <v>1605</v>
      </c>
    </row>
    <row r="411" spans="1:12">
      <c r="A411">
        <v>409</v>
      </c>
      <c r="B411" t="s">
        <v>3</v>
      </c>
      <c r="C411" t="s">
        <v>710</v>
      </c>
      <c r="D411">
        <v>2018</v>
      </c>
      <c r="E411">
        <v>4</v>
      </c>
      <c r="F411">
        <v>45</v>
      </c>
      <c r="G411">
        <v>4</v>
      </c>
      <c r="H411">
        <v>20</v>
      </c>
      <c r="I411">
        <v>0</v>
      </c>
      <c r="J411">
        <v>742.64</v>
      </c>
      <c r="K411" t="s">
        <v>709</v>
      </c>
      <c r="L411" t="s">
        <v>1606</v>
      </c>
    </row>
    <row r="412" spans="1:12">
      <c r="A412">
        <v>410</v>
      </c>
      <c r="B412" t="s">
        <v>3</v>
      </c>
      <c r="C412" t="s">
        <v>710</v>
      </c>
      <c r="D412">
        <v>2019</v>
      </c>
      <c r="E412">
        <v>1</v>
      </c>
      <c r="F412">
        <v>8</v>
      </c>
      <c r="G412">
        <v>3</v>
      </c>
      <c r="H412">
        <v>7</v>
      </c>
      <c r="I412">
        <v>-6188</v>
      </c>
      <c r="J412">
        <v>-3094</v>
      </c>
      <c r="K412" t="s">
        <v>709</v>
      </c>
      <c r="L412" t="s">
        <v>1599</v>
      </c>
    </row>
    <row r="413" spans="1:12">
      <c r="A413">
        <v>411</v>
      </c>
      <c r="B413" t="s">
        <v>3</v>
      </c>
      <c r="C413" t="s">
        <v>710</v>
      </c>
      <c r="D413">
        <v>2019</v>
      </c>
      <c r="E413">
        <v>1</v>
      </c>
      <c r="F413">
        <v>23</v>
      </c>
      <c r="G413">
        <v>3</v>
      </c>
      <c r="H413">
        <v>7</v>
      </c>
      <c r="I413">
        <v>5794</v>
      </c>
      <c r="J413">
        <v>0</v>
      </c>
      <c r="K413" t="s">
        <v>709</v>
      </c>
      <c r="L413" t="s">
        <v>1602</v>
      </c>
    </row>
    <row r="414" spans="1:12">
      <c r="A414">
        <v>412</v>
      </c>
      <c r="B414" t="s">
        <v>3</v>
      </c>
      <c r="C414" t="s">
        <v>710</v>
      </c>
      <c r="D414">
        <v>2019</v>
      </c>
      <c r="E414">
        <v>1</v>
      </c>
      <c r="F414">
        <v>29</v>
      </c>
      <c r="G414">
        <v>3</v>
      </c>
      <c r="H414">
        <v>7</v>
      </c>
      <c r="I414">
        <v>0</v>
      </c>
      <c r="J414">
        <v>780.8</v>
      </c>
      <c r="K414" t="s">
        <v>709</v>
      </c>
      <c r="L414" t="s">
        <v>1617</v>
      </c>
    </row>
    <row r="415" spans="1:12">
      <c r="A415">
        <v>413</v>
      </c>
      <c r="B415" t="s">
        <v>3</v>
      </c>
      <c r="C415" t="s">
        <v>710</v>
      </c>
      <c r="D415">
        <v>2019</v>
      </c>
      <c r="E415">
        <v>1</v>
      </c>
      <c r="F415">
        <v>40</v>
      </c>
      <c r="G415">
        <v>3</v>
      </c>
      <c r="H415">
        <v>7</v>
      </c>
      <c r="I415">
        <v>364</v>
      </c>
      <c r="J415">
        <v>26.39</v>
      </c>
      <c r="K415" t="s">
        <v>709</v>
      </c>
      <c r="L415" t="s">
        <v>1603</v>
      </c>
    </row>
    <row r="416" spans="1:12">
      <c r="A416">
        <v>414</v>
      </c>
      <c r="B416" t="s">
        <v>3</v>
      </c>
      <c r="C416" t="s">
        <v>710</v>
      </c>
      <c r="D416">
        <v>2019</v>
      </c>
      <c r="E416">
        <v>1</v>
      </c>
      <c r="F416">
        <v>40</v>
      </c>
      <c r="G416">
        <v>3</v>
      </c>
      <c r="H416">
        <v>7</v>
      </c>
      <c r="I416">
        <v>0</v>
      </c>
      <c r="J416">
        <v>26.39</v>
      </c>
      <c r="K416" t="s">
        <v>709</v>
      </c>
      <c r="L416" t="s">
        <v>1604</v>
      </c>
    </row>
    <row r="417" spans="1:12">
      <c r="A417">
        <v>415</v>
      </c>
      <c r="B417" t="s">
        <v>3</v>
      </c>
      <c r="C417" t="s">
        <v>710</v>
      </c>
      <c r="D417">
        <v>2019</v>
      </c>
      <c r="E417">
        <v>1</v>
      </c>
      <c r="F417">
        <v>41</v>
      </c>
      <c r="G417">
        <v>3</v>
      </c>
      <c r="H417">
        <v>7</v>
      </c>
      <c r="I417">
        <v>30</v>
      </c>
      <c r="J417">
        <v>4.84</v>
      </c>
      <c r="K417" t="s">
        <v>709</v>
      </c>
      <c r="L417" t="s">
        <v>1605</v>
      </c>
    </row>
    <row r="418" spans="1:12">
      <c r="A418">
        <v>416</v>
      </c>
      <c r="B418" t="s">
        <v>3</v>
      </c>
      <c r="C418" t="s">
        <v>710</v>
      </c>
      <c r="D418">
        <v>2019</v>
      </c>
      <c r="E418">
        <v>2</v>
      </c>
      <c r="F418">
        <v>29</v>
      </c>
      <c r="G418">
        <v>3</v>
      </c>
      <c r="H418">
        <v>11</v>
      </c>
      <c r="I418">
        <v>0</v>
      </c>
      <c r="J418">
        <v>3196</v>
      </c>
      <c r="K418" t="s">
        <v>709</v>
      </c>
      <c r="L418" t="s">
        <v>1617</v>
      </c>
    </row>
    <row r="419" spans="1:12">
      <c r="A419">
        <v>417</v>
      </c>
      <c r="B419" t="s">
        <v>3</v>
      </c>
      <c r="C419" t="s">
        <v>710</v>
      </c>
      <c r="D419">
        <v>2019</v>
      </c>
      <c r="E419">
        <v>2</v>
      </c>
      <c r="F419">
        <v>29</v>
      </c>
      <c r="G419">
        <v>3</v>
      </c>
      <c r="H419">
        <v>11</v>
      </c>
      <c r="I419">
        <v>0</v>
      </c>
      <c r="J419">
        <v>147.94999999999999</v>
      </c>
      <c r="K419" t="s">
        <v>709</v>
      </c>
      <c r="L419" t="s">
        <v>1608</v>
      </c>
    </row>
    <row r="420" spans="1:12">
      <c r="A420">
        <v>418</v>
      </c>
      <c r="B420" t="s">
        <v>3</v>
      </c>
      <c r="C420" t="s">
        <v>710</v>
      </c>
      <c r="D420">
        <v>2019</v>
      </c>
      <c r="E420">
        <v>2</v>
      </c>
      <c r="F420">
        <v>40</v>
      </c>
      <c r="G420">
        <v>3</v>
      </c>
      <c r="H420">
        <v>11</v>
      </c>
      <c r="I420">
        <v>0</v>
      </c>
      <c r="J420">
        <v>113.03999999999999</v>
      </c>
      <c r="K420" t="s">
        <v>709</v>
      </c>
      <c r="L420" t="s">
        <v>1603</v>
      </c>
    </row>
    <row r="421" spans="1:12">
      <c r="A421">
        <v>419</v>
      </c>
      <c r="B421" t="s">
        <v>3</v>
      </c>
      <c r="C421" t="s">
        <v>710</v>
      </c>
      <c r="D421">
        <v>2019</v>
      </c>
      <c r="E421">
        <v>2</v>
      </c>
      <c r="F421">
        <v>40</v>
      </c>
      <c r="G421">
        <v>3</v>
      </c>
      <c r="H421">
        <v>11</v>
      </c>
      <c r="I421">
        <v>0</v>
      </c>
      <c r="J421">
        <v>113.02000000000001</v>
      </c>
      <c r="K421" t="s">
        <v>709</v>
      </c>
      <c r="L421" t="s">
        <v>1604</v>
      </c>
    </row>
    <row r="422" spans="1:12">
      <c r="A422">
        <v>420</v>
      </c>
      <c r="B422" t="s">
        <v>3</v>
      </c>
      <c r="C422" t="s">
        <v>710</v>
      </c>
      <c r="D422">
        <v>2019</v>
      </c>
      <c r="E422">
        <v>2</v>
      </c>
      <c r="F422">
        <v>41</v>
      </c>
      <c r="G422">
        <v>3</v>
      </c>
      <c r="H422">
        <v>11</v>
      </c>
      <c r="I422">
        <v>0</v>
      </c>
      <c r="J422">
        <v>20.73</v>
      </c>
      <c r="K422" t="s">
        <v>709</v>
      </c>
      <c r="L422" t="s">
        <v>1605</v>
      </c>
    </row>
    <row r="423" spans="1:12">
      <c r="A423">
        <v>421</v>
      </c>
      <c r="B423" t="s">
        <v>3</v>
      </c>
      <c r="C423" t="s">
        <v>710</v>
      </c>
      <c r="D423">
        <v>2019</v>
      </c>
      <c r="E423">
        <v>3</v>
      </c>
      <c r="F423">
        <v>8</v>
      </c>
      <c r="G423">
        <v>3</v>
      </c>
      <c r="H423">
        <v>15</v>
      </c>
      <c r="I423">
        <v>0</v>
      </c>
      <c r="J423">
        <v>-3094</v>
      </c>
      <c r="K423" t="s">
        <v>709</v>
      </c>
      <c r="L423" t="s">
        <v>1599</v>
      </c>
    </row>
    <row r="424" spans="1:12">
      <c r="A424">
        <v>422</v>
      </c>
      <c r="B424" t="s">
        <v>3</v>
      </c>
      <c r="C424" t="s">
        <v>710</v>
      </c>
      <c r="D424">
        <v>2019</v>
      </c>
      <c r="E424">
        <v>3</v>
      </c>
      <c r="F424">
        <v>11</v>
      </c>
      <c r="G424">
        <v>3</v>
      </c>
      <c r="H424">
        <v>15</v>
      </c>
      <c r="I424">
        <v>0</v>
      </c>
      <c r="J424">
        <v>-8094</v>
      </c>
      <c r="K424" t="s">
        <v>709</v>
      </c>
      <c r="L424" t="s">
        <v>1607</v>
      </c>
    </row>
    <row r="425" spans="1:12">
      <c r="A425">
        <v>423</v>
      </c>
      <c r="B425" t="s">
        <v>3</v>
      </c>
      <c r="C425" t="s">
        <v>710</v>
      </c>
      <c r="D425">
        <v>2019</v>
      </c>
      <c r="E425">
        <v>3</v>
      </c>
      <c r="F425">
        <v>26</v>
      </c>
      <c r="G425">
        <v>3</v>
      </c>
      <c r="H425">
        <v>15</v>
      </c>
      <c r="I425">
        <v>0</v>
      </c>
      <c r="J425">
        <v>150</v>
      </c>
      <c r="K425" t="s">
        <v>709</v>
      </c>
      <c r="L425" t="s">
        <v>1633</v>
      </c>
    </row>
    <row r="426" spans="1:12">
      <c r="A426">
        <v>424</v>
      </c>
      <c r="B426" t="s">
        <v>3</v>
      </c>
      <c r="C426" t="s">
        <v>710</v>
      </c>
      <c r="D426">
        <v>2019</v>
      </c>
      <c r="E426">
        <v>3</v>
      </c>
      <c r="F426">
        <v>29</v>
      </c>
      <c r="G426">
        <v>3</v>
      </c>
      <c r="H426">
        <v>15</v>
      </c>
      <c r="I426">
        <v>0</v>
      </c>
      <c r="J426">
        <v>2758.8</v>
      </c>
      <c r="K426" t="s">
        <v>709</v>
      </c>
      <c r="L426" t="s">
        <v>1617</v>
      </c>
    </row>
    <row r="427" spans="1:12">
      <c r="A427">
        <v>425</v>
      </c>
      <c r="B427" t="s">
        <v>3</v>
      </c>
      <c r="C427" t="s">
        <v>710</v>
      </c>
      <c r="D427">
        <v>2019</v>
      </c>
      <c r="E427">
        <v>3</v>
      </c>
      <c r="F427">
        <v>29</v>
      </c>
      <c r="G427">
        <v>3</v>
      </c>
      <c r="H427">
        <v>15</v>
      </c>
      <c r="I427">
        <v>0</v>
      </c>
      <c r="J427">
        <v>387.36</v>
      </c>
      <c r="K427" t="s">
        <v>709</v>
      </c>
      <c r="L427" t="s">
        <v>1620</v>
      </c>
    </row>
    <row r="428" spans="1:12">
      <c r="A428">
        <v>426</v>
      </c>
      <c r="B428" t="s">
        <v>3</v>
      </c>
      <c r="C428" t="s">
        <v>710</v>
      </c>
      <c r="D428">
        <v>2019</v>
      </c>
      <c r="E428">
        <v>3</v>
      </c>
      <c r="F428">
        <v>29</v>
      </c>
      <c r="G428">
        <v>3</v>
      </c>
      <c r="H428">
        <v>15</v>
      </c>
      <c r="I428">
        <v>0</v>
      </c>
      <c r="J428">
        <v>86.45</v>
      </c>
      <c r="K428" t="s">
        <v>709</v>
      </c>
      <c r="L428" t="s">
        <v>1608</v>
      </c>
    </row>
    <row r="429" spans="1:12">
      <c r="A429">
        <v>427</v>
      </c>
      <c r="B429" t="s">
        <v>3</v>
      </c>
      <c r="C429" t="s">
        <v>710</v>
      </c>
      <c r="D429">
        <v>2019</v>
      </c>
      <c r="E429">
        <v>3</v>
      </c>
      <c r="F429">
        <v>40</v>
      </c>
      <c r="G429">
        <v>3</v>
      </c>
      <c r="H429">
        <v>15</v>
      </c>
      <c r="I429">
        <v>0</v>
      </c>
      <c r="J429">
        <v>114.33</v>
      </c>
      <c r="K429" t="s">
        <v>709</v>
      </c>
      <c r="L429" t="s">
        <v>1603</v>
      </c>
    </row>
    <row r="430" spans="1:12">
      <c r="A430">
        <v>428</v>
      </c>
      <c r="B430" t="s">
        <v>3</v>
      </c>
      <c r="C430" t="s">
        <v>710</v>
      </c>
      <c r="D430">
        <v>2019</v>
      </c>
      <c r="E430">
        <v>3</v>
      </c>
      <c r="F430">
        <v>40</v>
      </c>
      <c r="G430">
        <v>3</v>
      </c>
      <c r="H430">
        <v>15</v>
      </c>
      <c r="I430">
        <v>0</v>
      </c>
      <c r="J430">
        <v>114.34</v>
      </c>
      <c r="K430" t="s">
        <v>709</v>
      </c>
      <c r="L430" t="s">
        <v>1604</v>
      </c>
    </row>
    <row r="431" spans="1:12">
      <c r="A431">
        <v>429</v>
      </c>
      <c r="B431" t="s">
        <v>3</v>
      </c>
      <c r="C431" t="s">
        <v>710</v>
      </c>
      <c r="D431">
        <v>2019</v>
      </c>
      <c r="E431">
        <v>3</v>
      </c>
      <c r="F431">
        <v>41</v>
      </c>
      <c r="G431">
        <v>3</v>
      </c>
      <c r="H431">
        <v>15</v>
      </c>
      <c r="I431">
        <v>0</v>
      </c>
      <c r="J431">
        <v>20.98</v>
      </c>
      <c r="K431" t="s">
        <v>709</v>
      </c>
      <c r="L431" t="s">
        <v>1605</v>
      </c>
    </row>
    <row r="432" spans="1:12">
      <c r="A432">
        <v>430</v>
      </c>
      <c r="B432" t="s">
        <v>3</v>
      </c>
      <c r="C432" t="s">
        <v>710</v>
      </c>
      <c r="D432">
        <v>2019</v>
      </c>
      <c r="E432">
        <v>4</v>
      </c>
      <c r="F432">
        <v>28</v>
      </c>
      <c r="G432">
        <v>3</v>
      </c>
      <c r="H432">
        <v>19</v>
      </c>
      <c r="I432">
        <v>0</v>
      </c>
      <c r="J432">
        <v>641.25</v>
      </c>
      <c r="K432" t="s">
        <v>709</v>
      </c>
      <c r="L432" t="s">
        <v>1634</v>
      </c>
    </row>
    <row r="433" spans="1:12">
      <c r="A433">
        <v>431</v>
      </c>
      <c r="B433" t="s">
        <v>3</v>
      </c>
      <c r="C433" t="s">
        <v>710</v>
      </c>
      <c r="D433">
        <v>2019</v>
      </c>
      <c r="E433">
        <v>4</v>
      </c>
      <c r="F433">
        <v>29</v>
      </c>
      <c r="G433">
        <v>3</v>
      </c>
      <c r="H433">
        <v>19</v>
      </c>
      <c r="I433">
        <v>0</v>
      </c>
      <c r="J433">
        <v>3178</v>
      </c>
      <c r="K433" t="s">
        <v>709</v>
      </c>
      <c r="L433" t="s">
        <v>1617</v>
      </c>
    </row>
    <row r="434" spans="1:12">
      <c r="A434">
        <v>432</v>
      </c>
      <c r="B434" t="s">
        <v>3</v>
      </c>
      <c r="C434" t="s">
        <v>710</v>
      </c>
      <c r="D434">
        <v>2019</v>
      </c>
      <c r="E434">
        <v>4</v>
      </c>
      <c r="F434">
        <v>29</v>
      </c>
      <c r="G434">
        <v>3</v>
      </c>
      <c r="H434">
        <v>19</v>
      </c>
      <c r="I434">
        <v>0</v>
      </c>
      <c r="J434">
        <v>253.1</v>
      </c>
      <c r="K434" t="s">
        <v>709</v>
      </c>
      <c r="L434" t="s">
        <v>1620</v>
      </c>
    </row>
    <row r="435" spans="1:12">
      <c r="A435">
        <v>433</v>
      </c>
      <c r="B435" t="s">
        <v>3</v>
      </c>
      <c r="C435" t="s">
        <v>710</v>
      </c>
      <c r="D435">
        <v>2019</v>
      </c>
      <c r="E435">
        <v>4</v>
      </c>
      <c r="F435">
        <v>29</v>
      </c>
      <c r="G435">
        <v>3</v>
      </c>
      <c r="H435">
        <v>19</v>
      </c>
      <c r="I435">
        <v>0</v>
      </c>
      <c r="J435">
        <v>29.25</v>
      </c>
      <c r="K435" t="s">
        <v>709</v>
      </c>
      <c r="L435" t="s">
        <v>1608</v>
      </c>
    </row>
    <row r="436" spans="1:12">
      <c r="A436">
        <v>434</v>
      </c>
      <c r="B436" t="s">
        <v>3</v>
      </c>
      <c r="C436" t="s">
        <v>710</v>
      </c>
      <c r="D436">
        <v>2019</v>
      </c>
      <c r="E436">
        <v>4</v>
      </c>
      <c r="F436">
        <v>40</v>
      </c>
      <c r="G436">
        <v>3</v>
      </c>
      <c r="H436">
        <v>19</v>
      </c>
      <c r="I436">
        <v>0</v>
      </c>
      <c r="J436">
        <v>138.64000000000001</v>
      </c>
      <c r="K436" t="s">
        <v>709</v>
      </c>
      <c r="L436" t="s">
        <v>1603</v>
      </c>
    </row>
    <row r="437" spans="1:12">
      <c r="A437">
        <v>435</v>
      </c>
      <c r="B437" t="s">
        <v>3</v>
      </c>
      <c r="C437" t="s">
        <v>710</v>
      </c>
      <c r="D437">
        <v>2019</v>
      </c>
      <c r="E437">
        <v>4</v>
      </c>
      <c r="F437">
        <v>40</v>
      </c>
      <c r="G437">
        <v>3</v>
      </c>
      <c r="H437">
        <v>19</v>
      </c>
      <c r="I437">
        <v>0</v>
      </c>
      <c r="J437">
        <v>138.63</v>
      </c>
      <c r="K437" t="s">
        <v>709</v>
      </c>
      <c r="L437" t="s">
        <v>1604</v>
      </c>
    </row>
    <row r="438" spans="1:12">
      <c r="A438">
        <v>436</v>
      </c>
      <c r="B438" t="s">
        <v>3</v>
      </c>
      <c r="C438" t="s">
        <v>710</v>
      </c>
      <c r="D438">
        <v>2019</v>
      </c>
      <c r="E438">
        <v>4</v>
      </c>
      <c r="F438">
        <v>41</v>
      </c>
      <c r="G438">
        <v>3</v>
      </c>
      <c r="H438">
        <v>19</v>
      </c>
      <c r="I438">
        <v>0</v>
      </c>
      <c r="J438">
        <v>25.439999999999998</v>
      </c>
      <c r="K438" t="s">
        <v>709</v>
      </c>
      <c r="L438" t="s">
        <v>1605</v>
      </c>
    </row>
    <row r="439" spans="1:12">
      <c r="A439">
        <v>437</v>
      </c>
      <c r="B439" t="s">
        <v>3</v>
      </c>
      <c r="C439" t="s">
        <v>710</v>
      </c>
      <c r="D439">
        <v>2019</v>
      </c>
      <c r="E439">
        <v>4</v>
      </c>
      <c r="F439">
        <v>45</v>
      </c>
      <c r="G439">
        <v>3</v>
      </c>
      <c r="H439">
        <v>19</v>
      </c>
      <c r="I439">
        <v>0</v>
      </c>
      <c r="J439">
        <v>1816.27</v>
      </c>
      <c r="K439" t="s">
        <v>709</v>
      </c>
      <c r="L439" t="s">
        <v>1606</v>
      </c>
    </row>
    <row r="440" spans="1:12">
      <c r="A440">
        <v>438</v>
      </c>
      <c r="B440" t="s">
        <v>3</v>
      </c>
      <c r="C440" t="s">
        <v>710</v>
      </c>
      <c r="D440">
        <v>2020</v>
      </c>
      <c r="E440">
        <v>1</v>
      </c>
      <c r="F440">
        <v>8</v>
      </c>
      <c r="G440">
        <v>2</v>
      </c>
      <c r="H440">
        <v>6</v>
      </c>
      <c r="I440">
        <v>-11079</v>
      </c>
      <c r="J440">
        <v>0</v>
      </c>
      <c r="K440" t="s">
        <v>709</v>
      </c>
      <c r="L440" t="s">
        <v>1599</v>
      </c>
    </row>
    <row r="441" spans="1:12">
      <c r="A441">
        <v>439</v>
      </c>
      <c r="B441" t="s">
        <v>3</v>
      </c>
      <c r="C441" t="s">
        <v>710</v>
      </c>
      <c r="D441">
        <v>2020</v>
      </c>
      <c r="E441">
        <v>1</v>
      </c>
      <c r="F441">
        <v>8</v>
      </c>
      <c r="G441">
        <v>2</v>
      </c>
      <c r="H441">
        <v>6</v>
      </c>
      <c r="I441">
        <v>0</v>
      </c>
      <c r="J441">
        <v>-5539</v>
      </c>
      <c r="K441" t="s">
        <v>709</v>
      </c>
      <c r="L441" t="s">
        <v>1611</v>
      </c>
    </row>
    <row r="442" spans="1:12">
      <c r="A442">
        <v>440</v>
      </c>
      <c r="B442" t="s">
        <v>3</v>
      </c>
      <c r="C442" t="s">
        <v>710</v>
      </c>
      <c r="D442">
        <v>2020</v>
      </c>
      <c r="E442">
        <v>1</v>
      </c>
      <c r="F442">
        <v>23</v>
      </c>
      <c r="G442">
        <v>2</v>
      </c>
      <c r="H442">
        <v>6</v>
      </c>
      <c r="I442">
        <v>10289</v>
      </c>
      <c r="J442">
        <v>0</v>
      </c>
      <c r="K442" t="s">
        <v>709</v>
      </c>
      <c r="L442" t="s">
        <v>1602</v>
      </c>
    </row>
    <row r="443" spans="1:12">
      <c r="A443">
        <v>441</v>
      </c>
      <c r="B443" t="s">
        <v>3</v>
      </c>
      <c r="C443" t="s">
        <v>710</v>
      </c>
      <c r="D443">
        <v>2020</v>
      </c>
      <c r="E443">
        <v>1</v>
      </c>
      <c r="F443">
        <v>29</v>
      </c>
      <c r="G443">
        <v>2</v>
      </c>
      <c r="H443">
        <v>6</v>
      </c>
      <c r="I443">
        <v>0</v>
      </c>
      <c r="J443">
        <v>670</v>
      </c>
      <c r="K443" t="s">
        <v>709</v>
      </c>
      <c r="L443" t="s">
        <v>1617</v>
      </c>
    </row>
    <row r="444" spans="1:12">
      <c r="A444">
        <v>442</v>
      </c>
      <c r="B444" t="s">
        <v>3</v>
      </c>
      <c r="C444" t="s">
        <v>710</v>
      </c>
      <c r="D444">
        <v>2020</v>
      </c>
      <c r="E444">
        <v>1</v>
      </c>
      <c r="F444">
        <v>40</v>
      </c>
      <c r="G444">
        <v>2</v>
      </c>
      <c r="H444">
        <v>6</v>
      </c>
      <c r="I444">
        <v>726</v>
      </c>
      <c r="J444">
        <v>23.65</v>
      </c>
      <c r="K444" t="s">
        <v>709</v>
      </c>
      <c r="L444" t="s">
        <v>1603</v>
      </c>
    </row>
    <row r="445" spans="1:12">
      <c r="A445">
        <v>443</v>
      </c>
      <c r="B445" t="s">
        <v>3</v>
      </c>
      <c r="C445" t="s">
        <v>710</v>
      </c>
      <c r="D445">
        <v>2020</v>
      </c>
      <c r="E445">
        <v>1</v>
      </c>
      <c r="F445">
        <v>40</v>
      </c>
      <c r="G445">
        <v>2</v>
      </c>
      <c r="H445">
        <v>6</v>
      </c>
      <c r="I445">
        <v>0</v>
      </c>
      <c r="J445">
        <v>23.65</v>
      </c>
      <c r="K445" t="s">
        <v>709</v>
      </c>
      <c r="L445" t="s">
        <v>1604</v>
      </c>
    </row>
    <row r="446" spans="1:12">
      <c r="A446">
        <v>444</v>
      </c>
      <c r="B446" t="s">
        <v>3</v>
      </c>
      <c r="C446" t="s">
        <v>710</v>
      </c>
      <c r="D446">
        <v>2020</v>
      </c>
      <c r="E446">
        <v>1</v>
      </c>
      <c r="F446">
        <v>41</v>
      </c>
      <c r="G446">
        <v>2</v>
      </c>
      <c r="H446">
        <v>6</v>
      </c>
      <c r="I446">
        <v>64</v>
      </c>
      <c r="J446">
        <v>4.1500000000000004</v>
      </c>
      <c r="K446" t="s">
        <v>709</v>
      </c>
      <c r="L446" t="s">
        <v>1605</v>
      </c>
    </row>
    <row r="447" spans="1:12">
      <c r="A447">
        <v>445</v>
      </c>
      <c r="B447" t="s">
        <v>3</v>
      </c>
      <c r="C447" t="s">
        <v>710</v>
      </c>
      <c r="D447">
        <v>2020</v>
      </c>
      <c r="E447">
        <v>2</v>
      </c>
      <c r="F447">
        <v>29</v>
      </c>
      <c r="G447">
        <v>2</v>
      </c>
      <c r="H447">
        <v>10</v>
      </c>
      <c r="I447">
        <v>0</v>
      </c>
      <c r="J447">
        <v>2673</v>
      </c>
      <c r="K447" t="s">
        <v>709</v>
      </c>
      <c r="L447" t="s">
        <v>1617</v>
      </c>
    </row>
    <row r="448" spans="1:12">
      <c r="A448">
        <v>446</v>
      </c>
      <c r="B448" t="s">
        <v>3</v>
      </c>
      <c r="C448" t="s">
        <v>710</v>
      </c>
      <c r="D448">
        <v>2020</v>
      </c>
      <c r="E448">
        <v>2</v>
      </c>
      <c r="F448">
        <v>40</v>
      </c>
      <c r="G448">
        <v>2</v>
      </c>
      <c r="H448">
        <v>10</v>
      </c>
      <c r="I448">
        <v>0</v>
      </c>
      <c r="J448">
        <v>94.36</v>
      </c>
      <c r="K448" t="s">
        <v>709</v>
      </c>
      <c r="L448" t="s">
        <v>1603</v>
      </c>
    </row>
    <row r="449" spans="1:12">
      <c r="A449">
        <v>447</v>
      </c>
      <c r="B449" t="s">
        <v>3</v>
      </c>
      <c r="C449" t="s">
        <v>710</v>
      </c>
      <c r="D449">
        <v>2020</v>
      </c>
      <c r="E449">
        <v>2</v>
      </c>
      <c r="F449">
        <v>40</v>
      </c>
      <c r="G449">
        <v>2</v>
      </c>
      <c r="H449">
        <v>10</v>
      </c>
      <c r="I449">
        <v>0</v>
      </c>
      <c r="J449">
        <v>94.35</v>
      </c>
      <c r="K449" t="s">
        <v>709</v>
      </c>
      <c r="L449" t="s">
        <v>1604</v>
      </c>
    </row>
    <row r="450" spans="1:12">
      <c r="A450">
        <v>448</v>
      </c>
      <c r="B450" t="s">
        <v>3</v>
      </c>
      <c r="C450" t="s">
        <v>710</v>
      </c>
      <c r="D450">
        <v>2020</v>
      </c>
      <c r="E450">
        <v>2</v>
      </c>
      <c r="F450">
        <v>41</v>
      </c>
      <c r="G450">
        <v>2</v>
      </c>
      <c r="H450">
        <v>10</v>
      </c>
      <c r="I450">
        <v>0</v>
      </c>
      <c r="J450">
        <v>16.57</v>
      </c>
      <c r="K450" t="s">
        <v>709</v>
      </c>
      <c r="L450" t="s">
        <v>1605</v>
      </c>
    </row>
    <row r="451" spans="1:12">
      <c r="A451">
        <v>449</v>
      </c>
      <c r="B451" t="s">
        <v>3</v>
      </c>
      <c r="C451" t="s">
        <v>710</v>
      </c>
      <c r="D451">
        <v>2020</v>
      </c>
      <c r="E451">
        <v>3</v>
      </c>
      <c r="F451">
        <v>8</v>
      </c>
      <c r="G451">
        <v>2</v>
      </c>
      <c r="H451">
        <v>14</v>
      </c>
      <c r="I451">
        <v>0</v>
      </c>
      <c r="J451">
        <v>-5540</v>
      </c>
      <c r="K451" t="s">
        <v>709</v>
      </c>
      <c r="L451" t="s">
        <v>1611</v>
      </c>
    </row>
    <row r="452" spans="1:12">
      <c r="A452">
        <v>450</v>
      </c>
      <c r="B452" t="s">
        <v>3</v>
      </c>
      <c r="C452" t="s">
        <v>710</v>
      </c>
      <c r="D452">
        <v>2020</v>
      </c>
      <c r="E452">
        <v>3</v>
      </c>
      <c r="F452">
        <v>29</v>
      </c>
      <c r="G452">
        <v>2</v>
      </c>
      <c r="H452">
        <v>14</v>
      </c>
      <c r="I452">
        <v>0</v>
      </c>
      <c r="J452">
        <v>2625</v>
      </c>
      <c r="K452" t="s">
        <v>709</v>
      </c>
      <c r="L452" t="s">
        <v>1617</v>
      </c>
    </row>
    <row r="453" spans="1:12">
      <c r="A453">
        <v>451</v>
      </c>
      <c r="B453" t="s">
        <v>3</v>
      </c>
      <c r="C453" t="s">
        <v>710</v>
      </c>
      <c r="D453">
        <v>2020</v>
      </c>
      <c r="E453">
        <v>3</v>
      </c>
      <c r="F453">
        <v>40</v>
      </c>
      <c r="G453">
        <v>2</v>
      </c>
      <c r="H453">
        <v>14</v>
      </c>
      <c r="I453">
        <v>0</v>
      </c>
      <c r="J453">
        <v>92.67</v>
      </c>
      <c r="K453" t="s">
        <v>709</v>
      </c>
      <c r="L453" t="s">
        <v>1603</v>
      </c>
    </row>
    <row r="454" spans="1:12">
      <c r="A454">
        <v>452</v>
      </c>
      <c r="B454" t="s">
        <v>3</v>
      </c>
      <c r="C454" t="s">
        <v>710</v>
      </c>
      <c r="D454">
        <v>2020</v>
      </c>
      <c r="E454">
        <v>3</v>
      </c>
      <c r="F454">
        <v>40</v>
      </c>
      <c r="G454">
        <v>2</v>
      </c>
      <c r="H454">
        <v>14</v>
      </c>
      <c r="I454">
        <v>0</v>
      </c>
      <c r="J454">
        <v>92.66</v>
      </c>
      <c r="K454" t="s">
        <v>709</v>
      </c>
      <c r="L454" t="s">
        <v>1604</v>
      </c>
    </row>
    <row r="455" spans="1:12">
      <c r="A455">
        <v>453</v>
      </c>
      <c r="B455" t="s">
        <v>3</v>
      </c>
      <c r="C455" t="s">
        <v>710</v>
      </c>
      <c r="D455">
        <v>2020</v>
      </c>
      <c r="E455">
        <v>3</v>
      </c>
      <c r="F455">
        <v>41</v>
      </c>
      <c r="G455">
        <v>2</v>
      </c>
      <c r="H455">
        <v>14</v>
      </c>
      <c r="I455">
        <v>0</v>
      </c>
      <c r="J455">
        <v>16.28</v>
      </c>
      <c r="K455" t="s">
        <v>709</v>
      </c>
      <c r="L455" t="s">
        <v>1605</v>
      </c>
    </row>
    <row r="456" spans="1:12">
      <c r="A456">
        <v>454</v>
      </c>
      <c r="B456" t="s">
        <v>3</v>
      </c>
      <c r="C456" t="s">
        <v>710</v>
      </c>
      <c r="D456">
        <v>2020</v>
      </c>
      <c r="E456">
        <v>4</v>
      </c>
      <c r="F456">
        <v>29</v>
      </c>
      <c r="G456">
        <v>2</v>
      </c>
      <c r="H456">
        <v>18</v>
      </c>
      <c r="I456">
        <v>0</v>
      </c>
      <c r="J456">
        <v>2773</v>
      </c>
      <c r="K456" t="s">
        <v>709</v>
      </c>
      <c r="L456" t="s">
        <v>1617</v>
      </c>
    </row>
    <row r="457" spans="1:12">
      <c r="A457">
        <v>455</v>
      </c>
      <c r="B457" t="s">
        <v>3</v>
      </c>
      <c r="C457" t="s">
        <v>710</v>
      </c>
      <c r="D457">
        <v>2020</v>
      </c>
      <c r="E457">
        <v>4</v>
      </c>
      <c r="F457">
        <v>29</v>
      </c>
      <c r="G457">
        <v>2</v>
      </c>
      <c r="H457">
        <v>18</v>
      </c>
      <c r="I457">
        <v>0</v>
      </c>
      <c r="J457">
        <v>244.7</v>
      </c>
      <c r="K457" t="s">
        <v>709</v>
      </c>
      <c r="L457" t="s">
        <v>1620</v>
      </c>
    </row>
    <row r="458" spans="1:12">
      <c r="A458">
        <v>456</v>
      </c>
      <c r="B458" t="s">
        <v>3</v>
      </c>
      <c r="C458" t="s">
        <v>710</v>
      </c>
      <c r="D458">
        <v>2020</v>
      </c>
      <c r="E458">
        <v>4</v>
      </c>
      <c r="F458">
        <v>40</v>
      </c>
      <c r="G458">
        <v>2</v>
      </c>
      <c r="H458">
        <v>18</v>
      </c>
      <c r="I458">
        <v>0</v>
      </c>
      <c r="J458">
        <v>106.51999999999998</v>
      </c>
      <c r="K458" t="s">
        <v>709</v>
      </c>
      <c r="L458" t="s">
        <v>1603</v>
      </c>
    </row>
    <row r="459" spans="1:12">
      <c r="A459">
        <v>457</v>
      </c>
      <c r="B459" t="s">
        <v>3</v>
      </c>
      <c r="C459" t="s">
        <v>710</v>
      </c>
      <c r="D459">
        <v>2020</v>
      </c>
      <c r="E459">
        <v>4</v>
      </c>
      <c r="F459">
        <v>40</v>
      </c>
      <c r="G459">
        <v>2</v>
      </c>
      <c r="H459">
        <v>18</v>
      </c>
      <c r="I459">
        <v>0</v>
      </c>
      <c r="J459">
        <v>106.53</v>
      </c>
      <c r="K459" t="s">
        <v>709</v>
      </c>
      <c r="L459" t="s">
        <v>1604</v>
      </c>
    </row>
    <row r="460" spans="1:12">
      <c r="A460">
        <v>458</v>
      </c>
      <c r="B460" t="s">
        <v>3</v>
      </c>
      <c r="C460" t="s">
        <v>710</v>
      </c>
      <c r="D460">
        <v>2020</v>
      </c>
      <c r="E460">
        <v>4</v>
      </c>
      <c r="F460">
        <v>41</v>
      </c>
      <c r="G460">
        <v>2</v>
      </c>
      <c r="H460">
        <v>18</v>
      </c>
      <c r="I460">
        <v>0</v>
      </c>
      <c r="J460">
        <v>18.71</v>
      </c>
      <c r="K460" t="s">
        <v>709</v>
      </c>
      <c r="L460" t="s">
        <v>1605</v>
      </c>
    </row>
    <row r="461" spans="1:12">
      <c r="A461">
        <v>459</v>
      </c>
      <c r="B461" t="s">
        <v>3</v>
      </c>
      <c r="C461" t="s">
        <v>710</v>
      </c>
      <c r="D461">
        <v>2020</v>
      </c>
      <c r="E461">
        <v>4</v>
      </c>
      <c r="F461">
        <v>45</v>
      </c>
      <c r="G461">
        <v>2</v>
      </c>
      <c r="H461">
        <v>18</v>
      </c>
      <c r="I461">
        <v>0</v>
      </c>
      <c r="J461">
        <v>1403.2</v>
      </c>
      <c r="K461" t="s">
        <v>709</v>
      </c>
      <c r="L461" t="s">
        <v>1606</v>
      </c>
    </row>
    <row r="462" spans="1:12">
      <c r="A462">
        <v>460</v>
      </c>
      <c r="B462" t="s">
        <v>3</v>
      </c>
      <c r="C462" t="s">
        <v>716</v>
      </c>
      <c r="D462">
        <v>2017</v>
      </c>
      <c r="E462">
        <v>1</v>
      </c>
      <c r="F462">
        <v>8</v>
      </c>
      <c r="G462">
        <v>5</v>
      </c>
      <c r="H462">
        <v>9</v>
      </c>
      <c r="I462">
        <v>-10441</v>
      </c>
      <c r="J462">
        <v>-5221</v>
      </c>
      <c r="K462" t="s">
        <v>715</v>
      </c>
      <c r="L462" t="s">
        <v>1599</v>
      </c>
    </row>
    <row r="463" spans="1:12">
      <c r="A463">
        <v>461</v>
      </c>
      <c r="B463" t="s">
        <v>3</v>
      </c>
      <c r="C463" t="s">
        <v>716</v>
      </c>
      <c r="D463">
        <v>2017</v>
      </c>
      <c r="E463">
        <v>1</v>
      </c>
      <c r="F463">
        <v>23</v>
      </c>
      <c r="G463">
        <v>5</v>
      </c>
      <c r="H463">
        <v>9</v>
      </c>
      <c r="I463">
        <v>9800</v>
      </c>
      <c r="J463">
        <v>0</v>
      </c>
      <c r="K463" t="s">
        <v>715</v>
      </c>
      <c r="L463" t="s">
        <v>1602</v>
      </c>
    </row>
    <row r="464" spans="1:12">
      <c r="A464">
        <v>462</v>
      </c>
      <c r="B464" t="s">
        <v>3</v>
      </c>
      <c r="C464" t="s">
        <v>716</v>
      </c>
      <c r="D464">
        <v>2017</v>
      </c>
      <c r="E464">
        <v>1</v>
      </c>
      <c r="F464">
        <v>29</v>
      </c>
      <c r="G464">
        <v>5</v>
      </c>
      <c r="H464">
        <v>9</v>
      </c>
      <c r="I464">
        <v>0</v>
      </c>
      <c r="J464">
        <v>0</v>
      </c>
      <c r="K464" t="s">
        <v>715</v>
      </c>
      <c r="L464" t="s">
        <v>1625</v>
      </c>
    </row>
    <row r="465" spans="1:12">
      <c r="A465">
        <v>463</v>
      </c>
      <c r="B465" t="s">
        <v>3</v>
      </c>
      <c r="C465" t="s">
        <v>716</v>
      </c>
      <c r="D465">
        <v>2017</v>
      </c>
      <c r="E465">
        <v>1</v>
      </c>
      <c r="F465">
        <v>29</v>
      </c>
      <c r="G465">
        <v>5</v>
      </c>
      <c r="H465">
        <v>9</v>
      </c>
      <c r="I465">
        <v>0</v>
      </c>
      <c r="J465">
        <v>-92</v>
      </c>
      <c r="K465" t="s">
        <v>715</v>
      </c>
      <c r="L465" t="s">
        <v>1635</v>
      </c>
    </row>
    <row r="466" spans="1:12">
      <c r="A466">
        <v>464</v>
      </c>
      <c r="B466" t="s">
        <v>3</v>
      </c>
      <c r="C466" t="s">
        <v>716</v>
      </c>
      <c r="D466">
        <v>2017</v>
      </c>
      <c r="E466">
        <v>1</v>
      </c>
      <c r="F466">
        <v>40</v>
      </c>
      <c r="G466">
        <v>5</v>
      </c>
      <c r="H466">
        <v>9</v>
      </c>
      <c r="I466">
        <v>592</v>
      </c>
      <c r="J466">
        <v>-2.7800000000000011</v>
      </c>
      <c r="K466" t="s">
        <v>715</v>
      </c>
      <c r="L466" t="s">
        <v>1603</v>
      </c>
    </row>
    <row r="467" spans="1:12">
      <c r="A467">
        <v>465</v>
      </c>
      <c r="B467" t="s">
        <v>3</v>
      </c>
      <c r="C467" t="s">
        <v>716</v>
      </c>
      <c r="D467">
        <v>2017</v>
      </c>
      <c r="E467">
        <v>1</v>
      </c>
      <c r="F467">
        <v>40</v>
      </c>
      <c r="G467">
        <v>5</v>
      </c>
      <c r="H467">
        <v>9</v>
      </c>
      <c r="I467">
        <v>0</v>
      </c>
      <c r="J467">
        <v>-2.7799999999999994</v>
      </c>
      <c r="K467" t="s">
        <v>715</v>
      </c>
      <c r="L467" t="s">
        <v>1604</v>
      </c>
    </row>
    <row r="468" spans="1:12">
      <c r="A468">
        <v>466</v>
      </c>
      <c r="B468" t="s">
        <v>3</v>
      </c>
      <c r="C468" t="s">
        <v>716</v>
      </c>
      <c r="D468">
        <v>2017</v>
      </c>
      <c r="E468">
        <v>1</v>
      </c>
      <c r="F468">
        <v>41</v>
      </c>
      <c r="G468">
        <v>5</v>
      </c>
      <c r="H468">
        <v>9</v>
      </c>
      <c r="I468">
        <v>49</v>
      </c>
      <c r="J468">
        <v>-0.45999999999999996</v>
      </c>
      <c r="K468" t="s">
        <v>715</v>
      </c>
      <c r="L468" t="s">
        <v>1605</v>
      </c>
    </row>
    <row r="469" spans="1:12">
      <c r="A469">
        <v>467</v>
      </c>
      <c r="B469" t="s">
        <v>3</v>
      </c>
      <c r="C469" t="s">
        <v>716</v>
      </c>
      <c r="D469">
        <v>2017</v>
      </c>
      <c r="E469">
        <v>2</v>
      </c>
      <c r="F469">
        <v>25</v>
      </c>
      <c r="G469">
        <v>5</v>
      </c>
      <c r="H469">
        <v>13</v>
      </c>
      <c r="I469">
        <v>0</v>
      </c>
      <c r="J469">
        <v>21.229999999999997</v>
      </c>
      <c r="K469" t="s">
        <v>715</v>
      </c>
      <c r="L469" t="s">
        <v>1632</v>
      </c>
    </row>
    <row r="470" spans="1:12">
      <c r="A470">
        <v>468</v>
      </c>
      <c r="B470" t="s">
        <v>3</v>
      </c>
      <c r="C470" t="s">
        <v>716</v>
      </c>
      <c r="D470">
        <v>2017</v>
      </c>
      <c r="E470">
        <v>2</v>
      </c>
      <c r="F470">
        <v>26</v>
      </c>
      <c r="G470">
        <v>5</v>
      </c>
      <c r="H470">
        <v>13</v>
      </c>
      <c r="I470">
        <v>0</v>
      </c>
      <c r="J470">
        <v>82.4</v>
      </c>
      <c r="K470" t="s">
        <v>715</v>
      </c>
      <c r="L470" t="s">
        <v>1618</v>
      </c>
    </row>
    <row r="471" spans="1:12">
      <c r="A471">
        <v>469</v>
      </c>
      <c r="B471" t="s">
        <v>3</v>
      </c>
      <c r="C471" t="s">
        <v>716</v>
      </c>
      <c r="D471">
        <v>2017</v>
      </c>
      <c r="E471">
        <v>2</v>
      </c>
      <c r="F471">
        <v>27</v>
      </c>
      <c r="G471">
        <v>5</v>
      </c>
      <c r="H471">
        <v>13</v>
      </c>
      <c r="I471">
        <v>0</v>
      </c>
      <c r="J471">
        <v>365</v>
      </c>
      <c r="K471" t="s">
        <v>715</v>
      </c>
      <c r="L471" t="s">
        <v>1626</v>
      </c>
    </row>
    <row r="472" spans="1:12">
      <c r="A472">
        <v>470</v>
      </c>
      <c r="B472" t="s">
        <v>3</v>
      </c>
      <c r="C472" t="s">
        <v>716</v>
      </c>
      <c r="D472">
        <v>2017</v>
      </c>
      <c r="E472">
        <v>2</v>
      </c>
      <c r="F472">
        <v>28</v>
      </c>
      <c r="G472">
        <v>5</v>
      </c>
      <c r="H472">
        <v>13</v>
      </c>
      <c r="I472">
        <v>0</v>
      </c>
      <c r="J472">
        <v>374.4</v>
      </c>
      <c r="K472" t="s">
        <v>715</v>
      </c>
      <c r="L472" t="s">
        <v>1636</v>
      </c>
    </row>
    <row r="473" spans="1:12">
      <c r="A473">
        <v>471</v>
      </c>
      <c r="B473" t="s">
        <v>3</v>
      </c>
      <c r="C473" t="s">
        <v>716</v>
      </c>
      <c r="D473">
        <v>2017</v>
      </c>
      <c r="E473">
        <v>2</v>
      </c>
      <c r="F473">
        <v>29</v>
      </c>
      <c r="G473">
        <v>5</v>
      </c>
      <c r="H473">
        <v>13</v>
      </c>
      <c r="I473">
        <v>0</v>
      </c>
      <c r="J473">
        <v>92</v>
      </c>
      <c r="K473" t="s">
        <v>715</v>
      </c>
      <c r="L473" t="s">
        <v>1635</v>
      </c>
    </row>
    <row r="474" spans="1:12">
      <c r="A474">
        <v>472</v>
      </c>
      <c r="B474" t="s">
        <v>3</v>
      </c>
      <c r="C474" t="s">
        <v>716</v>
      </c>
      <c r="D474">
        <v>2017</v>
      </c>
      <c r="E474">
        <v>2</v>
      </c>
      <c r="F474">
        <v>40</v>
      </c>
      <c r="G474">
        <v>5</v>
      </c>
      <c r="H474">
        <v>13</v>
      </c>
      <c r="I474">
        <v>0</v>
      </c>
      <c r="J474">
        <v>28.249999999999996</v>
      </c>
      <c r="K474" t="s">
        <v>715</v>
      </c>
      <c r="L474" t="s">
        <v>1603</v>
      </c>
    </row>
    <row r="475" spans="1:12">
      <c r="A475">
        <v>473</v>
      </c>
      <c r="B475" t="s">
        <v>3</v>
      </c>
      <c r="C475" t="s">
        <v>716</v>
      </c>
      <c r="D475">
        <v>2017</v>
      </c>
      <c r="E475">
        <v>2</v>
      </c>
      <c r="F475">
        <v>40</v>
      </c>
      <c r="G475">
        <v>5</v>
      </c>
      <c r="H475">
        <v>13</v>
      </c>
      <c r="I475">
        <v>0</v>
      </c>
      <c r="J475">
        <v>28.23</v>
      </c>
      <c r="K475" t="s">
        <v>715</v>
      </c>
      <c r="L475" t="s">
        <v>1604</v>
      </c>
    </row>
    <row r="476" spans="1:12">
      <c r="A476">
        <v>474</v>
      </c>
      <c r="B476" t="s">
        <v>3</v>
      </c>
      <c r="C476" t="s">
        <v>716</v>
      </c>
      <c r="D476">
        <v>2017</v>
      </c>
      <c r="E476">
        <v>2</v>
      </c>
      <c r="F476">
        <v>41</v>
      </c>
      <c r="G476">
        <v>5</v>
      </c>
      <c r="H476">
        <v>13</v>
      </c>
      <c r="I476">
        <v>0</v>
      </c>
      <c r="J476">
        <v>4.68</v>
      </c>
      <c r="K476" t="s">
        <v>715</v>
      </c>
      <c r="L476" t="s">
        <v>1605</v>
      </c>
    </row>
    <row r="477" spans="1:12">
      <c r="A477">
        <v>475</v>
      </c>
      <c r="B477" t="s">
        <v>3</v>
      </c>
      <c r="C477" t="s">
        <v>716</v>
      </c>
      <c r="D477">
        <v>2017</v>
      </c>
      <c r="E477">
        <v>3</v>
      </c>
      <c r="F477">
        <v>8</v>
      </c>
      <c r="G477">
        <v>5</v>
      </c>
      <c r="H477">
        <v>17</v>
      </c>
      <c r="I477">
        <v>0</v>
      </c>
      <c r="J477">
        <v>-5220</v>
      </c>
      <c r="K477" t="s">
        <v>715</v>
      </c>
      <c r="L477" t="s">
        <v>1599</v>
      </c>
    </row>
    <row r="478" spans="1:12">
      <c r="A478">
        <v>476</v>
      </c>
      <c r="B478" t="s">
        <v>3</v>
      </c>
      <c r="C478" t="s">
        <v>716</v>
      </c>
      <c r="D478">
        <v>2017</v>
      </c>
      <c r="E478">
        <v>3</v>
      </c>
      <c r="F478">
        <v>25</v>
      </c>
      <c r="G478">
        <v>5</v>
      </c>
      <c r="H478">
        <v>17</v>
      </c>
      <c r="I478">
        <v>0</v>
      </c>
      <c r="J478">
        <v>0</v>
      </c>
      <c r="K478" t="s">
        <v>715</v>
      </c>
      <c r="L478" t="s">
        <v>1637</v>
      </c>
    </row>
    <row r="479" spans="1:12">
      <c r="A479">
        <v>477</v>
      </c>
      <c r="B479" t="s">
        <v>3</v>
      </c>
      <c r="C479" t="s">
        <v>716</v>
      </c>
      <c r="D479">
        <v>2017</v>
      </c>
      <c r="E479">
        <v>3</v>
      </c>
      <c r="F479">
        <v>26</v>
      </c>
      <c r="G479">
        <v>5</v>
      </c>
      <c r="H479">
        <v>17</v>
      </c>
      <c r="I479">
        <v>0</v>
      </c>
      <c r="J479">
        <v>291.69</v>
      </c>
      <c r="K479" t="s">
        <v>715</v>
      </c>
      <c r="L479" t="s">
        <v>1618</v>
      </c>
    </row>
    <row r="480" spans="1:12">
      <c r="A480">
        <v>478</v>
      </c>
      <c r="B480" t="s">
        <v>3</v>
      </c>
      <c r="C480" t="s">
        <v>716</v>
      </c>
      <c r="D480">
        <v>2017</v>
      </c>
      <c r="E480">
        <v>3</v>
      </c>
      <c r="F480">
        <v>28</v>
      </c>
      <c r="G480">
        <v>5</v>
      </c>
      <c r="H480">
        <v>17</v>
      </c>
      <c r="I480">
        <v>0</v>
      </c>
      <c r="J480">
        <v>324.68</v>
      </c>
      <c r="K480" t="s">
        <v>715</v>
      </c>
      <c r="L480" t="s">
        <v>1636</v>
      </c>
    </row>
    <row r="481" spans="1:12">
      <c r="A481">
        <v>479</v>
      </c>
      <c r="B481" t="s">
        <v>3</v>
      </c>
      <c r="C481" t="s">
        <v>716</v>
      </c>
      <c r="D481">
        <v>2017</v>
      </c>
      <c r="E481">
        <v>3</v>
      </c>
      <c r="F481">
        <v>28</v>
      </c>
      <c r="G481">
        <v>5</v>
      </c>
      <c r="H481">
        <v>17</v>
      </c>
      <c r="I481">
        <v>0</v>
      </c>
      <c r="J481">
        <v>15.2</v>
      </c>
      <c r="K481" t="s">
        <v>715</v>
      </c>
      <c r="L481" t="s">
        <v>1638</v>
      </c>
    </row>
    <row r="482" spans="1:12">
      <c r="A482">
        <v>480</v>
      </c>
      <c r="B482" t="s">
        <v>3</v>
      </c>
      <c r="C482" t="s">
        <v>716</v>
      </c>
      <c r="D482">
        <v>2017</v>
      </c>
      <c r="E482">
        <v>3</v>
      </c>
      <c r="F482">
        <v>28</v>
      </c>
      <c r="G482">
        <v>5</v>
      </c>
      <c r="H482">
        <v>17</v>
      </c>
      <c r="I482">
        <v>0</v>
      </c>
      <c r="J482">
        <v>320.35000000000002</v>
      </c>
      <c r="K482" t="s">
        <v>715</v>
      </c>
      <c r="L482" t="s">
        <v>1639</v>
      </c>
    </row>
    <row r="483" spans="1:12">
      <c r="A483">
        <v>481</v>
      </c>
      <c r="B483" t="s">
        <v>3</v>
      </c>
      <c r="C483" t="s">
        <v>716</v>
      </c>
      <c r="D483">
        <v>2017</v>
      </c>
      <c r="E483">
        <v>3</v>
      </c>
      <c r="F483">
        <v>29</v>
      </c>
      <c r="G483">
        <v>5</v>
      </c>
      <c r="H483">
        <v>17</v>
      </c>
      <c r="I483">
        <v>0</v>
      </c>
      <c r="J483">
        <v>68.95</v>
      </c>
      <c r="K483" t="s">
        <v>715</v>
      </c>
      <c r="L483" t="s">
        <v>1630</v>
      </c>
    </row>
    <row r="484" spans="1:12">
      <c r="A484">
        <v>482</v>
      </c>
      <c r="B484" t="s">
        <v>3</v>
      </c>
      <c r="C484" t="s">
        <v>716</v>
      </c>
      <c r="D484">
        <v>2017</v>
      </c>
      <c r="E484">
        <v>3</v>
      </c>
      <c r="F484">
        <v>40</v>
      </c>
      <c r="G484">
        <v>5</v>
      </c>
      <c r="H484">
        <v>17</v>
      </c>
      <c r="I484">
        <v>0</v>
      </c>
      <c r="J484">
        <v>30.82</v>
      </c>
      <c r="K484" t="s">
        <v>715</v>
      </c>
      <c r="L484" t="s">
        <v>1603</v>
      </c>
    </row>
    <row r="485" spans="1:12">
      <c r="A485">
        <v>483</v>
      </c>
      <c r="B485" t="s">
        <v>3</v>
      </c>
      <c r="C485" t="s">
        <v>716</v>
      </c>
      <c r="D485">
        <v>2017</v>
      </c>
      <c r="E485">
        <v>3</v>
      </c>
      <c r="F485">
        <v>40</v>
      </c>
      <c r="G485">
        <v>5</v>
      </c>
      <c r="H485">
        <v>17</v>
      </c>
      <c r="I485">
        <v>0</v>
      </c>
      <c r="J485">
        <v>30.84</v>
      </c>
      <c r="K485" t="s">
        <v>715</v>
      </c>
      <c r="L485" t="s">
        <v>1604</v>
      </c>
    </row>
    <row r="486" spans="1:12">
      <c r="A486">
        <v>484</v>
      </c>
      <c r="B486" t="s">
        <v>3</v>
      </c>
      <c r="C486" t="s">
        <v>716</v>
      </c>
      <c r="D486">
        <v>2017</v>
      </c>
      <c r="E486">
        <v>3</v>
      </c>
      <c r="F486">
        <v>41</v>
      </c>
      <c r="G486">
        <v>5</v>
      </c>
      <c r="H486">
        <v>17</v>
      </c>
      <c r="I486">
        <v>0</v>
      </c>
      <c r="J486">
        <v>5.0999999999999996</v>
      </c>
      <c r="K486" t="s">
        <v>715</v>
      </c>
      <c r="L486" t="s">
        <v>1605</v>
      </c>
    </row>
    <row r="487" spans="1:12">
      <c r="A487">
        <v>485</v>
      </c>
      <c r="B487" t="s">
        <v>3</v>
      </c>
      <c r="C487" t="s">
        <v>716</v>
      </c>
      <c r="D487">
        <v>2017</v>
      </c>
      <c r="E487">
        <v>4</v>
      </c>
      <c r="F487">
        <v>25</v>
      </c>
      <c r="G487">
        <v>5</v>
      </c>
      <c r="H487">
        <v>21</v>
      </c>
      <c r="I487">
        <v>0</v>
      </c>
      <c r="J487">
        <v>38</v>
      </c>
      <c r="K487" t="s">
        <v>715</v>
      </c>
      <c r="L487" t="s">
        <v>1637</v>
      </c>
    </row>
    <row r="488" spans="1:12">
      <c r="A488">
        <v>486</v>
      </c>
      <c r="B488" t="s">
        <v>3</v>
      </c>
      <c r="C488" t="s">
        <v>716</v>
      </c>
      <c r="D488">
        <v>2017</v>
      </c>
      <c r="E488">
        <v>4</v>
      </c>
      <c r="F488">
        <v>25</v>
      </c>
      <c r="G488">
        <v>5</v>
      </c>
      <c r="H488">
        <v>21</v>
      </c>
      <c r="I488">
        <v>0</v>
      </c>
      <c r="J488">
        <v>46.31</v>
      </c>
      <c r="K488" t="s">
        <v>715</v>
      </c>
      <c r="L488" t="s">
        <v>1640</v>
      </c>
    </row>
    <row r="489" spans="1:12">
      <c r="A489">
        <v>487</v>
      </c>
      <c r="B489" t="s">
        <v>3</v>
      </c>
      <c r="C489" t="s">
        <v>716</v>
      </c>
      <c r="D489">
        <v>2017</v>
      </c>
      <c r="E489">
        <v>4</v>
      </c>
      <c r="F489">
        <v>25</v>
      </c>
      <c r="G489">
        <v>5</v>
      </c>
      <c r="H489">
        <v>21</v>
      </c>
      <c r="I489">
        <v>0</v>
      </c>
      <c r="J489">
        <v>4995</v>
      </c>
      <c r="K489" t="s">
        <v>715</v>
      </c>
      <c r="L489" t="s">
        <v>1641</v>
      </c>
    </row>
    <row r="490" spans="1:12">
      <c r="A490">
        <v>488</v>
      </c>
      <c r="B490" t="s">
        <v>3</v>
      </c>
      <c r="C490" t="s">
        <v>716</v>
      </c>
      <c r="D490">
        <v>2017</v>
      </c>
      <c r="E490">
        <v>4</v>
      </c>
      <c r="F490">
        <v>25</v>
      </c>
      <c r="G490">
        <v>5</v>
      </c>
      <c r="H490">
        <v>21</v>
      </c>
      <c r="I490">
        <v>0</v>
      </c>
      <c r="J490">
        <v>7.14</v>
      </c>
      <c r="K490" t="s">
        <v>715</v>
      </c>
      <c r="L490" t="s">
        <v>1642</v>
      </c>
    </row>
    <row r="491" spans="1:12">
      <c r="A491">
        <v>489</v>
      </c>
      <c r="B491" t="s">
        <v>3</v>
      </c>
      <c r="C491" t="s">
        <v>716</v>
      </c>
      <c r="D491">
        <v>2017</v>
      </c>
      <c r="E491">
        <v>4</v>
      </c>
      <c r="F491">
        <v>26</v>
      </c>
      <c r="G491">
        <v>5</v>
      </c>
      <c r="H491">
        <v>21</v>
      </c>
      <c r="I491">
        <v>0</v>
      </c>
      <c r="J491">
        <v>193.54</v>
      </c>
      <c r="K491" t="s">
        <v>715</v>
      </c>
      <c r="L491" t="s">
        <v>1622</v>
      </c>
    </row>
    <row r="492" spans="1:12">
      <c r="A492">
        <v>490</v>
      </c>
      <c r="B492" t="s">
        <v>3</v>
      </c>
      <c r="C492" t="s">
        <v>716</v>
      </c>
      <c r="D492">
        <v>2017</v>
      </c>
      <c r="E492">
        <v>4</v>
      </c>
      <c r="F492">
        <v>26</v>
      </c>
      <c r="G492">
        <v>5</v>
      </c>
      <c r="H492">
        <v>21</v>
      </c>
      <c r="I492">
        <v>0</v>
      </c>
      <c r="J492">
        <v>1170.3700000000001</v>
      </c>
      <c r="K492" t="s">
        <v>715</v>
      </c>
      <c r="L492" t="s">
        <v>1618</v>
      </c>
    </row>
    <row r="493" spans="1:12">
      <c r="A493">
        <v>491</v>
      </c>
      <c r="B493" t="s">
        <v>3</v>
      </c>
      <c r="C493" t="s">
        <v>716</v>
      </c>
      <c r="D493">
        <v>2017</v>
      </c>
      <c r="E493">
        <v>4</v>
      </c>
      <c r="F493">
        <v>28</v>
      </c>
      <c r="G493">
        <v>5</v>
      </c>
      <c r="H493">
        <v>21</v>
      </c>
      <c r="I493">
        <v>0</v>
      </c>
      <c r="J493">
        <v>578.85</v>
      </c>
      <c r="K493" t="s">
        <v>715</v>
      </c>
      <c r="L493" t="s">
        <v>1636</v>
      </c>
    </row>
    <row r="494" spans="1:12">
      <c r="A494">
        <v>492</v>
      </c>
      <c r="B494" t="s">
        <v>3</v>
      </c>
      <c r="C494" t="s">
        <v>716</v>
      </c>
      <c r="D494">
        <v>2017</v>
      </c>
      <c r="E494">
        <v>4</v>
      </c>
      <c r="F494">
        <v>28</v>
      </c>
      <c r="G494">
        <v>5</v>
      </c>
      <c r="H494">
        <v>21</v>
      </c>
      <c r="I494">
        <v>0</v>
      </c>
      <c r="J494">
        <v>45</v>
      </c>
      <c r="K494" t="s">
        <v>715</v>
      </c>
      <c r="L494" t="s">
        <v>1643</v>
      </c>
    </row>
    <row r="495" spans="1:12">
      <c r="A495">
        <v>493</v>
      </c>
      <c r="B495" t="s">
        <v>3</v>
      </c>
      <c r="C495" t="s">
        <v>716</v>
      </c>
      <c r="D495">
        <v>2017</v>
      </c>
      <c r="E495">
        <v>4</v>
      </c>
      <c r="F495">
        <v>40</v>
      </c>
      <c r="G495">
        <v>5</v>
      </c>
      <c r="H495">
        <v>21</v>
      </c>
      <c r="I495">
        <v>0</v>
      </c>
      <c r="J495">
        <v>213.64999999999998</v>
      </c>
      <c r="K495" t="s">
        <v>715</v>
      </c>
      <c r="L495" t="s">
        <v>1603</v>
      </c>
    </row>
    <row r="496" spans="1:12">
      <c r="A496">
        <v>494</v>
      </c>
      <c r="B496" t="s">
        <v>3</v>
      </c>
      <c r="C496" t="s">
        <v>716</v>
      </c>
      <c r="D496">
        <v>2017</v>
      </c>
      <c r="E496">
        <v>4</v>
      </c>
      <c r="F496">
        <v>40</v>
      </c>
      <c r="G496">
        <v>5</v>
      </c>
      <c r="H496">
        <v>21</v>
      </c>
      <c r="I496">
        <v>0</v>
      </c>
      <c r="J496">
        <v>213.64</v>
      </c>
      <c r="K496" t="s">
        <v>715</v>
      </c>
      <c r="L496" t="s">
        <v>1604</v>
      </c>
    </row>
    <row r="497" spans="1:12">
      <c r="A497">
        <v>495</v>
      </c>
      <c r="B497" t="s">
        <v>3</v>
      </c>
      <c r="C497" t="s">
        <v>716</v>
      </c>
      <c r="D497">
        <v>2017</v>
      </c>
      <c r="E497">
        <v>4</v>
      </c>
      <c r="F497">
        <v>41</v>
      </c>
      <c r="G497">
        <v>5</v>
      </c>
      <c r="H497">
        <v>21</v>
      </c>
      <c r="I497">
        <v>0</v>
      </c>
      <c r="J497">
        <v>35.370000000000005</v>
      </c>
      <c r="K497" t="s">
        <v>715</v>
      </c>
      <c r="L497" t="s">
        <v>1605</v>
      </c>
    </row>
    <row r="498" spans="1:12">
      <c r="A498">
        <v>496</v>
      </c>
      <c r="B498" t="s">
        <v>3</v>
      </c>
      <c r="C498" t="s">
        <v>716</v>
      </c>
      <c r="D498">
        <v>2017</v>
      </c>
      <c r="E498">
        <v>4</v>
      </c>
      <c r="F498">
        <v>45</v>
      </c>
      <c r="G498">
        <v>5</v>
      </c>
      <c r="H498">
        <v>21</v>
      </c>
      <c r="I498">
        <v>0</v>
      </c>
      <c r="J498">
        <v>918.34</v>
      </c>
      <c r="K498" t="s">
        <v>715</v>
      </c>
      <c r="L498" t="s">
        <v>1606</v>
      </c>
    </row>
    <row r="499" spans="1:12">
      <c r="A499">
        <v>497</v>
      </c>
      <c r="B499" t="s">
        <v>3</v>
      </c>
      <c r="C499" t="s">
        <v>716</v>
      </c>
      <c r="D499">
        <v>2018</v>
      </c>
      <c r="E499">
        <v>1</v>
      </c>
      <c r="F499">
        <v>8</v>
      </c>
      <c r="G499">
        <v>4</v>
      </c>
      <c r="H499">
        <v>8</v>
      </c>
      <c r="I499">
        <v>-10441</v>
      </c>
      <c r="J499">
        <v>-5220</v>
      </c>
      <c r="K499" t="s">
        <v>715</v>
      </c>
      <c r="L499" t="s">
        <v>1599</v>
      </c>
    </row>
    <row r="500" spans="1:12">
      <c r="A500">
        <v>498</v>
      </c>
      <c r="B500" t="s">
        <v>3</v>
      </c>
      <c r="C500" t="s">
        <v>716</v>
      </c>
      <c r="D500">
        <v>2018</v>
      </c>
      <c r="E500">
        <v>1</v>
      </c>
      <c r="F500">
        <v>23</v>
      </c>
      <c r="G500">
        <v>4</v>
      </c>
      <c r="H500">
        <v>8</v>
      </c>
      <c r="I500">
        <v>9800</v>
      </c>
      <c r="J500">
        <v>0</v>
      </c>
      <c r="K500" t="s">
        <v>715</v>
      </c>
      <c r="L500" t="s">
        <v>1602</v>
      </c>
    </row>
    <row r="501" spans="1:12">
      <c r="A501">
        <v>499</v>
      </c>
      <c r="B501" t="s">
        <v>3</v>
      </c>
      <c r="C501" t="s">
        <v>716</v>
      </c>
      <c r="D501">
        <v>2018</v>
      </c>
      <c r="E501">
        <v>1</v>
      </c>
      <c r="F501">
        <v>28</v>
      </c>
      <c r="G501">
        <v>4</v>
      </c>
      <c r="H501">
        <v>8</v>
      </c>
      <c r="I501">
        <v>0</v>
      </c>
      <c r="J501">
        <v>11.76</v>
      </c>
      <c r="K501" t="s">
        <v>715</v>
      </c>
      <c r="L501" t="s">
        <v>1636</v>
      </c>
    </row>
    <row r="502" spans="1:12">
      <c r="A502">
        <v>500</v>
      </c>
      <c r="B502" t="s">
        <v>3</v>
      </c>
      <c r="C502" t="s">
        <v>716</v>
      </c>
      <c r="D502">
        <v>2018</v>
      </c>
      <c r="E502">
        <v>1</v>
      </c>
      <c r="F502">
        <v>40</v>
      </c>
      <c r="G502">
        <v>4</v>
      </c>
      <c r="H502">
        <v>8</v>
      </c>
      <c r="I502">
        <v>592</v>
      </c>
      <c r="J502">
        <v>0.37</v>
      </c>
      <c r="K502" t="s">
        <v>715</v>
      </c>
      <c r="L502" t="s">
        <v>1603</v>
      </c>
    </row>
    <row r="503" spans="1:12">
      <c r="A503">
        <v>501</v>
      </c>
      <c r="B503" t="s">
        <v>3</v>
      </c>
      <c r="C503" t="s">
        <v>716</v>
      </c>
      <c r="D503">
        <v>2018</v>
      </c>
      <c r="E503">
        <v>1</v>
      </c>
      <c r="F503">
        <v>40</v>
      </c>
      <c r="G503">
        <v>4</v>
      </c>
      <c r="H503">
        <v>8</v>
      </c>
      <c r="I503">
        <v>0</v>
      </c>
      <c r="J503">
        <v>0.37</v>
      </c>
      <c r="K503" t="s">
        <v>715</v>
      </c>
      <c r="L503" t="s">
        <v>1604</v>
      </c>
    </row>
    <row r="504" spans="1:12">
      <c r="A504">
        <v>502</v>
      </c>
      <c r="B504" t="s">
        <v>3</v>
      </c>
      <c r="C504" t="s">
        <v>716</v>
      </c>
      <c r="D504">
        <v>2018</v>
      </c>
      <c r="E504">
        <v>1</v>
      </c>
      <c r="F504">
        <v>41</v>
      </c>
      <c r="G504">
        <v>4</v>
      </c>
      <c r="H504">
        <v>8</v>
      </c>
      <c r="I504">
        <v>49</v>
      </c>
      <c r="J504">
        <v>0.06</v>
      </c>
      <c r="K504" t="s">
        <v>715</v>
      </c>
      <c r="L504" t="s">
        <v>1605</v>
      </c>
    </row>
    <row r="505" spans="1:12">
      <c r="A505">
        <v>503</v>
      </c>
      <c r="B505" t="s">
        <v>3</v>
      </c>
      <c r="C505" t="s">
        <v>716</v>
      </c>
      <c r="D505">
        <v>2018</v>
      </c>
      <c r="E505">
        <v>2</v>
      </c>
      <c r="F505">
        <v>26</v>
      </c>
      <c r="G505">
        <v>4</v>
      </c>
      <c r="H505">
        <v>12</v>
      </c>
      <c r="I505">
        <v>0</v>
      </c>
      <c r="J505">
        <v>313.47000000000003</v>
      </c>
      <c r="K505" t="s">
        <v>715</v>
      </c>
      <c r="L505" t="s">
        <v>1622</v>
      </c>
    </row>
    <row r="506" spans="1:12">
      <c r="A506">
        <v>504</v>
      </c>
      <c r="B506" t="s">
        <v>3</v>
      </c>
      <c r="C506" t="s">
        <v>716</v>
      </c>
      <c r="D506">
        <v>2018</v>
      </c>
      <c r="E506">
        <v>2</v>
      </c>
      <c r="F506">
        <v>26</v>
      </c>
      <c r="G506">
        <v>4</v>
      </c>
      <c r="H506">
        <v>12</v>
      </c>
      <c r="I506">
        <v>0</v>
      </c>
      <c r="J506">
        <v>410.8</v>
      </c>
      <c r="K506" t="s">
        <v>715</v>
      </c>
      <c r="L506" t="s">
        <v>1618</v>
      </c>
    </row>
    <row r="507" spans="1:12">
      <c r="A507">
        <v>505</v>
      </c>
      <c r="B507" t="s">
        <v>3</v>
      </c>
      <c r="C507" t="s">
        <v>716</v>
      </c>
      <c r="D507">
        <v>2018</v>
      </c>
      <c r="E507">
        <v>2</v>
      </c>
      <c r="F507">
        <v>27</v>
      </c>
      <c r="G507">
        <v>4</v>
      </c>
      <c r="H507">
        <v>12</v>
      </c>
      <c r="I507">
        <v>0</v>
      </c>
      <c r="J507">
        <v>72</v>
      </c>
      <c r="K507" t="s">
        <v>715</v>
      </c>
      <c r="L507" t="s">
        <v>1626</v>
      </c>
    </row>
    <row r="508" spans="1:12">
      <c r="A508">
        <v>506</v>
      </c>
      <c r="B508" t="s">
        <v>3</v>
      </c>
      <c r="C508" t="s">
        <v>716</v>
      </c>
      <c r="D508">
        <v>2018</v>
      </c>
      <c r="E508">
        <v>2</v>
      </c>
      <c r="F508">
        <v>28</v>
      </c>
      <c r="G508">
        <v>4</v>
      </c>
      <c r="H508">
        <v>12</v>
      </c>
      <c r="I508">
        <v>0</v>
      </c>
      <c r="J508">
        <v>15.830000000000002</v>
      </c>
      <c r="K508" t="s">
        <v>715</v>
      </c>
      <c r="L508" t="s">
        <v>1636</v>
      </c>
    </row>
    <row r="509" spans="1:12">
      <c r="A509">
        <v>507</v>
      </c>
      <c r="B509" t="s">
        <v>3</v>
      </c>
      <c r="C509" t="s">
        <v>716</v>
      </c>
      <c r="D509">
        <v>2018</v>
      </c>
      <c r="E509">
        <v>2</v>
      </c>
      <c r="F509">
        <v>40</v>
      </c>
      <c r="G509">
        <v>4</v>
      </c>
      <c r="H509">
        <v>12</v>
      </c>
      <c r="I509">
        <v>0</v>
      </c>
      <c r="J509">
        <v>25.54</v>
      </c>
      <c r="K509" t="s">
        <v>715</v>
      </c>
      <c r="L509" t="s">
        <v>1603</v>
      </c>
    </row>
    <row r="510" spans="1:12">
      <c r="A510">
        <v>508</v>
      </c>
      <c r="B510" t="s">
        <v>3</v>
      </c>
      <c r="C510" t="s">
        <v>716</v>
      </c>
      <c r="D510">
        <v>2018</v>
      </c>
      <c r="E510">
        <v>2</v>
      </c>
      <c r="F510">
        <v>40</v>
      </c>
      <c r="G510">
        <v>4</v>
      </c>
      <c r="H510">
        <v>12</v>
      </c>
      <c r="I510">
        <v>0</v>
      </c>
      <c r="J510">
        <v>25.54</v>
      </c>
      <c r="K510" t="s">
        <v>715</v>
      </c>
      <c r="L510" t="s">
        <v>1604</v>
      </c>
    </row>
    <row r="511" spans="1:12">
      <c r="A511">
        <v>509</v>
      </c>
      <c r="B511" t="s">
        <v>3</v>
      </c>
      <c r="C511" t="s">
        <v>716</v>
      </c>
      <c r="D511">
        <v>2018</v>
      </c>
      <c r="E511">
        <v>2</v>
      </c>
      <c r="F511">
        <v>41</v>
      </c>
      <c r="G511">
        <v>4</v>
      </c>
      <c r="H511">
        <v>12</v>
      </c>
      <c r="I511">
        <v>0</v>
      </c>
      <c r="J511">
        <v>4.1499999999999995</v>
      </c>
      <c r="K511" t="s">
        <v>715</v>
      </c>
      <c r="L511" t="s">
        <v>1605</v>
      </c>
    </row>
    <row r="512" spans="1:12">
      <c r="A512">
        <v>510</v>
      </c>
      <c r="B512" t="s">
        <v>3</v>
      </c>
      <c r="C512" t="s">
        <v>716</v>
      </c>
      <c r="D512">
        <v>2018</v>
      </c>
      <c r="E512">
        <v>3</v>
      </c>
      <c r="F512">
        <v>8</v>
      </c>
      <c r="G512">
        <v>4</v>
      </c>
      <c r="H512">
        <v>16</v>
      </c>
      <c r="I512">
        <v>0</v>
      </c>
      <c r="J512">
        <v>-5221</v>
      </c>
      <c r="K512" t="s">
        <v>715</v>
      </c>
      <c r="L512" t="s">
        <v>1599</v>
      </c>
    </row>
    <row r="513" spans="1:12">
      <c r="A513">
        <v>511</v>
      </c>
      <c r="B513" t="s">
        <v>3</v>
      </c>
      <c r="C513" t="s">
        <v>716</v>
      </c>
      <c r="D513">
        <v>2018</v>
      </c>
      <c r="E513">
        <v>3</v>
      </c>
      <c r="F513">
        <v>17</v>
      </c>
      <c r="G513">
        <v>4</v>
      </c>
      <c r="H513">
        <v>16</v>
      </c>
      <c r="I513">
        <v>0</v>
      </c>
      <c r="J513">
        <v>954.60000000000014</v>
      </c>
      <c r="K513" t="s">
        <v>715</v>
      </c>
      <c r="L513" t="s">
        <v>1600</v>
      </c>
    </row>
    <row r="514" spans="1:12">
      <c r="A514">
        <v>512</v>
      </c>
      <c r="B514" t="s">
        <v>3</v>
      </c>
      <c r="C514" t="s">
        <v>716</v>
      </c>
      <c r="D514">
        <v>2018</v>
      </c>
      <c r="E514">
        <v>3</v>
      </c>
      <c r="F514">
        <v>20</v>
      </c>
      <c r="G514">
        <v>4</v>
      </c>
      <c r="H514">
        <v>16</v>
      </c>
      <c r="I514">
        <v>0</v>
      </c>
      <c r="J514">
        <v>9.5500000000000007</v>
      </c>
      <c r="K514" t="s">
        <v>715</v>
      </c>
      <c r="L514" t="s">
        <v>1601</v>
      </c>
    </row>
    <row r="515" spans="1:12">
      <c r="A515">
        <v>513</v>
      </c>
      <c r="B515" t="s">
        <v>3</v>
      </c>
      <c r="C515" t="s">
        <v>716</v>
      </c>
      <c r="D515">
        <v>2018</v>
      </c>
      <c r="E515">
        <v>3</v>
      </c>
      <c r="F515">
        <v>26</v>
      </c>
      <c r="G515">
        <v>4</v>
      </c>
      <c r="H515">
        <v>16</v>
      </c>
      <c r="I515">
        <v>0</v>
      </c>
      <c r="J515">
        <v>206.78</v>
      </c>
      <c r="K515" t="s">
        <v>715</v>
      </c>
      <c r="L515" t="s">
        <v>1622</v>
      </c>
    </row>
    <row r="516" spans="1:12">
      <c r="A516">
        <v>514</v>
      </c>
      <c r="B516" t="s">
        <v>3</v>
      </c>
      <c r="C516" t="s">
        <v>716</v>
      </c>
      <c r="D516">
        <v>2018</v>
      </c>
      <c r="E516">
        <v>3</v>
      </c>
      <c r="F516">
        <v>28</v>
      </c>
      <c r="G516">
        <v>4</v>
      </c>
      <c r="H516">
        <v>16</v>
      </c>
      <c r="I516">
        <v>0</v>
      </c>
      <c r="J516">
        <v>60.309999999999995</v>
      </c>
      <c r="K516" t="s">
        <v>715</v>
      </c>
      <c r="L516" t="s">
        <v>1636</v>
      </c>
    </row>
    <row r="517" spans="1:12">
      <c r="A517">
        <v>515</v>
      </c>
      <c r="B517" t="s">
        <v>3</v>
      </c>
      <c r="C517" t="s">
        <v>716</v>
      </c>
      <c r="D517">
        <v>2018</v>
      </c>
      <c r="E517">
        <v>3</v>
      </c>
      <c r="F517">
        <v>40</v>
      </c>
      <c r="G517">
        <v>4</v>
      </c>
      <c r="H517">
        <v>16</v>
      </c>
      <c r="I517">
        <v>0</v>
      </c>
      <c r="J517">
        <v>38.72</v>
      </c>
      <c r="K517" t="s">
        <v>715</v>
      </c>
      <c r="L517" t="s">
        <v>1603</v>
      </c>
    </row>
    <row r="518" spans="1:12">
      <c r="A518">
        <v>516</v>
      </c>
      <c r="B518" t="s">
        <v>3</v>
      </c>
      <c r="C518" t="s">
        <v>716</v>
      </c>
      <c r="D518">
        <v>2018</v>
      </c>
      <c r="E518">
        <v>3</v>
      </c>
      <c r="F518">
        <v>40</v>
      </c>
      <c r="G518">
        <v>4</v>
      </c>
      <c r="H518">
        <v>16</v>
      </c>
      <c r="I518">
        <v>0</v>
      </c>
      <c r="J518">
        <v>38.72</v>
      </c>
      <c r="K518" t="s">
        <v>715</v>
      </c>
      <c r="L518" t="s">
        <v>1604</v>
      </c>
    </row>
    <row r="519" spans="1:12">
      <c r="A519">
        <v>517</v>
      </c>
      <c r="B519" t="s">
        <v>3</v>
      </c>
      <c r="C519" t="s">
        <v>716</v>
      </c>
      <c r="D519">
        <v>2018</v>
      </c>
      <c r="E519">
        <v>3</v>
      </c>
      <c r="F519">
        <v>41</v>
      </c>
      <c r="G519">
        <v>4</v>
      </c>
      <c r="H519">
        <v>16</v>
      </c>
      <c r="I519">
        <v>0</v>
      </c>
      <c r="J519">
        <v>6.2799999999999994</v>
      </c>
      <c r="K519" t="s">
        <v>715</v>
      </c>
      <c r="L519" t="s">
        <v>1605</v>
      </c>
    </row>
    <row r="520" spans="1:12">
      <c r="A520">
        <v>518</v>
      </c>
      <c r="B520" t="s">
        <v>3</v>
      </c>
      <c r="C520" t="s">
        <v>716</v>
      </c>
      <c r="D520">
        <v>2018</v>
      </c>
      <c r="E520">
        <v>4</v>
      </c>
      <c r="F520">
        <v>11</v>
      </c>
      <c r="G520">
        <v>4</v>
      </c>
      <c r="H520">
        <v>20</v>
      </c>
      <c r="I520">
        <v>0</v>
      </c>
      <c r="J520">
        <v>-1950</v>
      </c>
      <c r="K520" t="s">
        <v>715</v>
      </c>
      <c r="L520" t="s">
        <v>1607</v>
      </c>
    </row>
    <row r="521" spans="1:12">
      <c r="A521">
        <v>519</v>
      </c>
      <c r="B521" t="s">
        <v>3</v>
      </c>
      <c r="C521" t="s">
        <v>716</v>
      </c>
      <c r="D521">
        <v>2018</v>
      </c>
      <c r="E521">
        <v>4</v>
      </c>
      <c r="F521">
        <v>17</v>
      </c>
      <c r="G521">
        <v>4</v>
      </c>
      <c r="H521">
        <v>20</v>
      </c>
      <c r="I521">
        <v>0</v>
      </c>
      <c r="J521">
        <v>-843.6</v>
      </c>
      <c r="K521" t="s">
        <v>715</v>
      </c>
      <c r="L521" t="s">
        <v>1600</v>
      </c>
    </row>
    <row r="522" spans="1:12">
      <c r="A522">
        <v>520</v>
      </c>
      <c r="B522" t="s">
        <v>3</v>
      </c>
      <c r="C522" t="s">
        <v>716</v>
      </c>
      <c r="D522">
        <v>2018</v>
      </c>
      <c r="E522">
        <v>4</v>
      </c>
      <c r="F522">
        <v>20</v>
      </c>
      <c r="G522">
        <v>4</v>
      </c>
      <c r="H522">
        <v>20</v>
      </c>
      <c r="I522">
        <v>0</v>
      </c>
      <c r="J522">
        <v>-8.4400000000000013</v>
      </c>
      <c r="K522" t="s">
        <v>715</v>
      </c>
      <c r="L522" t="s">
        <v>1601</v>
      </c>
    </row>
    <row r="523" spans="1:12">
      <c r="A523">
        <v>521</v>
      </c>
      <c r="B523" t="s">
        <v>3</v>
      </c>
      <c r="C523" t="s">
        <v>716</v>
      </c>
      <c r="D523">
        <v>2018</v>
      </c>
      <c r="E523">
        <v>4</v>
      </c>
      <c r="F523">
        <v>25</v>
      </c>
      <c r="G523">
        <v>4</v>
      </c>
      <c r="H523">
        <v>20</v>
      </c>
      <c r="I523">
        <v>0</v>
      </c>
      <c r="J523">
        <v>1950</v>
      </c>
      <c r="K523" t="s">
        <v>715</v>
      </c>
      <c r="L523" t="s">
        <v>1641</v>
      </c>
    </row>
    <row r="524" spans="1:12">
      <c r="A524">
        <v>522</v>
      </c>
      <c r="B524" t="s">
        <v>3</v>
      </c>
      <c r="C524" t="s">
        <v>716</v>
      </c>
      <c r="D524">
        <v>2018</v>
      </c>
      <c r="E524">
        <v>4</v>
      </c>
      <c r="F524">
        <v>26</v>
      </c>
      <c r="G524">
        <v>4</v>
      </c>
      <c r="H524">
        <v>20</v>
      </c>
      <c r="I524">
        <v>0</v>
      </c>
      <c r="J524">
        <v>2643.76</v>
      </c>
      <c r="K524" t="s">
        <v>715</v>
      </c>
      <c r="L524" t="s">
        <v>1618</v>
      </c>
    </row>
    <row r="525" spans="1:12">
      <c r="A525">
        <v>523</v>
      </c>
      <c r="B525" t="s">
        <v>3</v>
      </c>
      <c r="C525" t="s">
        <v>716</v>
      </c>
      <c r="D525">
        <v>2018</v>
      </c>
      <c r="E525">
        <v>4</v>
      </c>
      <c r="F525">
        <v>28</v>
      </c>
      <c r="G525">
        <v>4</v>
      </c>
      <c r="H525">
        <v>20</v>
      </c>
      <c r="I525">
        <v>0</v>
      </c>
      <c r="J525">
        <v>159.03</v>
      </c>
      <c r="K525" t="s">
        <v>715</v>
      </c>
      <c r="L525" t="s">
        <v>1636</v>
      </c>
    </row>
    <row r="526" spans="1:12">
      <c r="A526">
        <v>524</v>
      </c>
      <c r="B526" t="s">
        <v>3</v>
      </c>
      <c r="C526" t="s">
        <v>716</v>
      </c>
      <c r="D526">
        <v>2018</v>
      </c>
      <c r="E526">
        <v>4</v>
      </c>
      <c r="F526">
        <v>40</v>
      </c>
      <c r="G526">
        <v>4</v>
      </c>
      <c r="H526">
        <v>20</v>
      </c>
      <c r="I526">
        <v>0</v>
      </c>
      <c r="J526">
        <v>122.69</v>
      </c>
      <c r="K526" t="s">
        <v>715</v>
      </c>
      <c r="L526" t="s">
        <v>1603</v>
      </c>
    </row>
    <row r="527" spans="1:12">
      <c r="A527">
        <v>525</v>
      </c>
      <c r="B527" t="s">
        <v>3</v>
      </c>
      <c r="C527" t="s">
        <v>716</v>
      </c>
      <c r="D527">
        <v>2018</v>
      </c>
      <c r="E527">
        <v>4</v>
      </c>
      <c r="F527">
        <v>40</v>
      </c>
      <c r="G527">
        <v>4</v>
      </c>
      <c r="H527">
        <v>20</v>
      </c>
      <c r="I527">
        <v>0</v>
      </c>
      <c r="J527">
        <v>122.67999999999999</v>
      </c>
      <c r="K527" t="s">
        <v>715</v>
      </c>
      <c r="L527" t="s">
        <v>1604</v>
      </c>
    </row>
    <row r="528" spans="1:12">
      <c r="A528">
        <v>526</v>
      </c>
      <c r="B528" t="s">
        <v>3</v>
      </c>
      <c r="C528" t="s">
        <v>716</v>
      </c>
      <c r="D528">
        <v>2018</v>
      </c>
      <c r="E528">
        <v>4</v>
      </c>
      <c r="F528">
        <v>41</v>
      </c>
      <c r="G528">
        <v>4</v>
      </c>
      <c r="H528">
        <v>20</v>
      </c>
      <c r="I528">
        <v>0</v>
      </c>
      <c r="J528">
        <v>19.900000000000002</v>
      </c>
      <c r="K528" t="s">
        <v>715</v>
      </c>
      <c r="L528" t="s">
        <v>1605</v>
      </c>
    </row>
    <row r="529" spans="1:12">
      <c r="A529">
        <v>527</v>
      </c>
      <c r="B529" t="s">
        <v>3</v>
      </c>
      <c r="C529" t="s">
        <v>716</v>
      </c>
      <c r="D529">
        <v>2018</v>
      </c>
      <c r="E529">
        <v>4</v>
      </c>
      <c r="F529">
        <v>45</v>
      </c>
      <c r="G529">
        <v>4</v>
      </c>
      <c r="H529">
        <v>20</v>
      </c>
      <c r="I529">
        <v>0</v>
      </c>
      <c r="J529">
        <v>6030.13</v>
      </c>
      <c r="K529" t="s">
        <v>715</v>
      </c>
      <c r="L529" t="s">
        <v>1606</v>
      </c>
    </row>
    <row r="530" spans="1:12">
      <c r="A530">
        <v>528</v>
      </c>
      <c r="B530" t="s">
        <v>3</v>
      </c>
      <c r="C530" t="s">
        <v>716</v>
      </c>
      <c r="D530">
        <v>2019</v>
      </c>
      <c r="E530">
        <v>1</v>
      </c>
      <c r="F530">
        <v>8</v>
      </c>
      <c r="G530">
        <v>3</v>
      </c>
      <c r="H530">
        <v>7</v>
      </c>
      <c r="I530">
        <v>-10466</v>
      </c>
      <c r="J530">
        <v>-5233</v>
      </c>
      <c r="K530" t="s">
        <v>715</v>
      </c>
      <c r="L530" t="s">
        <v>1599</v>
      </c>
    </row>
    <row r="531" spans="1:12">
      <c r="A531">
        <v>529</v>
      </c>
      <c r="B531" t="s">
        <v>3</v>
      </c>
      <c r="C531" t="s">
        <v>716</v>
      </c>
      <c r="D531">
        <v>2019</v>
      </c>
      <c r="E531">
        <v>1</v>
      </c>
      <c r="F531">
        <v>23</v>
      </c>
      <c r="G531">
        <v>3</v>
      </c>
      <c r="H531">
        <v>7</v>
      </c>
      <c r="I531">
        <v>9800</v>
      </c>
      <c r="J531">
        <v>0</v>
      </c>
      <c r="K531" t="s">
        <v>715</v>
      </c>
      <c r="L531" t="s">
        <v>1602</v>
      </c>
    </row>
    <row r="532" spans="1:12">
      <c r="A532">
        <v>530</v>
      </c>
      <c r="B532" t="s">
        <v>3</v>
      </c>
      <c r="C532" t="s">
        <v>716</v>
      </c>
      <c r="D532">
        <v>2019</v>
      </c>
      <c r="E532">
        <v>1</v>
      </c>
      <c r="F532">
        <v>25</v>
      </c>
      <c r="G532">
        <v>3</v>
      </c>
      <c r="H532">
        <v>7</v>
      </c>
      <c r="I532">
        <v>0</v>
      </c>
      <c r="J532">
        <v>0</v>
      </c>
      <c r="K532" t="s">
        <v>715</v>
      </c>
      <c r="L532" t="s">
        <v>1641</v>
      </c>
    </row>
    <row r="533" spans="1:12">
      <c r="A533">
        <v>531</v>
      </c>
      <c r="B533" t="s">
        <v>3</v>
      </c>
      <c r="C533" t="s">
        <v>716</v>
      </c>
      <c r="D533">
        <v>2019</v>
      </c>
      <c r="E533">
        <v>1</v>
      </c>
      <c r="F533">
        <v>40</v>
      </c>
      <c r="G533">
        <v>3</v>
      </c>
      <c r="H533">
        <v>7</v>
      </c>
      <c r="I533">
        <v>616</v>
      </c>
      <c r="J533">
        <v>0</v>
      </c>
      <c r="K533" t="s">
        <v>715</v>
      </c>
      <c r="L533" t="s">
        <v>1603</v>
      </c>
    </row>
    <row r="534" spans="1:12">
      <c r="A534">
        <v>532</v>
      </c>
      <c r="B534" t="s">
        <v>3</v>
      </c>
      <c r="C534" t="s">
        <v>716</v>
      </c>
      <c r="D534">
        <v>2019</v>
      </c>
      <c r="E534">
        <v>1</v>
      </c>
      <c r="F534">
        <v>40</v>
      </c>
      <c r="G534">
        <v>3</v>
      </c>
      <c r="H534">
        <v>7</v>
      </c>
      <c r="I534">
        <v>0</v>
      </c>
      <c r="J534">
        <v>0</v>
      </c>
      <c r="K534" t="s">
        <v>715</v>
      </c>
      <c r="L534" t="s">
        <v>1604</v>
      </c>
    </row>
    <row r="535" spans="1:12">
      <c r="A535">
        <v>533</v>
      </c>
      <c r="B535" t="s">
        <v>3</v>
      </c>
      <c r="C535" t="s">
        <v>716</v>
      </c>
      <c r="D535">
        <v>2019</v>
      </c>
      <c r="E535">
        <v>1</v>
      </c>
      <c r="F535">
        <v>41</v>
      </c>
      <c r="G535">
        <v>3</v>
      </c>
      <c r="H535">
        <v>7</v>
      </c>
      <c r="I535">
        <v>50</v>
      </c>
      <c r="J535">
        <v>0</v>
      </c>
      <c r="K535" t="s">
        <v>715</v>
      </c>
      <c r="L535" t="s">
        <v>1605</v>
      </c>
    </row>
    <row r="536" spans="1:12">
      <c r="A536">
        <v>534</v>
      </c>
      <c r="B536" t="s">
        <v>3</v>
      </c>
      <c r="C536" t="s">
        <v>716</v>
      </c>
      <c r="D536">
        <v>2019</v>
      </c>
      <c r="E536">
        <v>2</v>
      </c>
      <c r="F536">
        <v>25</v>
      </c>
      <c r="G536">
        <v>3</v>
      </c>
      <c r="H536">
        <v>11</v>
      </c>
      <c r="I536">
        <v>0</v>
      </c>
      <c r="J536">
        <v>3615</v>
      </c>
      <c r="K536" t="s">
        <v>715</v>
      </c>
      <c r="L536" t="s">
        <v>1641</v>
      </c>
    </row>
    <row r="537" spans="1:12">
      <c r="A537">
        <v>535</v>
      </c>
      <c r="B537" t="s">
        <v>3</v>
      </c>
      <c r="C537" t="s">
        <v>716</v>
      </c>
      <c r="D537">
        <v>2019</v>
      </c>
      <c r="E537">
        <v>2</v>
      </c>
      <c r="F537">
        <v>26</v>
      </c>
      <c r="G537">
        <v>3</v>
      </c>
      <c r="H537">
        <v>11</v>
      </c>
      <c r="I537">
        <v>0</v>
      </c>
      <c r="J537">
        <v>530.45000000000005</v>
      </c>
      <c r="K537" t="s">
        <v>715</v>
      </c>
      <c r="L537" t="s">
        <v>1622</v>
      </c>
    </row>
    <row r="538" spans="1:12">
      <c r="A538">
        <v>536</v>
      </c>
      <c r="B538" t="s">
        <v>3</v>
      </c>
      <c r="C538" t="s">
        <v>716</v>
      </c>
      <c r="D538">
        <v>2019</v>
      </c>
      <c r="E538">
        <v>2</v>
      </c>
      <c r="F538">
        <v>26</v>
      </c>
      <c r="G538">
        <v>3</v>
      </c>
      <c r="H538">
        <v>11</v>
      </c>
      <c r="I538">
        <v>0</v>
      </c>
      <c r="J538">
        <v>1713.01</v>
      </c>
      <c r="K538" t="s">
        <v>715</v>
      </c>
      <c r="L538" t="s">
        <v>1618</v>
      </c>
    </row>
    <row r="539" spans="1:12">
      <c r="A539">
        <v>537</v>
      </c>
      <c r="B539" t="s">
        <v>3</v>
      </c>
      <c r="C539" t="s">
        <v>716</v>
      </c>
      <c r="D539">
        <v>2019</v>
      </c>
      <c r="E539">
        <v>2</v>
      </c>
      <c r="F539">
        <v>28</v>
      </c>
      <c r="G539">
        <v>3</v>
      </c>
      <c r="H539">
        <v>11</v>
      </c>
      <c r="I539">
        <v>0</v>
      </c>
      <c r="J539">
        <v>763.23</v>
      </c>
      <c r="K539" t="s">
        <v>715</v>
      </c>
      <c r="L539" t="s">
        <v>1643</v>
      </c>
    </row>
    <row r="540" spans="1:12">
      <c r="A540">
        <v>538</v>
      </c>
      <c r="B540" t="s">
        <v>3</v>
      </c>
      <c r="C540" t="s">
        <v>716</v>
      </c>
      <c r="D540">
        <v>2019</v>
      </c>
      <c r="E540">
        <v>2</v>
      </c>
      <c r="F540">
        <v>28</v>
      </c>
      <c r="G540">
        <v>3</v>
      </c>
      <c r="H540">
        <v>11</v>
      </c>
      <c r="I540">
        <v>0</v>
      </c>
      <c r="J540">
        <v>66</v>
      </c>
      <c r="K540" t="s">
        <v>715</v>
      </c>
      <c r="L540" t="s">
        <v>1644</v>
      </c>
    </row>
    <row r="541" spans="1:12">
      <c r="A541">
        <v>539</v>
      </c>
      <c r="B541" t="s">
        <v>3</v>
      </c>
      <c r="C541" t="s">
        <v>716</v>
      </c>
      <c r="D541">
        <v>2019</v>
      </c>
      <c r="E541">
        <v>2</v>
      </c>
      <c r="F541">
        <v>29</v>
      </c>
      <c r="G541">
        <v>3</v>
      </c>
      <c r="H541">
        <v>11</v>
      </c>
      <c r="I541">
        <v>0</v>
      </c>
      <c r="J541">
        <v>72.739999999999995</v>
      </c>
      <c r="K541" t="s">
        <v>715</v>
      </c>
      <c r="L541" t="s">
        <v>1608</v>
      </c>
    </row>
    <row r="542" spans="1:12">
      <c r="A542">
        <v>540</v>
      </c>
      <c r="B542" t="s">
        <v>3</v>
      </c>
      <c r="C542" t="s">
        <v>716</v>
      </c>
      <c r="D542">
        <v>2019</v>
      </c>
      <c r="E542">
        <v>2</v>
      </c>
      <c r="F542">
        <v>40</v>
      </c>
      <c r="G542">
        <v>3</v>
      </c>
      <c r="H542">
        <v>11</v>
      </c>
      <c r="I542">
        <v>0</v>
      </c>
      <c r="J542">
        <v>228.51000000000002</v>
      </c>
      <c r="K542" t="s">
        <v>715</v>
      </c>
      <c r="L542" t="s">
        <v>1603</v>
      </c>
    </row>
    <row r="543" spans="1:12">
      <c r="A543">
        <v>541</v>
      </c>
      <c r="B543" t="s">
        <v>3</v>
      </c>
      <c r="C543" t="s">
        <v>716</v>
      </c>
      <c r="D543">
        <v>2019</v>
      </c>
      <c r="E543">
        <v>2</v>
      </c>
      <c r="F543">
        <v>40</v>
      </c>
      <c r="G543">
        <v>3</v>
      </c>
      <c r="H543">
        <v>11</v>
      </c>
      <c r="I543">
        <v>0</v>
      </c>
      <c r="J543">
        <v>228.5</v>
      </c>
      <c r="K543" t="s">
        <v>715</v>
      </c>
      <c r="L543" t="s">
        <v>1604</v>
      </c>
    </row>
    <row r="544" spans="1:12">
      <c r="A544">
        <v>542</v>
      </c>
      <c r="B544" t="s">
        <v>3</v>
      </c>
      <c r="C544" t="s">
        <v>716</v>
      </c>
      <c r="D544">
        <v>2019</v>
      </c>
      <c r="E544">
        <v>2</v>
      </c>
      <c r="F544">
        <v>41</v>
      </c>
      <c r="G544">
        <v>3</v>
      </c>
      <c r="H544">
        <v>11</v>
      </c>
      <c r="I544">
        <v>0</v>
      </c>
      <c r="J544">
        <v>41.92</v>
      </c>
      <c r="K544" t="s">
        <v>715</v>
      </c>
      <c r="L544" t="s">
        <v>1605</v>
      </c>
    </row>
    <row r="545" spans="1:12">
      <c r="A545">
        <v>543</v>
      </c>
      <c r="B545" t="s">
        <v>3</v>
      </c>
      <c r="C545" t="s">
        <v>716</v>
      </c>
      <c r="D545">
        <v>2019</v>
      </c>
      <c r="E545">
        <v>3</v>
      </c>
      <c r="F545">
        <v>8</v>
      </c>
      <c r="G545">
        <v>3</v>
      </c>
      <c r="H545">
        <v>15</v>
      </c>
      <c r="I545">
        <v>0</v>
      </c>
      <c r="J545">
        <v>-5233</v>
      </c>
      <c r="K545" t="s">
        <v>715</v>
      </c>
      <c r="L545" t="s">
        <v>1599</v>
      </c>
    </row>
    <row r="546" spans="1:12">
      <c r="A546">
        <v>544</v>
      </c>
      <c r="B546" t="s">
        <v>3</v>
      </c>
      <c r="C546" t="s">
        <v>716</v>
      </c>
      <c r="D546">
        <v>2019</v>
      </c>
      <c r="E546">
        <v>3</v>
      </c>
      <c r="F546">
        <v>25</v>
      </c>
      <c r="G546">
        <v>3</v>
      </c>
      <c r="H546">
        <v>15</v>
      </c>
      <c r="I546">
        <v>0</v>
      </c>
      <c r="J546">
        <v>50</v>
      </c>
      <c r="K546" t="s">
        <v>715</v>
      </c>
      <c r="L546" t="s">
        <v>1645</v>
      </c>
    </row>
    <row r="547" spans="1:12">
      <c r="A547">
        <v>545</v>
      </c>
      <c r="B547" t="s">
        <v>3</v>
      </c>
      <c r="C547" t="s">
        <v>716</v>
      </c>
      <c r="D547">
        <v>2019</v>
      </c>
      <c r="E547">
        <v>3</v>
      </c>
      <c r="F547">
        <v>26</v>
      </c>
      <c r="G547">
        <v>3</v>
      </c>
      <c r="H547">
        <v>15</v>
      </c>
      <c r="I547">
        <v>0</v>
      </c>
      <c r="J547">
        <v>401</v>
      </c>
      <c r="K547" t="s">
        <v>715</v>
      </c>
      <c r="L547" t="s">
        <v>1622</v>
      </c>
    </row>
    <row r="548" spans="1:12">
      <c r="A548">
        <v>546</v>
      </c>
      <c r="B548" t="s">
        <v>3</v>
      </c>
      <c r="C548" t="s">
        <v>716</v>
      </c>
      <c r="D548">
        <v>2019</v>
      </c>
      <c r="E548">
        <v>3</v>
      </c>
      <c r="F548">
        <v>28</v>
      </c>
      <c r="G548">
        <v>3</v>
      </c>
      <c r="H548">
        <v>15</v>
      </c>
      <c r="I548">
        <v>0</v>
      </c>
      <c r="J548">
        <v>50</v>
      </c>
      <c r="K548" t="s">
        <v>715</v>
      </c>
      <c r="L548" t="s">
        <v>1634</v>
      </c>
    </row>
    <row r="549" spans="1:12">
      <c r="A549">
        <v>547</v>
      </c>
      <c r="B549" t="s">
        <v>3</v>
      </c>
      <c r="C549" t="s">
        <v>716</v>
      </c>
      <c r="D549">
        <v>2019</v>
      </c>
      <c r="E549">
        <v>3</v>
      </c>
      <c r="F549">
        <v>29</v>
      </c>
      <c r="G549">
        <v>3</v>
      </c>
      <c r="H549">
        <v>15</v>
      </c>
      <c r="I549">
        <v>0</v>
      </c>
      <c r="J549">
        <v>350</v>
      </c>
      <c r="K549" t="s">
        <v>715</v>
      </c>
      <c r="L549" t="s">
        <v>1646</v>
      </c>
    </row>
    <row r="550" spans="1:12">
      <c r="A550">
        <v>548</v>
      </c>
      <c r="B550" t="s">
        <v>3</v>
      </c>
      <c r="C550" t="s">
        <v>716</v>
      </c>
      <c r="D550">
        <v>2019</v>
      </c>
      <c r="E550">
        <v>3</v>
      </c>
      <c r="F550">
        <v>40</v>
      </c>
      <c r="G550">
        <v>3</v>
      </c>
      <c r="H550">
        <v>15</v>
      </c>
      <c r="I550">
        <v>0</v>
      </c>
      <c r="J550">
        <v>28.769999999999996</v>
      </c>
      <c r="K550" t="s">
        <v>715</v>
      </c>
      <c r="L550" t="s">
        <v>1603</v>
      </c>
    </row>
    <row r="551" spans="1:12">
      <c r="A551">
        <v>549</v>
      </c>
      <c r="B551" t="s">
        <v>3</v>
      </c>
      <c r="C551" t="s">
        <v>716</v>
      </c>
      <c r="D551">
        <v>2019</v>
      </c>
      <c r="E551">
        <v>3</v>
      </c>
      <c r="F551">
        <v>40</v>
      </c>
      <c r="G551">
        <v>3</v>
      </c>
      <c r="H551">
        <v>15</v>
      </c>
      <c r="I551">
        <v>0</v>
      </c>
      <c r="J551">
        <v>28.759999999999998</v>
      </c>
      <c r="K551" t="s">
        <v>715</v>
      </c>
      <c r="L551" t="s">
        <v>1604</v>
      </c>
    </row>
    <row r="552" spans="1:12">
      <c r="A552">
        <v>550</v>
      </c>
      <c r="B552" t="s">
        <v>3</v>
      </c>
      <c r="C552" t="s">
        <v>716</v>
      </c>
      <c r="D552">
        <v>2019</v>
      </c>
      <c r="E552">
        <v>3</v>
      </c>
      <c r="F552">
        <v>41</v>
      </c>
      <c r="G552">
        <v>3</v>
      </c>
      <c r="H552">
        <v>15</v>
      </c>
      <c r="I552">
        <v>0</v>
      </c>
      <c r="J552">
        <v>5.2799999999999994</v>
      </c>
      <c r="K552" t="s">
        <v>715</v>
      </c>
      <c r="L552" t="s">
        <v>1605</v>
      </c>
    </row>
    <row r="553" spans="1:12">
      <c r="A553">
        <v>551</v>
      </c>
      <c r="B553" t="s">
        <v>3</v>
      </c>
      <c r="C553" t="s">
        <v>716</v>
      </c>
      <c r="D553">
        <v>2019</v>
      </c>
      <c r="E553">
        <v>4</v>
      </c>
      <c r="F553">
        <v>11</v>
      </c>
      <c r="G553">
        <v>3</v>
      </c>
      <c r="H553">
        <v>19</v>
      </c>
      <c r="I553">
        <v>0</v>
      </c>
      <c r="J553">
        <v>-2526.77</v>
      </c>
      <c r="K553" t="s">
        <v>715</v>
      </c>
      <c r="L553" t="s">
        <v>1607</v>
      </c>
    </row>
    <row r="554" spans="1:12">
      <c r="A554">
        <v>552</v>
      </c>
      <c r="B554" t="s">
        <v>3</v>
      </c>
      <c r="C554" t="s">
        <v>716</v>
      </c>
      <c r="D554">
        <v>2019</v>
      </c>
      <c r="E554">
        <v>4</v>
      </c>
      <c r="F554">
        <v>25</v>
      </c>
      <c r="G554">
        <v>3</v>
      </c>
      <c r="H554">
        <v>19</v>
      </c>
      <c r="I554">
        <v>0</v>
      </c>
      <c r="J554">
        <v>80</v>
      </c>
      <c r="K554" t="s">
        <v>715</v>
      </c>
      <c r="L554" t="s">
        <v>1645</v>
      </c>
    </row>
    <row r="555" spans="1:12">
      <c r="A555">
        <v>553</v>
      </c>
      <c r="B555" t="s">
        <v>3</v>
      </c>
      <c r="C555" t="s">
        <v>716</v>
      </c>
      <c r="D555">
        <v>2019</v>
      </c>
      <c r="E555">
        <v>4</v>
      </c>
      <c r="F555">
        <v>26</v>
      </c>
      <c r="G555">
        <v>3</v>
      </c>
      <c r="H555">
        <v>19</v>
      </c>
      <c r="I555">
        <v>0</v>
      </c>
      <c r="J555">
        <v>609.20000000000005</v>
      </c>
      <c r="K555" t="s">
        <v>715</v>
      </c>
      <c r="L555" t="s">
        <v>1622</v>
      </c>
    </row>
    <row r="556" spans="1:12">
      <c r="A556">
        <v>554</v>
      </c>
      <c r="B556" t="s">
        <v>3</v>
      </c>
      <c r="C556" t="s">
        <v>716</v>
      </c>
      <c r="D556">
        <v>2019</v>
      </c>
      <c r="E556">
        <v>4</v>
      </c>
      <c r="F556">
        <v>26</v>
      </c>
      <c r="G556">
        <v>3</v>
      </c>
      <c r="H556">
        <v>19</v>
      </c>
      <c r="I556">
        <v>0</v>
      </c>
      <c r="J556">
        <v>381.6</v>
      </c>
      <c r="K556" t="s">
        <v>715</v>
      </c>
      <c r="L556" t="s">
        <v>1647</v>
      </c>
    </row>
    <row r="557" spans="1:12">
      <c r="A557">
        <v>555</v>
      </c>
      <c r="B557" t="s">
        <v>3</v>
      </c>
      <c r="C557" t="s">
        <v>716</v>
      </c>
      <c r="D557">
        <v>2019</v>
      </c>
      <c r="E557">
        <v>4</v>
      </c>
      <c r="F557">
        <v>26</v>
      </c>
      <c r="G557">
        <v>3</v>
      </c>
      <c r="H557">
        <v>19</v>
      </c>
      <c r="I557">
        <v>0</v>
      </c>
      <c r="J557">
        <v>2310</v>
      </c>
      <c r="K557" t="s">
        <v>715</v>
      </c>
      <c r="L557" t="s">
        <v>1618</v>
      </c>
    </row>
    <row r="558" spans="1:12">
      <c r="A558">
        <v>556</v>
      </c>
      <c r="B558" t="s">
        <v>3</v>
      </c>
      <c r="C558" t="s">
        <v>716</v>
      </c>
      <c r="D558">
        <v>2019</v>
      </c>
      <c r="E558">
        <v>4</v>
      </c>
      <c r="F558">
        <v>28</v>
      </c>
      <c r="G558">
        <v>3</v>
      </c>
      <c r="H558">
        <v>19</v>
      </c>
      <c r="I558">
        <v>0</v>
      </c>
      <c r="J558">
        <v>299.97000000000003</v>
      </c>
      <c r="K558" t="s">
        <v>715</v>
      </c>
      <c r="L558" t="s">
        <v>1643</v>
      </c>
    </row>
    <row r="559" spans="1:12">
      <c r="A559">
        <v>557</v>
      </c>
      <c r="B559" t="s">
        <v>3</v>
      </c>
      <c r="C559" t="s">
        <v>716</v>
      </c>
      <c r="D559">
        <v>2019</v>
      </c>
      <c r="E559">
        <v>4</v>
      </c>
      <c r="F559">
        <v>29</v>
      </c>
      <c r="G559">
        <v>3</v>
      </c>
      <c r="H559">
        <v>19</v>
      </c>
      <c r="I559">
        <v>0</v>
      </c>
      <c r="J559">
        <v>82.58</v>
      </c>
      <c r="K559" t="s">
        <v>715</v>
      </c>
      <c r="L559" t="s">
        <v>1608</v>
      </c>
    </row>
    <row r="560" spans="1:12">
      <c r="A560">
        <v>558</v>
      </c>
      <c r="B560" t="s">
        <v>3</v>
      </c>
      <c r="C560" t="s">
        <v>716</v>
      </c>
      <c r="D560">
        <v>2019</v>
      </c>
      <c r="E560">
        <v>4</v>
      </c>
      <c r="F560">
        <v>29</v>
      </c>
      <c r="G560">
        <v>3</v>
      </c>
      <c r="H560">
        <v>19</v>
      </c>
      <c r="I560">
        <v>0</v>
      </c>
      <c r="J560">
        <v>525</v>
      </c>
      <c r="K560" t="s">
        <v>715</v>
      </c>
      <c r="L560" t="s">
        <v>1625</v>
      </c>
    </row>
    <row r="561" spans="1:12">
      <c r="A561">
        <v>559</v>
      </c>
      <c r="B561" t="s">
        <v>3</v>
      </c>
      <c r="C561" t="s">
        <v>716</v>
      </c>
      <c r="D561">
        <v>2019</v>
      </c>
      <c r="E561">
        <v>4</v>
      </c>
      <c r="F561">
        <v>29</v>
      </c>
      <c r="G561">
        <v>3</v>
      </c>
      <c r="H561">
        <v>19</v>
      </c>
      <c r="I561">
        <v>0</v>
      </c>
      <c r="J561">
        <v>200</v>
      </c>
      <c r="K561" t="s">
        <v>715</v>
      </c>
      <c r="L561" t="s">
        <v>1635</v>
      </c>
    </row>
    <row r="562" spans="1:12">
      <c r="A562">
        <v>560</v>
      </c>
      <c r="B562" t="s">
        <v>3</v>
      </c>
      <c r="C562" t="s">
        <v>716</v>
      </c>
      <c r="D562">
        <v>2019</v>
      </c>
      <c r="E562">
        <v>4</v>
      </c>
      <c r="F562">
        <v>29</v>
      </c>
      <c r="G562">
        <v>3</v>
      </c>
      <c r="H562">
        <v>19</v>
      </c>
      <c r="I562">
        <v>0</v>
      </c>
      <c r="J562">
        <v>0</v>
      </c>
      <c r="K562" t="s">
        <v>715</v>
      </c>
      <c r="L562" t="s">
        <v>1648</v>
      </c>
    </row>
    <row r="563" spans="1:12">
      <c r="A563">
        <v>561</v>
      </c>
      <c r="B563" t="s">
        <v>3</v>
      </c>
      <c r="C563" t="s">
        <v>716</v>
      </c>
      <c r="D563">
        <v>2019</v>
      </c>
      <c r="E563">
        <v>4</v>
      </c>
      <c r="F563">
        <v>40</v>
      </c>
      <c r="G563">
        <v>3</v>
      </c>
      <c r="H563">
        <v>19</v>
      </c>
      <c r="I563">
        <v>0</v>
      </c>
      <c r="J563">
        <v>151.72000000000003</v>
      </c>
      <c r="K563" t="s">
        <v>715</v>
      </c>
      <c r="L563" t="s">
        <v>1603</v>
      </c>
    </row>
    <row r="564" spans="1:12">
      <c r="A564">
        <v>562</v>
      </c>
      <c r="B564" t="s">
        <v>3</v>
      </c>
      <c r="C564" t="s">
        <v>716</v>
      </c>
      <c r="D564">
        <v>2019</v>
      </c>
      <c r="E564">
        <v>4</v>
      </c>
      <c r="F564">
        <v>40</v>
      </c>
      <c r="G564">
        <v>3</v>
      </c>
      <c r="H564">
        <v>19</v>
      </c>
      <c r="I564">
        <v>0</v>
      </c>
      <c r="J564">
        <v>151.69999999999999</v>
      </c>
      <c r="K564" t="s">
        <v>715</v>
      </c>
      <c r="L564" t="s">
        <v>1604</v>
      </c>
    </row>
    <row r="565" spans="1:12">
      <c r="A565">
        <v>563</v>
      </c>
      <c r="B565" t="s">
        <v>3</v>
      </c>
      <c r="C565" t="s">
        <v>716</v>
      </c>
      <c r="D565">
        <v>2019</v>
      </c>
      <c r="E565">
        <v>4</v>
      </c>
      <c r="F565">
        <v>41</v>
      </c>
      <c r="G565">
        <v>3</v>
      </c>
      <c r="H565">
        <v>19</v>
      </c>
      <c r="I565">
        <v>0</v>
      </c>
      <c r="J565">
        <v>27.830000000000002</v>
      </c>
      <c r="K565" t="s">
        <v>715</v>
      </c>
      <c r="L565" t="s">
        <v>1605</v>
      </c>
    </row>
    <row r="566" spans="1:12">
      <c r="A566">
        <v>564</v>
      </c>
      <c r="B566" t="s">
        <v>3</v>
      </c>
      <c r="C566" t="s">
        <v>716</v>
      </c>
      <c r="D566">
        <v>2020</v>
      </c>
      <c r="E566">
        <v>1</v>
      </c>
      <c r="F566">
        <v>8</v>
      </c>
      <c r="G566">
        <v>2</v>
      </c>
      <c r="H566">
        <v>6</v>
      </c>
      <c r="I566">
        <v>-14860</v>
      </c>
      <c r="J566">
        <v>0</v>
      </c>
      <c r="K566" t="s">
        <v>715</v>
      </c>
      <c r="L566" t="s">
        <v>1599</v>
      </c>
    </row>
    <row r="567" spans="1:12">
      <c r="A567">
        <v>565</v>
      </c>
      <c r="B567" t="s">
        <v>3</v>
      </c>
      <c r="C567" t="s">
        <v>716</v>
      </c>
      <c r="D567">
        <v>2020</v>
      </c>
      <c r="E567">
        <v>1</v>
      </c>
      <c r="F567">
        <v>8</v>
      </c>
      <c r="G567">
        <v>2</v>
      </c>
      <c r="H567">
        <v>6</v>
      </c>
      <c r="I567">
        <v>0</v>
      </c>
      <c r="J567">
        <v>-7430</v>
      </c>
      <c r="K567" t="s">
        <v>715</v>
      </c>
      <c r="L567" t="s">
        <v>1611</v>
      </c>
    </row>
    <row r="568" spans="1:12">
      <c r="A568">
        <v>566</v>
      </c>
      <c r="B568" t="s">
        <v>3</v>
      </c>
      <c r="C568" t="s">
        <v>716</v>
      </c>
      <c r="D568">
        <v>2020</v>
      </c>
      <c r="E568">
        <v>1</v>
      </c>
      <c r="F568">
        <v>23</v>
      </c>
      <c r="G568">
        <v>2</v>
      </c>
      <c r="H568">
        <v>6</v>
      </c>
      <c r="I568">
        <v>13800</v>
      </c>
      <c r="J568">
        <v>0</v>
      </c>
      <c r="K568" t="s">
        <v>715</v>
      </c>
      <c r="L568" t="s">
        <v>1602</v>
      </c>
    </row>
    <row r="569" spans="1:12">
      <c r="A569">
        <v>567</v>
      </c>
      <c r="B569" t="s">
        <v>3</v>
      </c>
      <c r="C569" t="s">
        <v>716</v>
      </c>
      <c r="D569">
        <v>2020</v>
      </c>
      <c r="E569">
        <v>1</v>
      </c>
      <c r="F569">
        <v>29</v>
      </c>
      <c r="G569">
        <v>2</v>
      </c>
      <c r="H569">
        <v>6</v>
      </c>
      <c r="I569">
        <v>0</v>
      </c>
      <c r="J569">
        <v>-525</v>
      </c>
      <c r="K569" t="s">
        <v>715</v>
      </c>
      <c r="L569" t="s">
        <v>1625</v>
      </c>
    </row>
    <row r="570" spans="1:12">
      <c r="A570">
        <v>568</v>
      </c>
      <c r="B570" t="s">
        <v>3</v>
      </c>
      <c r="C570" t="s">
        <v>716</v>
      </c>
      <c r="D570">
        <v>2020</v>
      </c>
      <c r="E570">
        <v>1</v>
      </c>
      <c r="F570">
        <v>40</v>
      </c>
      <c r="G570">
        <v>2</v>
      </c>
      <c r="H570">
        <v>6</v>
      </c>
      <c r="I570">
        <v>974</v>
      </c>
      <c r="J570">
        <v>-18.54</v>
      </c>
      <c r="K570" t="s">
        <v>715</v>
      </c>
      <c r="L570" t="s">
        <v>1603</v>
      </c>
    </row>
    <row r="571" spans="1:12">
      <c r="A571">
        <v>569</v>
      </c>
      <c r="B571" t="s">
        <v>3</v>
      </c>
      <c r="C571" t="s">
        <v>716</v>
      </c>
      <c r="D571">
        <v>2020</v>
      </c>
      <c r="E571">
        <v>1</v>
      </c>
      <c r="F571">
        <v>40</v>
      </c>
      <c r="G571">
        <v>2</v>
      </c>
      <c r="H571">
        <v>6</v>
      </c>
      <c r="I571">
        <v>0</v>
      </c>
      <c r="J571">
        <v>-18.53</v>
      </c>
      <c r="K571" t="s">
        <v>715</v>
      </c>
      <c r="L571" t="s">
        <v>1604</v>
      </c>
    </row>
    <row r="572" spans="1:12">
      <c r="A572">
        <v>570</v>
      </c>
      <c r="B572" t="s">
        <v>3</v>
      </c>
      <c r="C572" t="s">
        <v>716</v>
      </c>
      <c r="D572">
        <v>2020</v>
      </c>
      <c r="E572">
        <v>1</v>
      </c>
      <c r="F572">
        <v>41</v>
      </c>
      <c r="G572">
        <v>2</v>
      </c>
      <c r="H572">
        <v>6</v>
      </c>
      <c r="I572">
        <v>86</v>
      </c>
      <c r="J572">
        <v>-3.26</v>
      </c>
      <c r="K572" t="s">
        <v>715</v>
      </c>
      <c r="L572" t="s">
        <v>1605</v>
      </c>
    </row>
    <row r="573" spans="1:12">
      <c r="A573">
        <v>571</v>
      </c>
      <c r="B573" t="s">
        <v>3</v>
      </c>
      <c r="C573" t="s">
        <v>716</v>
      </c>
      <c r="D573">
        <v>2020</v>
      </c>
      <c r="E573">
        <v>2</v>
      </c>
      <c r="F573">
        <v>26</v>
      </c>
      <c r="G573">
        <v>2</v>
      </c>
      <c r="H573">
        <v>10</v>
      </c>
      <c r="I573">
        <v>0</v>
      </c>
      <c r="J573">
        <v>949.23</v>
      </c>
      <c r="K573" t="s">
        <v>715</v>
      </c>
      <c r="L573" t="s">
        <v>1622</v>
      </c>
    </row>
    <row r="574" spans="1:12">
      <c r="A574">
        <v>572</v>
      </c>
      <c r="B574" t="s">
        <v>3</v>
      </c>
      <c r="C574" t="s">
        <v>716</v>
      </c>
      <c r="D574">
        <v>2020</v>
      </c>
      <c r="E574">
        <v>2</v>
      </c>
      <c r="F574">
        <v>27</v>
      </c>
      <c r="G574">
        <v>2</v>
      </c>
      <c r="H574">
        <v>10</v>
      </c>
      <c r="I574">
        <v>0</v>
      </c>
      <c r="J574">
        <v>1.75</v>
      </c>
      <c r="K574" t="s">
        <v>715</v>
      </c>
      <c r="L574" t="s">
        <v>1626</v>
      </c>
    </row>
    <row r="575" spans="1:12">
      <c r="A575">
        <v>573</v>
      </c>
      <c r="B575" t="s">
        <v>3</v>
      </c>
      <c r="C575" t="s">
        <v>716</v>
      </c>
      <c r="D575">
        <v>2020</v>
      </c>
      <c r="E575">
        <v>2</v>
      </c>
      <c r="F575">
        <v>28</v>
      </c>
      <c r="G575">
        <v>2</v>
      </c>
      <c r="H575">
        <v>10</v>
      </c>
      <c r="I575">
        <v>0</v>
      </c>
      <c r="J575">
        <v>36.5</v>
      </c>
      <c r="K575" t="s">
        <v>715</v>
      </c>
      <c r="L575" t="s">
        <v>1636</v>
      </c>
    </row>
    <row r="576" spans="1:12">
      <c r="A576">
        <v>574</v>
      </c>
      <c r="B576" t="s">
        <v>3</v>
      </c>
      <c r="C576" t="s">
        <v>716</v>
      </c>
      <c r="D576">
        <v>2020</v>
      </c>
      <c r="E576">
        <v>2</v>
      </c>
      <c r="F576">
        <v>29</v>
      </c>
      <c r="G576">
        <v>2</v>
      </c>
      <c r="H576">
        <v>10</v>
      </c>
      <c r="I576">
        <v>0</v>
      </c>
      <c r="J576">
        <v>525</v>
      </c>
      <c r="K576" t="s">
        <v>715</v>
      </c>
      <c r="L576" t="s">
        <v>1625</v>
      </c>
    </row>
    <row r="577" spans="1:12">
      <c r="A577">
        <v>575</v>
      </c>
      <c r="B577" t="s">
        <v>3</v>
      </c>
      <c r="C577" t="s">
        <v>716</v>
      </c>
      <c r="D577">
        <v>2020</v>
      </c>
      <c r="E577">
        <v>2</v>
      </c>
      <c r="F577">
        <v>40</v>
      </c>
      <c r="G577">
        <v>2</v>
      </c>
      <c r="H577">
        <v>10</v>
      </c>
      <c r="I577">
        <v>0</v>
      </c>
      <c r="J577">
        <v>53.400000000000006</v>
      </c>
      <c r="K577" t="s">
        <v>715</v>
      </c>
      <c r="L577" t="s">
        <v>1603</v>
      </c>
    </row>
    <row r="578" spans="1:12">
      <c r="A578">
        <v>576</v>
      </c>
      <c r="B578" t="s">
        <v>3</v>
      </c>
      <c r="C578" t="s">
        <v>716</v>
      </c>
      <c r="D578">
        <v>2020</v>
      </c>
      <c r="E578">
        <v>2</v>
      </c>
      <c r="F578">
        <v>40</v>
      </c>
      <c r="G578">
        <v>2</v>
      </c>
      <c r="H578">
        <v>10</v>
      </c>
      <c r="I578">
        <v>0</v>
      </c>
      <c r="J578">
        <v>53.39</v>
      </c>
      <c r="K578" t="s">
        <v>715</v>
      </c>
      <c r="L578" t="s">
        <v>1604</v>
      </c>
    </row>
    <row r="579" spans="1:12">
      <c r="A579">
        <v>577</v>
      </c>
      <c r="B579" t="s">
        <v>3</v>
      </c>
      <c r="C579" t="s">
        <v>716</v>
      </c>
      <c r="D579">
        <v>2020</v>
      </c>
      <c r="E579">
        <v>2</v>
      </c>
      <c r="F579">
        <v>41</v>
      </c>
      <c r="G579">
        <v>2</v>
      </c>
      <c r="H579">
        <v>10</v>
      </c>
      <c r="I579">
        <v>0</v>
      </c>
      <c r="J579">
        <v>9.3800000000000008</v>
      </c>
      <c r="K579" t="s">
        <v>715</v>
      </c>
      <c r="L579" t="s">
        <v>1605</v>
      </c>
    </row>
    <row r="580" spans="1:12">
      <c r="A580">
        <v>578</v>
      </c>
      <c r="B580" t="s">
        <v>3</v>
      </c>
      <c r="C580" t="s">
        <v>716</v>
      </c>
      <c r="D580">
        <v>2020</v>
      </c>
      <c r="E580">
        <v>3</v>
      </c>
      <c r="F580">
        <v>8</v>
      </c>
      <c r="G580">
        <v>2</v>
      </c>
      <c r="H580">
        <v>14</v>
      </c>
      <c r="I580">
        <v>0</v>
      </c>
      <c r="J580">
        <v>-7430</v>
      </c>
      <c r="K580" t="s">
        <v>715</v>
      </c>
      <c r="L580" t="s">
        <v>1611</v>
      </c>
    </row>
    <row r="581" spans="1:12">
      <c r="A581">
        <v>579</v>
      </c>
      <c r="B581" t="s">
        <v>3</v>
      </c>
      <c r="C581" t="s">
        <v>716</v>
      </c>
      <c r="D581">
        <v>2020</v>
      </c>
      <c r="E581">
        <v>4</v>
      </c>
      <c r="F581">
        <v>28</v>
      </c>
      <c r="G581">
        <v>2</v>
      </c>
      <c r="H581">
        <v>18</v>
      </c>
      <c r="I581">
        <v>0</v>
      </c>
      <c r="J581">
        <v>1000</v>
      </c>
      <c r="K581" t="s">
        <v>715</v>
      </c>
      <c r="L581" t="s">
        <v>1643</v>
      </c>
    </row>
    <row r="582" spans="1:12">
      <c r="A582">
        <v>580</v>
      </c>
      <c r="B582" t="s">
        <v>3</v>
      </c>
      <c r="C582" t="s">
        <v>716</v>
      </c>
      <c r="D582">
        <v>2020</v>
      </c>
      <c r="E582">
        <v>4</v>
      </c>
      <c r="F582">
        <v>40</v>
      </c>
      <c r="G582">
        <v>2</v>
      </c>
      <c r="H582">
        <v>18</v>
      </c>
      <c r="I582">
        <v>0</v>
      </c>
      <c r="J582">
        <v>35.31</v>
      </c>
      <c r="K582" t="s">
        <v>715</v>
      </c>
      <c r="L582" t="s">
        <v>1603</v>
      </c>
    </row>
    <row r="583" spans="1:12">
      <c r="A583">
        <v>581</v>
      </c>
      <c r="B583" t="s">
        <v>3</v>
      </c>
      <c r="C583" t="s">
        <v>716</v>
      </c>
      <c r="D583">
        <v>2020</v>
      </c>
      <c r="E583">
        <v>4</v>
      </c>
      <c r="F583">
        <v>40</v>
      </c>
      <c r="G583">
        <v>2</v>
      </c>
      <c r="H583">
        <v>18</v>
      </c>
      <c r="I583">
        <v>0</v>
      </c>
      <c r="J583">
        <v>35.300000000000004</v>
      </c>
      <c r="K583" t="s">
        <v>715</v>
      </c>
      <c r="L583" t="s">
        <v>1604</v>
      </c>
    </row>
    <row r="584" spans="1:12">
      <c r="A584">
        <v>582</v>
      </c>
      <c r="B584" t="s">
        <v>3</v>
      </c>
      <c r="C584" t="s">
        <v>716</v>
      </c>
      <c r="D584">
        <v>2020</v>
      </c>
      <c r="E584">
        <v>4</v>
      </c>
      <c r="F584">
        <v>41</v>
      </c>
      <c r="G584">
        <v>2</v>
      </c>
      <c r="H584">
        <v>18</v>
      </c>
      <c r="I584">
        <v>0</v>
      </c>
      <c r="J584">
        <v>6.21</v>
      </c>
      <c r="K584" t="s">
        <v>715</v>
      </c>
      <c r="L584" t="s">
        <v>1605</v>
      </c>
    </row>
    <row r="585" spans="1:12">
      <c r="A585">
        <v>583</v>
      </c>
      <c r="B585" t="s">
        <v>3</v>
      </c>
      <c r="C585" t="s">
        <v>716</v>
      </c>
      <c r="D585">
        <v>2020</v>
      </c>
      <c r="E585">
        <v>4</v>
      </c>
      <c r="F585">
        <v>45</v>
      </c>
      <c r="G585">
        <v>2</v>
      </c>
      <c r="H585">
        <v>18</v>
      </c>
      <c r="I585">
        <v>0</v>
      </c>
      <c r="J585">
        <v>12719.86</v>
      </c>
      <c r="K585" t="s">
        <v>715</v>
      </c>
      <c r="L585" t="s">
        <v>1606</v>
      </c>
    </row>
    <row r="586" spans="1:12">
      <c r="A586">
        <v>584</v>
      </c>
      <c r="B586" t="s">
        <v>3</v>
      </c>
      <c r="C586" t="s">
        <v>718</v>
      </c>
      <c r="D586">
        <v>2017</v>
      </c>
      <c r="E586">
        <v>2</v>
      </c>
      <c r="F586">
        <v>45</v>
      </c>
      <c r="G586">
        <v>5</v>
      </c>
      <c r="H586">
        <v>13</v>
      </c>
      <c r="I586">
        <v>0</v>
      </c>
      <c r="J586">
        <v>32473</v>
      </c>
      <c r="K586" t="s">
        <v>717</v>
      </c>
      <c r="L586" t="s">
        <v>1606</v>
      </c>
    </row>
    <row r="587" spans="1:12">
      <c r="A587">
        <v>585</v>
      </c>
      <c r="B587" t="s">
        <v>3</v>
      </c>
      <c r="C587" t="s">
        <v>718</v>
      </c>
      <c r="D587">
        <v>2017</v>
      </c>
      <c r="E587">
        <v>4</v>
      </c>
      <c r="F587">
        <v>11</v>
      </c>
      <c r="G587">
        <v>5</v>
      </c>
      <c r="H587">
        <v>21</v>
      </c>
      <c r="I587">
        <v>0</v>
      </c>
      <c r="J587">
        <v>-120293.57</v>
      </c>
      <c r="K587" t="s">
        <v>717</v>
      </c>
      <c r="L587" t="s">
        <v>1607</v>
      </c>
    </row>
    <row r="588" spans="1:12">
      <c r="A588">
        <v>586</v>
      </c>
      <c r="B588" t="s">
        <v>3</v>
      </c>
      <c r="C588" t="s">
        <v>718</v>
      </c>
      <c r="D588">
        <v>2017</v>
      </c>
      <c r="E588">
        <v>4</v>
      </c>
      <c r="F588">
        <v>45</v>
      </c>
      <c r="G588">
        <v>5</v>
      </c>
      <c r="H588">
        <v>21</v>
      </c>
      <c r="I588">
        <v>0</v>
      </c>
      <c r="J588">
        <v>30538.400000000001</v>
      </c>
      <c r="K588" t="s">
        <v>717</v>
      </c>
      <c r="L588" t="s">
        <v>1606</v>
      </c>
    </row>
    <row r="589" spans="1:12">
      <c r="A589">
        <v>587</v>
      </c>
      <c r="B589" t="s">
        <v>3</v>
      </c>
      <c r="C589" t="s">
        <v>718</v>
      </c>
      <c r="D589">
        <v>2018</v>
      </c>
      <c r="E589">
        <v>1</v>
      </c>
      <c r="F589">
        <v>45</v>
      </c>
      <c r="G589">
        <v>4</v>
      </c>
      <c r="H589">
        <v>8</v>
      </c>
      <c r="I589">
        <v>0</v>
      </c>
      <c r="J589">
        <v>46279</v>
      </c>
      <c r="K589" t="s">
        <v>717</v>
      </c>
      <c r="L589" t="s">
        <v>1606</v>
      </c>
    </row>
    <row r="590" spans="1:12">
      <c r="A590">
        <v>588</v>
      </c>
      <c r="B590" t="s">
        <v>3</v>
      </c>
      <c r="C590" t="s">
        <v>718</v>
      </c>
      <c r="D590">
        <v>2018</v>
      </c>
      <c r="E590">
        <v>4</v>
      </c>
      <c r="F590">
        <v>11</v>
      </c>
      <c r="G590">
        <v>4</v>
      </c>
      <c r="H590">
        <v>20</v>
      </c>
      <c r="I590">
        <v>0</v>
      </c>
      <c r="J590">
        <v>-128949.1</v>
      </c>
      <c r="K590" t="s">
        <v>717</v>
      </c>
      <c r="L590" t="s">
        <v>1607</v>
      </c>
    </row>
    <row r="591" spans="1:12">
      <c r="A591">
        <v>589</v>
      </c>
      <c r="B591" t="s">
        <v>3</v>
      </c>
      <c r="C591" t="s">
        <v>718</v>
      </c>
      <c r="D591">
        <v>2018</v>
      </c>
      <c r="E591">
        <v>4</v>
      </c>
      <c r="F591">
        <v>45</v>
      </c>
      <c r="G591">
        <v>4</v>
      </c>
      <c r="H591">
        <v>20</v>
      </c>
      <c r="I591">
        <v>0</v>
      </c>
      <c r="J591">
        <v>12737.709999999997</v>
      </c>
      <c r="K591" t="s">
        <v>717</v>
      </c>
      <c r="L591" t="s">
        <v>1606</v>
      </c>
    </row>
    <row r="592" spans="1:12">
      <c r="A592">
        <v>590</v>
      </c>
      <c r="B592" t="s">
        <v>3</v>
      </c>
      <c r="C592" t="s">
        <v>718</v>
      </c>
      <c r="D592">
        <v>2019</v>
      </c>
      <c r="E592">
        <v>1</v>
      </c>
      <c r="F592">
        <v>45</v>
      </c>
      <c r="G592">
        <v>3</v>
      </c>
      <c r="H592">
        <v>7</v>
      </c>
      <c r="I592">
        <v>0</v>
      </c>
      <c r="J592">
        <v>121556.97900000001</v>
      </c>
      <c r="K592" t="s">
        <v>717</v>
      </c>
      <c r="L592" t="s">
        <v>1606</v>
      </c>
    </row>
    <row r="593" spans="1:12">
      <c r="A593">
        <v>591</v>
      </c>
      <c r="B593" t="s">
        <v>3</v>
      </c>
      <c r="C593" t="s">
        <v>718</v>
      </c>
      <c r="D593">
        <v>2019</v>
      </c>
      <c r="E593">
        <v>3</v>
      </c>
      <c r="F593">
        <v>45</v>
      </c>
      <c r="G593">
        <v>3</v>
      </c>
      <c r="H593">
        <v>15</v>
      </c>
      <c r="I593">
        <v>0</v>
      </c>
      <c r="J593">
        <v>8094</v>
      </c>
      <c r="K593" t="s">
        <v>717</v>
      </c>
      <c r="L593" t="s">
        <v>1606</v>
      </c>
    </row>
    <row r="594" spans="1:12">
      <c r="A594">
        <v>592</v>
      </c>
      <c r="B594" t="s">
        <v>3</v>
      </c>
      <c r="C594" t="s">
        <v>718</v>
      </c>
      <c r="D594">
        <v>2019</v>
      </c>
      <c r="E594">
        <v>4</v>
      </c>
      <c r="F594">
        <v>11</v>
      </c>
      <c r="G594">
        <v>3</v>
      </c>
      <c r="H594">
        <v>19</v>
      </c>
      <c r="I594">
        <v>0</v>
      </c>
      <c r="J594">
        <v>-127865.01000000001</v>
      </c>
      <c r="K594" t="s">
        <v>717</v>
      </c>
      <c r="L594" t="s">
        <v>1607</v>
      </c>
    </row>
    <row r="595" spans="1:12">
      <c r="A595">
        <v>593</v>
      </c>
      <c r="B595" t="s">
        <v>3</v>
      </c>
      <c r="C595" t="s">
        <v>718</v>
      </c>
      <c r="D595">
        <v>2019</v>
      </c>
      <c r="E595">
        <v>4</v>
      </c>
      <c r="F595">
        <v>45</v>
      </c>
      <c r="G595">
        <v>3</v>
      </c>
      <c r="H595">
        <v>19</v>
      </c>
      <c r="I595">
        <v>0</v>
      </c>
      <c r="J595">
        <v>9217.16</v>
      </c>
      <c r="K595" t="s">
        <v>717</v>
      </c>
      <c r="L595" t="s">
        <v>1606</v>
      </c>
    </row>
    <row r="596" spans="1:12">
      <c r="A596">
        <v>594</v>
      </c>
      <c r="B596" t="s">
        <v>3</v>
      </c>
      <c r="C596" t="s">
        <v>718</v>
      </c>
      <c r="D596">
        <v>2020</v>
      </c>
      <c r="E596">
        <v>1</v>
      </c>
      <c r="F596">
        <v>45</v>
      </c>
      <c r="G596">
        <v>2</v>
      </c>
      <c r="H596">
        <v>6</v>
      </c>
      <c r="I596">
        <v>0</v>
      </c>
      <c r="J596">
        <v>50248</v>
      </c>
      <c r="K596" t="s">
        <v>717</v>
      </c>
      <c r="L596" t="s">
        <v>1606</v>
      </c>
    </row>
    <row r="597" spans="1:12">
      <c r="A597">
        <v>595</v>
      </c>
      <c r="B597" t="s">
        <v>3</v>
      </c>
      <c r="C597" t="s">
        <v>718</v>
      </c>
      <c r="D597">
        <v>2020</v>
      </c>
      <c r="E597">
        <v>4</v>
      </c>
      <c r="F597">
        <v>11</v>
      </c>
      <c r="G597">
        <v>2</v>
      </c>
      <c r="H597">
        <v>18</v>
      </c>
      <c r="I597">
        <v>0</v>
      </c>
      <c r="J597">
        <v>-145177.84000000003</v>
      </c>
      <c r="K597" t="s">
        <v>717</v>
      </c>
      <c r="L597" t="s">
        <v>1607</v>
      </c>
    </row>
    <row r="598" spans="1:12">
      <c r="A598">
        <v>596</v>
      </c>
      <c r="B598" t="s">
        <v>3</v>
      </c>
      <c r="C598" t="s">
        <v>718</v>
      </c>
      <c r="D598">
        <v>2020</v>
      </c>
      <c r="E598">
        <v>4</v>
      </c>
      <c r="F598">
        <v>45</v>
      </c>
      <c r="G598">
        <v>2</v>
      </c>
      <c r="H598">
        <v>18</v>
      </c>
      <c r="I598">
        <v>0</v>
      </c>
      <c r="J598">
        <v>66006.240000000005</v>
      </c>
      <c r="K598" t="s">
        <v>717</v>
      </c>
      <c r="L598" t="s">
        <v>1606</v>
      </c>
    </row>
    <row r="599" spans="1:12">
      <c r="A599">
        <v>597</v>
      </c>
      <c r="B599" t="s">
        <v>3</v>
      </c>
      <c r="C599" t="s">
        <v>720</v>
      </c>
      <c r="D599">
        <v>2017</v>
      </c>
      <c r="E599">
        <v>1</v>
      </c>
      <c r="F599">
        <v>8</v>
      </c>
      <c r="G599">
        <v>5</v>
      </c>
      <c r="H599">
        <v>9</v>
      </c>
      <c r="I599">
        <v>-5327</v>
      </c>
      <c r="J599">
        <v>-2664</v>
      </c>
      <c r="K599" t="s">
        <v>719</v>
      </c>
      <c r="L599" t="s">
        <v>1599</v>
      </c>
    </row>
    <row r="600" spans="1:12">
      <c r="A600">
        <v>598</v>
      </c>
      <c r="B600" t="s">
        <v>3</v>
      </c>
      <c r="C600" t="s">
        <v>720</v>
      </c>
      <c r="D600">
        <v>2017</v>
      </c>
      <c r="E600">
        <v>1</v>
      </c>
      <c r="F600">
        <v>32</v>
      </c>
      <c r="G600">
        <v>5</v>
      </c>
      <c r="H600">
        <v>9</v>
      </c>
      <c r="I600">
        <v>5000</v>
      </c>
      <c r="J600">
        <v>0</v>
      </c>
      <c r="K600" t="s">
        <v>719</v>
      </c>
      <c r="L600" t="s">
        <v>1649</v>
      </c>
    </row>
    <row r="601" spans="1:12">
      <c r="A601">
        <v>599</v>
      </c>
      <c r="B601" t="s">
        <v>3</v>
      </c>
      <c r="C601" t="s">
        <v>720</v>
      </c>
      <c r="D601">
        <v>2017</v>
      </c>
      <c r="E601">
        <v>1</v>
      </c>
      <c r="F601">
        <v>40</v>
      </c>
      <c r="G601">
        <v>5</v>
      </c>
      <c r="H601">
        <v>9</v>
      </c>
      <c r="I601">
        <v>302</v>
      </c>
      <c r="J601">
        <v>0</v>
      </c>
      <c r="K601" t="s">
        <v>719</v>
      </c>
      <c r="L601" t="s">
        <v>1603</v>
      </c>
    </row>
    <row r="602" spans="1:12">
      <c r="A602">
        <v>600</v>
      </c>
      <c r="B602" t="s">
        <v>3</v>
      </c>
      <c r="C602" t="s">
        <v>720</v>
      </c>
      <c r="D602">
        <v>2017</v>
      </c>
      <c r="E602">
        <v>1</v>
      </c>
      <c r="F602">
        <v>41</v>
      </c>
      <c r="G602">
        <v>5</v>
      </c>
      <c r="H602">
        <v>9</v>
      </c>
      <c r="I602">
        <v>25</v>
      </c>
      <c r="J602">
        <v>0</v>
      </c>
      <c r="K602" t="s">
        <v>719</v>
      </c>
      <c r="L602" t="s">
        <v>1605</v>
      </c>
    </row>
    <row r="603" spans="1:12">
      <c r="A603">
        <v>601</v>
      </c>
      <c r="B603" t="s">
        <v>3</v>
      </c>
      <c r="C603" t="s">
        <v>720</v>
      </c>
      <c r="D603">
        <v>2017</v>
      </c>
      <c r="E603">
        <v>2</v>
      </c>
      <c r="F603">
        <v>32</v>
      </c>
      <c r="G603">
        <v>5</v>
      </c>
      <c r="H603">
        <v>13</v>
      </c>
      <c r="I603">
        <v>0</v>
      </c>
      <c r="J603">
        <v>126.42</v>
      </c>
      <c r="K603" t="s">
        <v>719</v>
      </c>
      <c r="L603" t="s">
        <v>1623</v>
      </c>
    </row>
    <row r="604" spans="1:12">
      <c r="A604">
        <v>602</v>
      </c>
      <c r="B604" t="s">
        <v>3</v>
      </c>
      <c r="C604" t="s">
        <v>720</v>
      </c>
      <c r="D604">
        <v>2017</v>
      </c>
      <c r="E604">
        <v>2</v>
      </c>
      <c r="F604">
        <v>40</v>
      </c>
      <c r="G604">
        <v>5</v>
      </c>
      <c r="H604">
        <v>13</v>
      </c>
      <c r="I604">
        <v>0</v>
      </c>
      <c r="J604">
        <v>3.82</v>
      </c>
      <c r="K604" t="s">
        <v>719</v>
      </c>
      <c r="L604" t="s">
        <v>1603</v>
      </c>
    </row>
    <row r="605" spans="1:12">
      <c r="A605">
        <v>603</v>
      </c>
      <c r="B605" t="s">
        <v>3</v>
      </c>
      <c r="C605" t="s">
        <v>720</v>
      </c>
      <c r="D605">
        <v>2017</v>
      </c>
      <c r="E605">
        <v>2</v>
      </c>
      <c r="F605">
        <v>40</v>
      </c>
      <c r="G605">
        <v>5</v>
      </c>
      <c r="H605">
        <v>13</v>
      </c>
      <c r="I605">
        <v>0</v>
      </c>
      <c r="J605">
        <v>3.82</v>
      </c>
      <c r="K605" t="s">
        <v>719</v>
      </c>
      <c r="L605" t="s">
        <v>1604</v>
      </c>
    </row>
    <row r="606" spans="1:12">
      <c r="A606">
        <v>604</v>
      </c>
      <c r="B606" t="s">
        <v>3</v>
      </c>
      <c r="C606" t="s">
        <v>720</v>
      </c>
      <c r="D606">
        <v>2017</v>
      </c>
      <c r="E606">
        <v>2</v>
      </c>
      <c r="F606">
        <v>41</v>
      </c>
      <c r="G606">
        <v>5</v>
      </c>
      <c r="H606">
        <v>13</v>
      </c>
      <c r="I606">
        <v>0</v>
      </c>
      <c r="J606">
        <v>0.63</v>
      </c>
      <c r="K606" t="s">
        <v>719</v>
      </c>
      <c r="L606" t="s">
        <v>1605</v>
      </c>
    </row>
    <row r="607" spans="1:12">
      <c r="A607">
        <v>605</v>
      </c>
      <c r="B607" t="s">
        <v>3</v>
      </c>
      <c r="C607" t="s">
        <v>720</v>
      </c>
      <c r="D607">
        <v>2017</v>
      </c>
      <c r="E607">
        <v>3</v>
      </c>
      <c r="F607">
        <v>8</v>
      </c>
      <c r="G607">
        <v>5</v>
      </c>
      <c r="H607">
        <v>17</v>
      </c>
      <c r="I607">
        <v>0</v>
      </c>
      <c r="J607">
        <v>-2663</v>
      </c>
      <c r="K607" t="s">
        <v>719</v>
      </c>
      <c r="L607" t="s">
        <v>1599</v>
      </c>
    </row>
    <row r="608" spans="1:12">
      <c r="A608">
        <v>606</v>
      </c>
      <c r="B608" t="s">
        <v>3</v>
      </c>
      <c r="C608" t="s">
        <v>720</v>
      </c>
      <c r="D608">
        <v>2017</v>
      </c>
      <c r="E608">
        <v>4</v>
      </c>
      <c r="F608">
        <v>45</v>
      </c>
      <c r="G608">
        <v>5</v>
      </c>
      <c r="H608">
        <v>21</v>
      </c>
      <c r="I608">
        <v>0</v>
      </c>
      <c r="J608">
        <v>5192.3100000000004</v>
      </c>
      <c r="K608" t="s">
        <v>719</v>
      </c>
      <c r="L608" t="s">
        <v>1606</v>
      </c>
    </row>
    <row r="609" spans="1:12">
      <c r="A609">
        <v>607</v>
      </c>
      <c r="B609" t="s">
        <v>3</v>
      </c>
      <c r="C609" t="s">
        <v>720</v>
      </c>
      <c r="D609">
        <v>2018</v>
      </c>
      <c r="E609">
        <v>1</v>
      </c>
      <c r="F609">
        <v>8</v>
      </c>
      <c r="G609">
        <v>4</v>
      </c>
      <c r="H609">
        <v>8</v>
      </c>
      <c r="I609">
        <v>-5327</v>
      </c>
      <c r="J609">
        <v>-2663</v>
      </c>
      <c r="K609" t="s">
        <v>719</v>
      </c>
      <c r="L609" t="s">
        <v>1599</v>
      </c>
    </row>
    <row r="610" spans="1:12">
      <c r="A610">
        <v>608</v>
      </c>
      <c r="B610" t="s">
        <v>3</v>
      </c>
      <c r="C610" t="s">
        <v>720</v>
      </c>
      <c r="D610">
        <v>2018</v>
      </c>
      <c r="E610">
        <v>1</v>
      </c>
      <c r="F610">
        <v>26</v>
      </c>
      <c r="G610">
        <v>4</v>
      </c>
      <c r="H610">
        <v>8</v>
      </c>
      <c r="I610">
        <v>0</v>
      </c>
      <c r="J610">
        <v>750</v>
      </c>
      <c r="K610" t="s">
        <v>719</v>
      </c>
      <c r="L610" t="s">
        <v>1650</v>
      </c>
    </row>
    <row r="611" spans="1:12">
      <c r="A611">
        <v>609</v>
      </c>
      <c r="B611" t="s">
        <v>3</v>
      </c>
      <c r="C611" t="s">
        <v>720</v>
      </c>
      <c r="D611">
        <v>2018</v>
      </c>
      <c r="E611">
        <v>1</v>
      </c>
      <c r="F611">
        <v>32</v>
      </c>
      <c r="G611">
        <v>4</v>
      </c>
      <c r="H611">
        <v>8</v>
      </c>
      <c r="I611">
        <v>5000</v>
      </c>
      <c r="J611">
        <v>0</v>
      </c>
      <c r="K611" t="s">
        <v>719</v>
      </c>
      <c r="L611" t="s">
        <v>1649</v>
      </c>
    </row>
    <row r="612" spans="1:12">
      <c r="A612">
        <v>610</v>
      </c>
      <c r="B612" t="s">
        <v>3</v>
      </c>
      <c r="C612" t="s">
        <v>720</v>
      </c>
      <c r="D612">
        <v>2018</v>
      </c>
      <c r="E612">
        <v>1</v>
      </c>
      <c r="F612">
        <v>32</v>
      </c>
      <c r="G612">
        <v>4</v>
      </c>
      <c r="H612">
        <v>8</v>
      </c>
      <c r="I612">
        <v>0</v>
      </c>
      <c r="J612">
        <v>1066.98</v>
      </c>
      <c r="K612" t="s">
        <v>719</v>
      </c>
      <c r="L612" t="s">
        <v>1651</v>
      </c>
    </row>
    <row r="613" spans="1:12">
      <c r="A613">
        <v>611</v>
      </c>
      <c r="B613" t="s">
        <v>3</v>
      </c>
      <c r="C613" t="s">
        <v>720</v>
      </c>
      <c r="D613">
        <v>2018</v>
      </c>
      <c r="E613">
        <v>1</v>
      </c>
      <c r="F613">
        <v>33</v>
      </c>
      <c r="G613">
        <v>4</v>
      </c>
      <c r="H613">
        <v>8</v>
      </c>
      <c r="I613">
        <v>0</v>
      </c>
      <c r="J613">
        <v>533.49</v>
      </c>
      <c r="K613" t="s">
        <v>719</v>
      </c>
      <c r="L613" t="s">
        <v>1652</v>
      </c>
    </row>
    <row r="614" spans="1:12">
      <c r="A614">
        <v>612</v>
      </c>
      <c r="B614" t="s">
        <v>3</v>
      </c>
      <c r="C614" t="s">
        <v>720</v>
      </c>
      <c r="D614">
        <v>2018</v>
      </c>
      <c r="E614">
        <v>1</v>
      </c>
      <c r="F614">
        <v>40</v>
      </c>
      <c r="G614">
        <v>4</v>
      </c>
      <c r="H614">
        <v>8</v>
      </c>
      <c r="I614">
        <v>302</v>
      </c>
      <c r="J614">
        <v>73.92</v>
      </c>
      <c r="K614" t="s">
        <v>719</v>
      </c>
      <c r="L614" t="s">
        <v>1603</v>
      </c>
    </row>
    <row r="615" spans="1:12">
      <c r="A615">
        <v>613</v>
      </c>
      <c r="B615" t="s">
        <v>3</v>
      </c>
      <c r="C615" t="s">
        <v>720</v>
      </c>
      <c r="D615">
        <v>2018</v>
      </c>
      <c r="E615">
        <v>1</v>
      </c>
      <c r="F615">
        <v>40</v>
      </c>
      <c r="G615">
        <v>4</v>
      </c>
      <c r="H615">
        <v>8</v>
      </c>
      <c r="I615">
        <v>0</v>
      </c>
      <c r="J615">
        <v>73.930000000000007</v>
      </c>
      <c r="K615" t="s">
        <v>719</v>
      </c>
      <c r="L615" t="s">
        <v>1604</v>
      </c>
    </row>
    <row r="616" spans="1:12">
      <c r="A616">
        <v>614</v>
      </c>
      <c r="B616" t="s">
        <v>3</v>
      </c>
      <c r="C616" t="s">
        <v>720</v>
      </c>
      <c r="D616">
        <v>2018</v>
      </c>
      <c r="E616">
        <v>1</v>
      </c>
      <c r="F616">
        <v>41</v>
      </c>
      <c r="G616">
        <v>4</v>
      </c>
      <c r="H616">
        <v>8</v>
      </c>
      <c r="I616">
        <v>25</v>
      </c>
      <c r="J616">
        <v>11.99</v>
      </c>
      <c r="K616" t="s">
        <v>719</v>
      </c>
      <c r="L616" t="s">
        <v>1605</v>
      </c>
    </row>
    <row r="617" spans="1:12">
      <c r="A617">
        <v>615</v>
      </c>
      <c r="B617" t="s">
        <v>3</v>
      </c>
      <c r="C617" t="s">
        <v>720</v>
      </c>
      <c r="D617">
        <v>2018</v>
      </c>
      <c r="E617">
        <v>3</v>
      </c>
      <c r="F617">
        <v>8</v>
      </c>
      <c r="G617">
        <v>4</v>
      </c>
      <c r="H617">
        <v>16</v>
      </c>
      <c r="I617">
        <v>0</v>
      </c>
      <c r="J617">
        <v>-2664</v>
      </c>
      <c r="K617" t="s">
        <v>719</v>
      </c>
      <c r="L617" t="s">
        <v>1599</v>
      </c>
    </row>
    <row r="618" spans="1:12">
      <c r="A618">
        <v>616</v>
      </c>
      <c r="B618" t="s">
        <v>3</v>
      </c>
      <c r="C618" t="s">
        <v>720</v>
      </c>
      <c r="D618">
        <v>2018</v>
      </c>
      <c r="E618">
        <v>4</v>
      </c>
      <c r="F618">
        <v>45</v>
      </c>
      <c r="G618">
        <v>4</v>
      </c>
      <c r="H618">
        <v>20</v>
      </c>
      <c r="I618">
        <v>0</v>
      </c>
      <c r="J618">
        <v>2816.69</v>
      </c>
      <c r="K618" t="s">
        <v>719</v>
      </c>
      <c r="L618" t="s">
        <v>1606</v>
      </c>
    </row>
    <row r="619" spans="1:12">
      <c r="A619">
        <v>617</v>
      </c>
      <c r="B619" t="s">
        <v>3</v>
      </c>
      <c r="C619" t="s">
        <v>720</v>
      </c>
      <c r="D619">
        <v>2019</v>
      </c>
      <c r="E619">
        <v>1</v>
      </c>
      <c r="F619">
        <v>8</v>
      </c>
      <c r="G619">
        <v>3</v>
      </c>
      <c r="H619">
        <v>7</v>
      </c>
      <c r="I619">
        <v>-5340</v>
      </c>
      <c r="J619">
        <v>-2670</v>
      </c>
      <c r="K619" t="s">
        <v>719</v>
      </c>
      <c r="L619" t="s">
        <v>1599</v>
      </c>
    </row>
    <row r="620" spans="1:12">
      <c r="A620">
        <v>618</v>
      </c>
      <c r="B620" t="s">
        <v>3</v>
      </c>
      <c r="C620" t="s">
        <v>720</v>
      </c>
      <c r="D620">
        <v>2019</v>
      </c>
      <c r="E620">
        <v>1</v>
      </c>
      <c r="F620">
        <v>29</v>
      </c>
      <c r="G620">
        <v>3</v>
      </c>
      <c r="H620">
        <v>7</v>
      </c>
      <c r="I620">
        <v>0</v>
      </c>
      <c r="J620">
        <v>880</v>
      </c>
      <c r="K620" t="s">
        <v>719</v>
      </c>
      <c r="L620" t="s">
        <v>1653</v>
      </c>
    </row>
    <row r="621" spans="1:12">
      <c r="A621">
        <v>619</v>
      </c>
      <c r="B621" t="s">
        <v>3</v>
      </c>
      <c r="C621" t="s">
        <v>720</v>
      </c>
      <c r="D621">
        <v>2019</v>
      </c>
      <c r="E621">
        <v>1</v>
      </c>
      <c r="F621">
        <v>32</v>
      </c>
      <c r="G621">
        <v>3</v>
      </c>
      <c r="H621">
        <v>7</v>
      </c>
      <c r="I621">
        <v>5000</v>
      </c>
      <c r="J621">
        <v>0</v>
      </c>
      <c r="K621" t="s">
        <v>719</v>
      </c>
      <c r="L621" t="s">
        <v>1649</v>
      </c>
    </row>
    <row r="622" spans="1:12">
      <c r="A622">
        <v>620</v>
      </c>
      <c r="B622" t="s">
        <v>3</v>
      </c>
      <c r="C622" t="s">
        <v>720</v>
      </c>
      <c r="D622">
        <v>2019</v>
      </c>
      <c r="E622">
        <v>1</v>
      </c>
      <c r="F622">
        <v>32</v>
      </c>
      <c r="G622">
        <v>3</v>
      </c>
      <c r="H622">
        <v>7</v>
      </c>
      <c r="I622">
        <v>0</v>
      </c>
      <c r="J622">
        <v>583.01</v>
      </c>
      <c r="K622" t="s">
        <v>719</v>
      </c>
      <c r="L622" t="s">
        <v>1651</v>
      </c>
    </row>
    <row r="623" spans="1:12">
      <c r="A623">
        <v>621</v>
      </c>
      <c r="B623" t="s">
        <v>3</v>
      </c>
      <c r="C623" t="s">
        <v>720</v>
      </c>
      <c r="D623">
        <v>2019</v>
      </c>
      <c r="E623">
        <v>1</v>
      </c>
      <c r="F623">
        <v>33</v>
      </c>
      <c r="G623">
        <v>3</v>
      </c>
      <c r="H623">
        <v>7</v>
      </c>
      <c r="I623">
        <v>0</v>
      </c>
      <c r="J623">
        <v>469.52</v>
      </c>
      <c r="K623" t="s">
        <v>719</v>
      </c>
      <c r="L623" t="s">
        <v>1652</v>
      </c>
    </row>
    <row r="624" spans="1:12">
      <c r="A624">
        <v>622</v>
      </c>
      <c r="B624" t="s">
        <v>3</v>
      </c>
      <c r="C624" t="s">
        <v>720</v>
      </c>
      <c r="D624">
        <v>2019</v>
      </c>
      <c r="E624">
        <v>1</v>
      </c>
      <c r="F624">
        <v>40</v>
      </c>
      <c r="G624">
        <v>3</v>
      </c>
      <c r="H624">
        <v>7</v>
      </c>
      <c r="I624">
        <v>314</v>
      </c>
      <c r="J624">
        <v>65.320000000000007</v>
      </c>
      <c r="K624" t="s">
        <v>719</v>
      </c>
      <c r="L624" t="s">
        <v>1603</v>
      </c>
    </row>
    <row r="625" spans="1:12">
      <c r="A625">
        <v>623</v>
      </c>
      <c r="B625" t="s">
        <v>3</v>
      </c>
      <c r="C625" t="s">
        <v>720</v>
      </c>
      <c r="D625">
        <v>2019</v>
      </c>
      <c r="E625">
        <v>1</v>
      </c>
      <c r="F625">
        <v>40</v>
      </c>
      <c r="G625">
        <v>3</v>
      </c>
      <c r="H625">
        <v>7</v>
      </c>
      <c r="I625">
        <v>0</v>
      </c>
      <c r="J625">
        <v>65.319999999999993</v>
      </c>
      <c r="K625" t="s">
        <v>719</v>
      </c>
      <c r="L625" t="s">
        <v>1604</v>
      </c>
    </row>
    <row r="626" spans="1:12">
      <c r="A626">
        <v>624</v>
      </c>
      <c r="B626" t="s">
        <v>3</v>
      </c>
      <c r="C626" t="s">
        <v>720</v>
      </c>
      <c r="D626">
        <v>2019</v>
      </c>
      <c r="E626">
        <v>1</v>
      </c>
      <c r="F626">
        <v>41</v>
      </c>
      <c r="G626">
        <v>3</v>
      </c>
      <c r="H626">
        <v>7</v>
      </c>
      <c r="I626">
        <v>26</v>
      </c>
      <c r="J626">
        <v>11.99</v>
      </c>
      <c r="K626" t="s">
        <v>719</v>
      </c>
      <c r="L626" t="s">
        <v>1605</v>
      </c>
    </row>
    <row r="627" spans="1:12">
      <c r="A627">
        <v>625</v>
      </c>
      <c r="B627" t="s">
        <v>3</v>
      </c>
      <c r="C627" t="s">
        <v>720</v>
      </c>
      <c r="D627">
        <v>2019</v>
      </c>
      <c r="E627">
        <v>3</v>
      </c>
      <c r="F627">
        <v>8</v>
      </c>
      <c r="G627">
        <v>3</v>
      </c>
      <c r="H627">
        <v>15</v>
      </c>
      <c r="I627">
        <v>0</v>
      </c>
      <c r="J627">
        <v>-2670</v>
      </c>
      <c r="K627" t="s">
        <v>719</v>
      </c>
      <c r="L627" t="s">
        <v>1599</v>
      </c>
    </row>
    <row r="628" spans="1:12">
      <c r="A628">
        <v>626</v>
      </c>
      <c r="B628" t="s">
        <v>3</v>
      </c>
      <c r="C628" t="s">
        <v>720</v>
      </c>
      <c r="D628">
        <v>2019</v>
      </c>
      <c r="E628">
        <v>4</v>
      </c>
      <c r="F628">
        <v>33</v>
      </c>
      <c r="G628">
        <v>3</v>
      </c>
      <c r="H628">
        <v>19</v>
      </c>
      <c r="I628">
        <v>0</v>
      </c>
      <c r="J628">
        <v>234.55</v>
      </c>
      <c r="K628" t="s">
        <v>719</v>
      </c>
      <c r="L628" t="s">
        <v>1652</v>
      </c>
    </row>
    <row r="629" spans="1:12">
      <c r="A629">
        <v>627</v>
      </c>
      <c r="B629" t="s">
        <v>3</v>
      </c>
      <c r="C629" t="s">
        <v>720</v>
      </c>
      <c r="D629">
        <v>2019</v>
      </c>
      <c r="E629">
        <v>4</v>
      </c>
      <c r="F629">
        <v>40</v>
      </c>
      <c r="G629">
        <v>3</v>
      </c>
      <c r="H629">
        <v>19</v>
      </c>
      <c r="I629">
        <v>0</v>
      </c>
      <c r="J629">
        <v>7.93</v>
      </c>
      <c r="K629" t="s">
        <v>719</v>
      </c>
      <c r="L629" t="s">
        <v>1603</v>
      </c>
    </row>
    <row r="630" spans="1:12">
      <c r="A630">
        <v>628</v>
      </c>
      <c r="B630" t="s">
        <v>3</v>
      </c>
      <c r="C630" t="s">
        <v>720</v>
      </c>
      <c r="D630">
        <v>2019</v>
      </c>
      <c r="E630">
        <v>4</v>
      </c>
      <c r="F630">
        <v>40</v>
      </c>
      <c r="G630">
        <v>3</v>
      </c>
      <c r="H630">
        <v>19</v>
      </c>
      <c r="I630">
        <v>0</v>
      </c>
      <c r="J630">
        <v>7.93</v>
      </c>
      <c r="K630" t="s">
        <v>719</v>
      </c>
      <c r="L630" t="s">
        <v>1604</v>
      </c>
    </row>
    <row r="631" spans="1:12">
      <c r="A631">
        <v>629</v>
      </c>
      <c r="B631" t="s">
        <v>3</v>
      </c>
      <c r="C631" t="s">
        <v>720</v>
      </c>
      <c r="D631">
        <v>2019</v>
      </c>
      <c r="E631">
        <v>4</v>
      </c>
      <c r="F631">
        <v>41</v>
      </c>
      <c r="G631">
        <v>3</v>
      </c>
      <c r="H631">
        <v>19</v>
      </c>
      <c r="I631">
        <v>0</v>
      </c>
      <c r="J631">
        <v>1.45</v>
      </c>
      <c r="K631" t="s">
        <v>719</v>
      </c>
      <c r="L631" t="s">
        <v>1605</v>
      </c>
    </row>
    <row r="632" spans="1:12">
      <c r="A632">
        <v>630</v>
      </c>
      <c r="B632" t="s">
        <v>3</v>
      </c>
      <c r="C632" t="s">
        <v>720</v>
      </c>
      <c r="D632">
        <v>2019</v>
      </c>
      <c r="E632">
        <v>4</v>
      </c>
      <c r="F632">
        <v>45</v>
      </c>
      <c r="G632">
        <v>3</v>
      </c>
      <c r="H632">
        <v>19</v>
      </c>
      <c r="I632">
        <v>0</v>
      </c>
      <c r="J632">
        <v>3012.98</v>
      </c>
      <c r="K632" t="s">
        <v>719</v>
      </c>
      <c r="L632" t="s">
        <v>1606</v>
      </c>
    </row>
    <row r="633" spans="1:12">
      <c r="A633">
        <v>631</v>
      </c>
      <c r="B633" t="s">
        <v>3</v>
      </c>
      <c r="C633" t="s">
        <v>720</v>
      </c>
      <c r="D633">
        <v>2020</v>
      </c>
      <c r="E633">
        <v>1</v>
      </c>
      <c r="F633">
        <v>8</v>
      </c>
      <c r="G633">
        <v>2</v>
      </c>
      <c r="H633">
        <v>6</v>
      </c>
      <c r="I633">
        <v>-5384</v>
      </c>
      <c r="J633">
        <v>0</v>
      </c>
      <c r="K633" t="s">
        <v>719</v>
      </c>
      <c r="L633" t="s">
        <v>1599</v>
      </c>
    </row>
    <row r="634" spans="1:12">
      <c r="A634">
        <v>632</v>
      </c>
      <c r="B634" t="s">
        <v>3</v>
      </c>
      <c r="C634" t="s">
        <v>720</v>
      </c>
      <c r="D634">
        <v>2020</v>
      </c>
      <c r="E634">
        <v>1</v>
      </c>
      <c r="F634">
        <v>8</v>
      </c>
      <c r="G634">
        <v>2</v>
      </c>
      <c r="H634">
        <v>6</v>
      </c>
      <c r="I634">
        <v>0</v>
      </c>
      <c r="J634">
        <v>-2692</v>
      </c>
      <c r="K634" t="s">
        <v>719</v>
      </c>
      <c r="L634" t="s">
        <v>1611</v>
      </c>
    </row>
    <row r="635" spans="1:12">
      <c r="A635">
        <v>633</v>
      </c>
      <c r="B635" t="s">
        <v>3</v>
      </c>
      <c r="C635" t="s">
        <v>720</v>
      </c>
      <c r="D635">
        <v>2020</v>
      </c>
      <c r="E635">
        <v>1</v>
      </c>
      <c r="F635">
        <v>32</v>
      </c>
      <c r="G635">
        <v>2</v>
      </c>
      <c r="H635">
        <v>6</v>
      </c>
      <c r="I635">
        <v>5000</v>
      </c>
      <c r="J635">
        <v>0</v>
      </c>
      <c r="K635" t="s">
        <v>719</v>
      </c>
      <c r="L635" t="s">
        <v>1649</v>
      </c>
    </row>
    <row r="636" spans="1:12">
      <c r="A636">
        <v>634</v>
      </c>
      <c r="B636" t="s">
        <v>3</v>
      </c>
      <c r="C636" t="s">
        <v>720</v>
      </c>
      <c r="D636">
        <v>2020</v>
      </c>
      <c r="E636">
        <v>1</v>
      </c>
      <c r="F636">
        <v>40</v>
      </c>
      <c r="G636">
        <v>2</v>
      </c>
      <c r="H636">
        <v>6</v>
      </c>
      <c r="I636">
        <v>353</v>
      </c>
      <c r="J636">
        <v>0</v>
      </c>
      <c r="K636" t="s">
        <v>719</v>
      </c>
      <c r="L636" t="s">
        <v>1603</v>
      </c>
    </row>
    <row r="637" spans="1:12">
      <c r="A637">
        <v>635</v>
      </c>
      <c r="B637" t="s">
        <v>3</v>
      </c>
      <c r="C637" t="s">
        <v>720</v>
      </c>
      <c r="D637">
        <v>2020</v>
      </c>
      <c r="E637">
        <v>1</v>
      </c>
      <c r="F637">
        <v>41</v>
      </c>
      <c r="G637">
        <v>2</v>
      </c>
      <c r="H637">
        <v>6</v>
      </c>
      <c r="I637">
        <v>31</v>
      </c>
      <c r="J637">
        <v>0</v>
      </c>
      <c r="K637" t="s">
        <v>719</v>
      </c>
      <c r="L637" t="s">
        <v>1605</v>
      </c>
    </row>
    <row r="638" spans="1:12">
      <c r="A638">
        <v>636</v>
      </c>
      <c r="B638" t="s">
        <v>3</v>
      </c>
      <c r="C638" t="s">
        <v>720</v>
      </c>
      <c r="D638">
        <v>2020</v>
      </c>
      <c r="E638">
        <v>3</v>
      </c>
      <c r="F638">
        <v>8</v>
      </c>
      <c r="G638">
        <v>2</v>
      </c>
      <c r="H638">
        <v>14</v>
      </c>
      <c r="I638">
        <v>0</v>
      </c>
      <c r="J638">
        <v>-2692</v>
      </c>
      <c r="K638" t="s">
        <v>719</v>
      </c>
      <c r="L638" t="s">
        <v>1611</v>
      </c>
    </row>
    <row r="639" spans="1:12">
      <c r="A639">
        <v>637</v>
      </c>
      <c r="B639" t="s">
        <v>3</v>
      </c>
      <c r="C639" t="s">
        <v>720</v>
      </c>
      <c r="D639">
        <v>2020</v>
      </c>
      <c r="E639">
        <v>3</v>
      </c>
      <c r="F639">
        <v>33</v>
      </c>
      <c r="G639">
        <v>2</v>
      </c>
      <c r="H639">
        <v>14</v>
      </c>
      <c r="I639">
        <v>0</v>
      </c>
      <c r="J639">
        <v>2728.09</v>
      </c>
      <c r="K639" t="s">
        <v>719</v>
      </c>
      <c r="L639" t="s">
        <v>1652</v>
      </c>
    </row>
    <row r="640" spans="1:12">
      <c r="A640">
        <v>638</v>
      </c>
      <c r="B640" t="s">
        <v>3</v>
      </c>
      <c r="C640" t="s">
        <v>720</v>
      </c>
      <c r="D640">
        <v>2020</v>
      </c>
      <c r="E640">
        <v>3</v>
      </c>
      <c r="F640">
        <v>40</v>
      </c>
      <c r="G640">
        <v>2</v>
      </c>
      <c r="H640">
        <v>14</v>
      </c>
      <c r="I640">
        <v>0</v>
      </c>
      <c r="J640">
        <v>96.300000000000011</v>
      </c>
      <c r="K640" t="s">
        <v>719</v>
      </c>
      <c r="L640" t="s">
        <v>1603</v>
      </c>
    </row>
    <row r="641" spans="1:12">
      <c r="A641">
        <v>639</v>
      </c>
      <c r="B641" t="s">
        <v>3</v>
      </c>
      <c r="C641" t="s">
        <v>720</v>
      </c>
      <c r="D641">
        <v>2020</v>
      </c>
      <c r="E641">
        <v>3</v>
      </c>
      <c r="F641">
        <v>40</v>
      </c>
      <c r="G641">
        <v>2</v>
      </c>
      <c r="H641">
        <v>14</v>
      </c>
      <c r="I641">
        <v>0</v>
      </c>
      <c r="J641">
        <v>96.300000000000011</v>
      </c>
      <c r="K641" t="s">
        <v>719</v>
      </c>
      <c r="L641" t="s">
        <v>1604</v>
      </c>
    </row>
    <row r="642" spans="1:12">
      <c r="A642">
        <v>640</v>
      </c>
      <c r="B642" t="s">
        <v>3</v>
      </c>
      <c r="C642" t="s">
        <v>720</v>
      </c>
      <c r="D642">
        <v>2020</v>
      </c>
      <c r="E642">
        <v>3</v>
      </c>
      <c r="F642">
        <v>41</v>
      </c>
      <c r="G642">
        <v>2</v>
      </c>
      <c r="H642">
        <v>14</v>
      </c>
      <c r="I642">
        <v>0</v>
      </c>
      <c r="J642">
        <v>16.91</v>
      </c>
      <c r="K642" t="s">
        <v>719</v>
      </c>
      <c r="L642" t="s">
        <v>1605</v>
      </c>
    </row>
    <row r="643" spans="1:12">
      <c r="A643">
        <v>641</v>
      </c>
      <c r="B643" t="s">
        <v>3</v>
      </c>
      <c r="C643" t="s">
        <v>720</v>
      </c>
      <c r="D643">
        <v>2020</v>
      </c>
      <c r="E643">
        <v>4</v>
      </c>
      <c r="F643">
        <v>32</v>
      </c>
      <c r="G643">
        <v>2</v>
      </c>
      <c r="H643">
        <v>18</v>
      </c>
      <c r="I643">
        <v>0</v>
      </c>
      <c r="J643">
        <v>973.33999999999992</v>
      </c>
      <c r="K643" t="s">
        <v>719</v>
      </c>
      <c r="L643" t="s">
        <v>1651</v>
      </c>
    </row>
    <row r="644" spans="1:12">
      <c r="A644">
        <v>642</v>
      </c>
      <c r="B644" t="s">
        <v>3</v>
      </c>
      <c r="C644" t="s">
        <v>720</v>
      </c>
      <c r="D644">
        <v>2020</v>
      </c>
      <c r="E644">
        <v>4</v>
      </c>
      <c r="F644">
        <v>40</v>
      </c>
      <c r="G644">
        <v>2</v>
      </c>
      <c r="H644">
        <v>18</v>
      </c>
      <c r="I644">
        <v>0</v>
      </c>
      <c r="J644">
        <v>34.36</v>
      </c>
      <c r="K644" t="s">
        <v>719</v>
      </c>
      <c r="L644" t="s">
        <v>1603</v>
      </c>
    </row>
    <row r="645" spans="1:12">
      <c r="A645">
        <v>643</v>
      </c>
      <c r="B645" t="s">
        <v>3</v>
      </c>
      <c r="C645" t="s">
        <v>720</v>
      </c>
      <c r="D645">
        <v>2020</v>
      </c>
      <c r="E645">
        <v>4</v>
      </c>
      <c r="F645">
        <v>40</v>
      </c>
      <c r="G645">
        <v>2</v>
      </c>
      <c r="H645">
        <v>18</v>
      </c>
      <c r="I645">
        <v>0</v>
      </c>
      <c r="J645">
        <v>34.36</v>
      </c>
      <c r="K645" t="s">
        <v>719</v>
      </c>
      <c r="L645" t="s">
        <v>1604</v>
      </c>
    </row>
    <row r="646" spans="1:12">
      <c r="A646">
        <v>644</v>
      </c>
      <c r="B646" t="s">
        <v>3</v>
      </c>
      <c r="C646" t="s">
        <v>720</v>
      </c>
      <c r="D646">
        <v>2020</v>
      </c>
      <c r="E646">
        <v>4</v>
      </c>
      <c r="F646">
        <v>41</v>
      </c>
      <c r="G646">
        <v>2</v>
      </c>
      <c r="H646">
        <v>18</v>
      </c>
      <c r="I646">
        <v>0</v>
      </c>
      <c r="J646">
        <v>6.04</v>
      </c>
      <c r="K646" t="s">
        <v>719</v>
      </c>
      <c r="L646" t="s">
        <v>1605</v>
      </c>
    </row>
    <row r="647" spans="1:12">
      <c r="A647">
        <v>645</v>
      </c>
      <c r="B647" t="s">
        <v>3</v>
      </c>
      <c r="C647" t="s">
        <v>720</v>
      </c>
      <c r="D647">
        <v>2020</v>
      </c>
      <c r="E647">
        <v>4</v>
      </c>
      <c r="F647">
        <v>45</v>
      </c>
      <c r="G647">
        <v>2</v>
      </c>
      <c r="H647">
        <v>18</v>
      </c>
      <c r="I647">
        <v>0</v>
      </c>
      <c r="J647">
        <v>1398.3</v>
      </c>
      <c r="K647" t="s">
        <v>719</v>
      </c>
      <c r="L647" t="s">
        <v>1606</v>
      </c>
    </row>
    <row r="648" spans="1:12">
      <c r="A648">
        <v>646</v>
      </c>
      <c r="B648" t="s">
        <v>3</v>
      </c>
      <c r="C648" t="s">
        <v>722</v>
      </c>
      <c r="D648">
        <v>2017</v>
      </c>
      <c r="E648">
        <v>1</v>
      </c>
      <c r="F648">
        <v>8</v>
      </c>
      <c r="G648">
        <v>5</v>
      </c>
      <c r="H648">
        <v>9</v>
      </c>
      <c r="I648">
        <v>-1599</v>
      </c>
      <c r="J648">
        <v>-800</v>
      </c>
      <c r="K648" t="s">
        <v>721</v>
      </c>
      <c r="L648" t="s">
        <v>1599</v>
      </c>
    </row>
    <row r="649" spans="1:12">
      <c r="A649">
        <v>647</v>
      </c>
      <c r="B649" t="s">
        <v>3</v>
      </c>
      <c r="C649" t="s">
        <v>722</v>
      </c>
      <c r="D649">
        <v>2017</v>
      </c>
      <c r="E649">
        <v>1</v>
      </c>
      <c r="F649">
        <v>23</v>
      </c>
      <c r="G649">
        <v>5</v>
      </c>
      <c r="H649">
        <v>9</v>
      </c>
      <c r="I649">
        <v>1500</v>
      </c>
      <c r="J649">
        <v>0</v>
      </c>
      <c r="K649" t="s">
        <v>721</v>
      </c>
      <c r="L649" t="s">
        <v>1602</v>
      </c>
    </row>
    <row r="650" spans="1:12">
      <c r="A650">
        <v>648</v>
      </c>
      <c r="B650" t="s">
        <v>3</v>
      </c>
      <c r="C650" t="s">
        <v>722</v>
      </c>
      <c r="D650">
        <v>2017</v>
      </c>
      <c r="E650">
        <v>1</v>
      </c>
      <c r="F650">
        <v>40</v>
      </c>
      <c r="G650">
        <v>5</v>
      </c>
      <c r="H650">
        <v>9</v>
      </c>
      <c r="I650">
        <v>91</v>
      </c>
      <c r="J650">
        <v>0</v>
      </c>
      <c r="K650" t="s">
        <v>721</v>
      </c>
      <c r="L650" t="s">
        <v>1603</v>
      </c>
    </row>
    <row r="651" spans="1:12">
      <c r="A651">
        <v>649</v>
      </c>
      <c r="B651" t="s">
        <v>3</v>
      </c>
      <c r="C651" t="s">
        <v>722</v>
      </c>
      <c r="D651">
        <v>2017</v>
      </c>
      <c r="E651">
        <v>1</v>
      </c>
      <c r="F651">
        <v>41</v>
      </c>
      <c r="G651">
        <v>5</v>
      </c>
      <c r="H651">
        <v>9</v>
      </c>
      <c r="I651">
        <v>8</v>
      </c>
      <c r="J651">
        <v>0</v>
      </c>
      <c r="K651" t="s">
        <v>721</v>
      </c>
      <c r="L651" t="s">
        <v>1605</v>
      </c>
    </row>
    <row r="652" spans="1:12">
      <c r="A652">
        <v>650</v>
      </c>
      <c r="B652" t="s">
        <v>3</v>
      </c>
      <c r="C652" t="s">
        <v>722</v>
      </c>
      <c r="D652">
        <v>2017</v>
      </c>
      <c r="E652">
        <v>2</v>
      </c>
      <c r="F652">
        <v>29</v>
      </c>
      <c r="G652">
        <v>5</v>
      </c>
      <c r="H652">
        <v>13</v>
      </c>
      <c r="I652">
        <v>0</v>
      </c>
      <c r="J652">
        <v>25.5</v>
      </c>
      <c r="K652" t="s">
        <v>721</v>
      </c>
      <c r="L652" t="s">
        <v>1608</v>
      </c>
    </row>
    <row r="653" spans="1:12">
      <c r="A653">
        <v>651</v>
      </c>
      <c r="B653" t="s">
        <v>3</v>
      </c>
      <c r="C653" t="s">
        <v>722</v>
      </c>
      <c r="D653">
        <v>2017</v>
      </c>
      <c r="E653">
        <v>2</v>
      </c>
      <c r="F653">
        <v>40</v>
      </c>
      <c r="G653">
        <v>5</v>
      </c>
      <c r="H653">
        <v>13</v>
      </c>
      <c r="I653">
        <v>0</v>
      </c>
      <c r="J653">
        <v>0.77</v>
      </c>
      <c r="K653" t="s">
        <v>721</v>
      </c>
      <c r="L653" t="s">
        <v>1603</v>
      </c>
    </row>
    <row r="654" spans="1:12">
      <c r="A654">
        <v>652</v>
      </c>
      <c r="B654" t="s">
        <v>3</v>
      </c>
      <c r="C654" t="s">
        <v>722</v>
      </c>
      <c r="D654">
        <v>2017</v>
      </c>
      <c r="E654">
        <v>2</v>
      </c>
      <c r="F654">
        <v>40</v>
      </c>
      <c r="G654">
        <v>5</v>
      </c>
      <c r="H654">
        <v>13</v>
      </c>
      <c r="I654">
        <v>0</v>
      </c>
      <c r="J654">
        <v>0.77</v>
      </c>
      <c r="K654" t="s">
        <v>721</v>
      </c>
      <c r="L654" t="s">
        <v>1604</v>
      </c>
    </row>
    <row r="655" spans="1:12">
      <c r="A655">
        <v>653</v>
      </c>
      <c r="B655" t="s">
        <v>3</v>
      </c>
      <c r="C655" t="s">
        <v>722</v>
      </c>
      <c r="D655">
        <v>2017</v>
      </c>
      <c r="E655">
        <v>2</v>
      </c>
      <c r="F655">
        <v>41</v>
      </c>
      <c r="G655">
        <v>5</v>
      </c>
      <c r="H655">
        <v>13</v>
      </c>
      <c r="I655">
        <v>0</v>
      </c>
      <c r="J655">
        <v>0.13</v>
      </c>
      <c r="K655" t="s">
        <v>721</v>
      </c>
      <c r="L655" t="s">
        <v>1605</v>
      </c>
    </row>
    <row r="656" spans="1:12">
      <c r="A656">
        <v>654</v>
      </c>
      <c r="B656" t="s">
        <v>3</v>
      </c>
      <c r="C656" t="s">
        <v>722</v>
      </c>
      <c r="D656">
        <v>2017</v>
      </c>
      <c r="E656">
        <v>3</v>
      </c>
      <c r="F656">
        <v>8</v>
      </c>
      <c r="G656">
        <v>5</v>
      </c>
      <c r="H656">
        <v>17</v>
      </c>
      <c r="I656">
        <v>0</v>
      </c>
      <c r="J656">
        <v>-799</v>
      </c>
      <c r="K656" t="s">
        <v>721</v>
      </c>
      <c r="L656" t="s">
        <v>1599</v>
      </c>
    </row>
    <row r="657" spans="1:12">
      <c r="A657">
        <v>655</v>
      </c>
      <c r="B657" t="s">
        <v>3</v>
      </c>
      <c r="C657" t="s">
        <v>722</v>
      </c>
      <c r="D657">
        <v>2017</v>
      </c>
      <c r="E657">
        <v>3</v>
      </c>
      <c r="F657">
        <v>25</v>
      </c>
      <c r="G657">
        <v>5</v>
      </c>
      <c r="H657">
        <v>17</v>
      </c>
      <c r="I657">
        <v>0</v>
      </c>
      <c r="J657">
        <v>5.99</v>
      </c>
      <c r="K657" t="s">
        <v>721</v>
      </c>
      <c r="L657" t="s">
        <v>1632</v>
      </c>
    </row>
    <row r="658" spans="1:12">
      <c r="A658">
        <v>656</v>
      </c>
      <c r="B658" t="s">
        <v>3</v>
      </c>
      <c r="C658" t="s">
        <v>722</v>
      </c>
      <c r="D658">
        <v>2017</v>
      </c>
      <c r="E658">
        <v>3</v>
      </c>
      <c r="F658">
        <v>26</v>
      </c>
      <c r="G658">
        <v>5</v>
      </c>
      <c r="H658">
        <v>17</v>
      </c>
      <c r="I658">
        <v>0</v>
      </c>
      <c r="J658">
        <v>1054.23</v>
      </c>
      <c r="K658" t="s">
        <v>721</v>
      </c>
      <c r="L658" t="s">
        <v>1622</v>
      </c>
    </row>
    <row r="659" spans="1:12">
      <c r="A659">
        <v>657</v>
      </c>
      <c r="B659" t="s">
        <v>3</v>
      </c>
      <c r="C659" t="s">
        <v>722</v>
      </c>
      <c r="D659">
        <v>2017</v>
      </c>
      <c r="E659">
        <v>3</v>
      </c>
      <c r="F659">
        <v>26</v>
      </c>
      <c r="G659">
        <v>5</v>
      </c>
      <c r="H659">
        <v>17</v>
      </c>
      <c r="I659">
        <v>0</v>
      </c>
      <c r="J659">
        <v>51.96</v>
      </c>
      <c r="K659" t="s">
        <v>721</v>
      </c>
      <c r="L659" t="s">
        <v>1618</v>
      </c>
    </row>
    <row r="660" spans="1:12">
      <c r="A660">
        <v>658</v>
      </c>
      <c r="B660" t="s">
        <v>3</v>
      </c>
      <c r="C660" t="s">
        <v>722</v>
      </c>
      <c r="D660">
        <v>2017</v>
      </c>
      <c r="E660">
        <v>3</v>
      </c>
      <c r="F660">
        <v>27</v>
      </c>
      <c r="G660">
        <v>5</v>
      </c>
      <c r="H660">
        <v>17</v>
      </c>
      <c r="I660">
        <v>0</v>
      </c>
      <c r="J660">
        <v>35</v>
      </c>
      <c r="K660" t="s">
        <v>721</v>
      </c>
      <c r="L660" t="s">
        <v>1626</v>
      </c>
    </row>
    <row r="661" spans="1:12">
      <c r="A661">
        <v>659</v>
      </c>
      <c r="B661" t="s">
        <v>3</v>
      </c>
      <c r="C661" t="s">
        <v>722</v>
      </c>
      <c r="D661">
        <v>2017</v>
      </c>
      <c r="E661">
        <v>3</v>
      </c>
      <c r="F661">
        <v>29</v>
      </c>
      <c r="G661">
        <v>5</v>
      </c>
      <c r="H661">
        <v>17</v>
      </c>
      <c r="I661">
        <v>0</v>
      </c>
      <c r="J661">
        <v>12.2</v>
      </c>
      <c r="K661" t="s">
        <v>721</v>
      </c>
      <c r="L661" t="s">
        <v>1608</v>
      </c>
    </row>
    <row r="662" spans="1:12">
      <c r="A662">
        <v>660</v>
      </c>
      <c r="B662" t="s">
        <v>3</v>
      </c>
      <c r="C662" t="s">
        <v>722</v>
      </c>
      <c r="D662">
        <v>2017</v>
      </c>
      <c r="E662">
        <v>3</v>
      </c>
      <c r="F662">
        <v>40</v>
      </c>
      <c r="G662">
        <v>5</v>
      </c>
      <c r="H662">
        <v>17</v>
      </c>
      <c r="I662">
        <v>0</v>
      </c>
      <c r="J662">
        <v>35.010000000000005</v>
      </c>
      <c r="K662" t="s">
        <v>721</v>
      </c>
      <c r="L662" t="s">
        <v>1603</v>
      </c>
    </row>
    <row r="663" spans="1:12">
      <c r="A663">
        <v>661</v>
      </c>
      <c r="B663" t="s">
        <v>3</v>
      </c>
      <c r="C663" t="s">
        <v>722</v>
      </c>
      <c r="D663">
        <v>2017</v>
      </c>
      <c r="E663">
        <v>3</v>
      </c>
      <c r="F663">
        <v>40</v>
      </c>
      <c r="G663">
        <v>5</v>
      </c>
      <c r="H663">
        <v>17</v>
      </c>
      <c r="I663">
        <v>0</v>
      </c>
      <c r="J663">
        <v>35.019999999999996</v>
      </c>
      <c r="K663" t="s">
        <v>721</v>
      </c>
      <c r="L663" t="s">
        <v>1604</v>
      </c>
    </row>
    <row r="664" spans="1:12">
      <c r="A664">
        <v>662</v>
      </c>
      <c r="B664" t="s">
        <v>3</v>
      </c>
      <c r="C664" t="s">
        <v>722</v>
      </c>
      <c r="D664">
        <v>2017</v>
      </c>
      <c r="E664">
        <v>3</v>
      </c>
      <c r="F664">
        <v>41</v>
      </c>
      <c r="G664">
        <v>5</v>
      </c>
      <c r="H664">
        <v>17</v>
      </c>
      <c r="I664">
        <v>0</v>
      </c>
      <c r="J664">
        <v>5.8</v>
      </c>
      <c r="K664" t="s">
        <v>721</v>
      </c>
      <c r="L664" t="s">
        <v>1605</v>
      </c>
    </row>
    <row r="665" spans="1:12">
      <c r="A665">
        <v>663</v>
      </c>
      <c r="B665" t="s">
        <v>3</v>
      </c>
      <c r="C665" t="s">
        <v>722</v>
      </c>
      <c r="D665">
        <v>2017</v>
      </c>
      <c r="E665">
        <v>4</v>
      </c>
      <c r="F665">
        <v>28</v>
      </c>
      <c r="G665">
        <v>5</v>
      </c>
      <c r="H665">
        <v>21</v>
      </c>
      <c r="I665">
        <v>0</v>
      </c>
      <c r="J665">
        <v>49</v>
      </c>
      <c r="K665" t="s">
        <v>721</v>
      </c>
      <c r="L665" t="s">
        <v>1636</v>
      </c>
    </row>
    <row r="666" spans="1:12">
      <c r="A666">
        <v>664</v>
      </c>
      <c r="B666" t="s">
        <v>3</v>
      </c>
      <c r="C666" t="s">
        <v>722</v>
      </c>
      <c r="D666">
        <v>2017</v>
      </c>
      <c r="E666">
        <v>4</v>
      </c>
      <c r="F666">
        <v>40</v>
      </c>
      <c r="G666">
        <v>5</v>
      </c>
      <c r="H666">
        <v>21</v>
      </c>
      <c r="I666">
        <v>0</v>
      </c>
      <c r="J666">
        <v>1.48</v>
      </c>
      <c r="K666" t="s">
        <v>721</v>
      </c>
      <c r="L666" t="s">
        <v>1603</v>
      </c>
    </row>
    <row r="667" spans="1:12">
      <c r="A667">
        <v>665</v>
      </c>
      <c r="B667" t="s">
        <v>3</v>
      </c>
      <c r="C667" t="s">
        <v>722</v>
      </c>
      <c r="D667">
        <v>2017</v>
      </c>
      <c r="E667">
        <v>4</v>
      </c>
      <c r="F667">
        <v>40</v>
      </c>
      <c r="G667">
        <v>5</v>
      </c>
      <c r="H667">
        <v>21</v>
      </c>
      <c r="I667">
        <v>0</v>
      </c>
      <c r="J667">
        <v>1.48</v>
      </c>
      <c r="K667" t="s">
        <v>721</v>
      </c>
      <c r="L667" t="s">
        <v>1604</v>
      </c>
    </row>
    <row r="668" spans="1:12">
      <c r="A668">
        <v>666</v>
      </c>
      <c r="B668" t="s">
        <v>3</v>
      </c>
      <c r="C668" t="s">
        <v>722</v>
      </c>
      <c r="D668">
        <v>2017</v>
      </c>
      <c r="E668">
        <v>4</v>
      </c>
      <c r="F668">
        <v>41</v>
      </c>
      <c r="G668">
        <v>5</v>
      </c>
      <c r="H668">
        <v>21</v>
      </c>
      <c r="I668">
        <v>0</v>
      </c>
      <c r="J668">
        <v>0.25</v>
      </c>
      <c r="K668" t="s">
        <v>721</v>
      </c>
      <c r="L668" t="s">
        <v>1605</v>
      </c>
    </row>
    <row r="669" spans="1:12">
      <c r="A669">
        <v>667</v>
      </c>
      <c r="B669" t="s">
        <v>3</v>
      </c>
      <c r="C669" t="s">
        <v>722</v>
      </c>
      <c r="D669">
        <v>2017</v>
      </c>
      <c r="E669">
        <v>4</v>
      </c>
      <c r="F669">
        <v>45</v>
      </c>
      <c r="G669">
        <v>5</v>
      </c>
      <c r="H669">
        <v>21</v>
      </c>
      <c r="I669">
        <v>0</v>
      </c>
      <c r="J669">
        <v>284.41000000000003</v>
      </c>
      <c r="K669" t="s">
        <v>721</v>
      </c>
      <c r="L669" t="s">
        <v>1606</v>
      </c>
    </row>
    <row r="670" spans="1:12">
      <c r="A670">
        <v>668</v>
      </c>
      <c r="B670" t="s">
        <v>3</v>
      </c>
      <c r="C670" t="s">
        <v>722</v>
      </c>
      <c r="D670">
        <v>2018</v>
      </c>
      <c r="E670">
        <v>1</v>
      </c>
      <c r="F670">
        <v>8</v>
      </c>
      <c r="G670">
        <v>4</v>
      </c>
      <c r="H670">
        <v>8</v>
      </c>
      <c r="I670">
        <v>-1599</v>
      </c>
      <c r="J670">
        <v>-799</v>
      </c>
      <c r="K670" t="s">
        <v>721</v>
      </c>
      <c r="L670" t="s">
        <v>1599</v>
      </c>
    </row>
    <row r="671" spans="1:12">
      <c r="A671">
        <v>669</v>
      </c>
      <c r="B671" t="s">
        <v>3</v>
      </c>
      <c r="C671" t="s">
        <v>722</v>
      </c>
      <c r="D671">
        <v>2018</v>
      </c>
      <c r="E671">
        <v>1</v>
      </c>
      <c r="F671">
        <v>23</v>
      </c>
      <c r="G671">
        <v>4</v>
      </c>
      <c r="H671">
        <v>8</v>
      </c>
      <c r="I671">
        <v>1500</v>
      </c>
      <c r="J671">
        <v>0</v>
      </c>
      <c r="K671" t="s">
        <v>721</v>
      </c>
      <c r="L671" t="s">
        <v>1602</v>
      </c>
    </row>
    <row r="672" spans="1:12">
      <c r="A672">
        <v>670</v>
      </c>
      <c r="B672" t="s">
        <v>3</v>
      </c>
      <c r="C672" t="s">
        <v>722</v>
      </c>
      <c r="D672">
        <v>2018</v>
      </c>
      <c r="E672">
        <v>1</v>
      </c>
      <c r="F672">
        <v>29</v>
      </c>
      <c r="G672">
        <v>4</v>
      </c>
      <c r="H672">
        <v>8</v>
      </c>
      <c r="I672">
        <v>0</v>
      </c>
      <c r="J672">
        <v>26</v>
      </c>
      <c r="K672" t="s">
        <v>721</v>
      </c>
      <c r="L672" t="s">
        <v>1608</v>
      </c>
    </row>
    <row r="673" spans="1:12">
      <c r="A673">
        <v>671</v>
      </c>
      <c r="B673" t="s">
        <v>3</v>
      </c>
      <c r="C673" t="s">
        <v>722</v>
      </c>
      <c r="D673">
        <v>2018</v>
      </c>
      <c r="E673">
        <v>1</v>
      </c>
      <c r="F673">
        <v>40</v>
      </c>
      <c r="G673">
        <v>4</v>
      </c>
      <c r="H673">
        <v>8</v>
      </c>
      <c r="I673">
        <v>91</v>
      </c>
      <c r="J673">
        <v>0.82</v>
      </c>
      <c r="K673" t="s">
        <v>721</v>
      </c>
      <c r="L673" t="s">
        <v>1603</v>
      </c>
    </row>
    <row r="674" spans="1:12">
      <c r="A674">
        <v>672</v>
      </c>
      <c r="B674" t="s">
        <v>3</v>
      </c>
      <c r="C674" t="s">
        <v>722</v>
      </c>
      <c r="D674">
        <v>2018</v>
      </c>
      <c r="E674">
        <v>1</v>
      </c>
      <c r="F674">
        <v>40</v>
      </c>
      <c r="G674">
        <v>4</v>
      </c>
      <c r="H674">
        <v>8</v>
      </c>
      <c r="I674">
        <v>0</v>
      </c>
      <c r="J674">
        <v>0.82</v>
      </c>
      <c r="K674" t="s">
        <v>721</v>
      </c>
      <c r="L674" t="s">
        <v>1604</v>
      </c>
    </row>
    <row r="675" spans="1:12">
      <c r="A675">
        <v>673</v>
      </c>
      <c r="B675" t="s">
        <v>3</v>
      </c>
      <c r="C675" t="s">
        <v>722</v>
      </c>
      <c r="D675">
        <v>2018</v>
      </c>
      <c r="E675">
        <v>1</v>
      </c>
      <c r="F675">
        <v>41</v>
      </c>
      <c r="G675">
        <v>4</v>
      </c>
      <c r="H675">
        <v>8</v>
      </c>
      <c r="I675">
        <v>8</v>
      </c>
      <c r="J675">
        <v>0.13</v>
      </c>
      <c r="K675" t="s">
        <v>721</v>
      </c>
      <c r="L675" t="s">
        <v>1605</v>
      </c>
    </row>
    <row r="676" spans="1:12">
      <c r="A676">
        <v>674</v>
      </c>
      <c r="B676" t="s">
        <v>3</v>
      </c>
      <c r="C676" t="s">
        <v>722</v>
      </c>
      <c r="D676">
        <v>2018</v>
      </c>
      <c r="E676">
        <v>3</v>
      </c>
      <c r="F676">
        <v>8</v>
      </c>
      <c r="G676">
        <v>4</v>
      </c>
      <c r="H676">
        <v>16</v>
      </c>
      <c r="I676">
        <v>0</v>
      </c>
      <c r="J676">
        <v>-800</v>
      </c>
      <c r="K676" t="s">
        <v>721</v>
      </c>
      <c r="L676" t="s">
        <v>1599</v>
      </c>
    </row>
    <row r="677" spans="1:12">
      <c r="A677">
        <v>675</v>
      </c>
      <c r="B677" t="s">
        <v>3</v>
      </c>
      <c r="C677" t="s">
        <v>722</v>
      </c>
      <c r="D677">
        <v>2018</v>
      </c>
      <c r="E677">
        <v>3</v>
      </c>
      <c r="F677">
        <v>25</v>
      </c>
      <c r="G677">
        <v>4</v>
      </c>
      <c r="H677">
        <v>16</v>
      </c>
      <c r="I677">
        <v>0</v>
      </c>
      <c r="J677">
        <v>10.18</v>
      </c>
      <c r="K677" t="s">
        <v>721</v>
      </c>
      <c r="L677" t="s">
        <v>1632</v>
      </c>
    </row>
    <row r="678" spans="1:12">
      <c r="A678">
        <v>676</v>
      </c>
      <c r="B678" t="s">
        <v>3</v>
      </c>
      <c r="C678" t="s">
        <v>722</v>
      </c>
      <c r="D678">
        <v>2018</v>
      </c>
      <c r="E678">
        <v>3</v>
      </c>
      <c r="F678">
        <v>26</v>
      </c>
      <c r="G678">
        <v>4</v>
      </c>
      <c r="H678">
        <v>16</v>
      </c>
      <c r="I678">
        <v>0</v>
      </c>
      <c r="J678">
        <v>1316</v>
      </c>
      <c r="K678" t="s">
        <v>721</v>
      </c>
      <c r="L678" t="s">
        <v>1622</v>
      </c>
    </row>
    <row r="679" spans="1:12">
      <c r="A679">
        <v>677</v>
      </c>
      <c r="B679" t="s">
        <v>3</v>
      </c>
      <c r="C679" t="s">
        <v>722</v>
      </c>
      <c r="D679">
        <v>2018</v>
      </c>
      <c r="E679">
        <v>3</v>
      </c>
      <c r="F679">
        <v>29</v>
      </c>
      <c r="G679">
        <v>4</v>
      </c>
      <c r="H679">
        <v>16</v>
      </c>
      <c r="I679">
        <v>0</v>
      </c>
      <c r="J679">
        <v>13</v>
      </c>
      <c r="K679" t="s">
        <v>721</v>
      </c>
      <c r="L679" t="s">
        <v>1608</v>
      </c>
    </row>
    <row r="680" spans="1:12">
      <c r="A680">
        <v>678</v>
      </c>
      <c r="B680" t="s">
        <v>3</v>
      </c>
      <c r="C680" t="s">
        <v>722</v>
      </c>
      <c r="D680">
        <v>2018</v>
      </c>
      <c r="E680">
        <v>3</v>
      </c>
      <c r="F680">
        <v>40</v>
      </c>
      <c r="G680">
        <v>4</v>
      </c>
      <c r="H680">
        <v>16</v>
      </c>
      <c r="I680">
        <v>0</v>
      </c>
      <c r="J680">
        <v>42.120000000000005</v>
      </c>
      <c r="K680" t="s">
        <v>721</v>
      </c>
      <c r="L680" t="s">
        <v>1603</v>
      </c>
    </row>
    <row r="681" spans="1:12">
      <c r="A681">
        <v>679</v>
      </c>
      <c r="B681" t="s">
        <v>3</v>
      </c>
      <c r="C681" t="s">
        <v>722</v>
      </c>
      <c r="D681">
        <v>2018</v>
      </c>
      <c r="E681">
        <v>3</v>
      </c>
      <c r="F681">
        <v>40</v>
      </c>
      <c r="G681">
        <v>4</v>
      </c>
      <c r="H681">
        <v>16</v>
      </c>
      <c r="I681">
        <v>0</v>
      </c>
      <c r="J681">
        <v>42.12</v>
      </c>
      <c r="K681" t="s">
        <v>721</v>
      </c>
      <c r="L681" t="s">
        <v>1604</v>
      </c>
    </row>
    <row r="682" spans="1:12">
      <c r="A682">
        <v>680</v>
      </c>
      <c r="B682" t="s">
        <v>3</v>
      </c>
      <c r="C682" t="s">
        <v>722</v>
      </c>
      <c r="D682">
        <v>2018</v>
      </c>
      <c r="E682">
        <v>3</v>
      </c>
      <c r="F682">
        <v>41</v>
      </c>
      <c r="G682">
        <v>4</v>
      </c>
      <c r="H682">
        <v>16</v>
      </c>
      <c r="I682">
        <v>0</v>
      </c>
      <c r="J682">
        <v>6.83</v>
      </c>
      <c r="K682" t="s">
        <v>721</v>
      </c>
      <c r="L682" t="s">
        <v>1605</v>
      </c>
    </row>
    <row r="683" spans="1:12">
      <c r="A683">
        <v>681</v>
      </c>
      <c r="B683" t="s">
        <v>3</v>
      </c>
      <c r="C683" t="s">
        <v>722</v>
      </c>
      <c r="D683">
        <v>2018</v>
      </c>
      <c r="E683">
        <v>4</v>
      </c>
      <c r="F683">
        <v>45</v>
      </c>
      <c r="G683">
        <v>4</v>
      </c>
      <c r="H683">
        <v>20</v>
      </c>
      <c r="I683">
        <v>0</v>
      </c>
      <c r="J683">
        <v>140.97999999999999</v>
      </c>
      <c r="K683" t="s">
        <v>721</v>
      </c>
      <c r="L683" t="s">
        <v>1606</v>
      </c>
    </row>
    <row r="684" spans="1:12">
      <c r="A684">
        <v>682</v>
      </c>
      <c r="B684" t="s">
        <v>3</v>
      </c>
      <c r="C684" t="s">
        <v>722</v>
      </c>
      <c r="D684">
        <v>2019</v>
      </c>
      <c r="E684">
        <v>1</v>
      </c>
      <c r="F684">
        <v>8</v>
      </c>
      <c r="G684">
        <v>3</v>
      </c>
      <c r="H684">
        <v>7</v>
      </c>
      <c r="I684">
        <v>-1602</v>
      </c>
      <c r="J684">
        <v>-801</v>
      </c>
      <c r="K684" t="s">
        <v>721</v>
      </c>
      <c r="L684" t="s">
        <v>1599</v>
      </c>
    </row>
    <row r="685" spans="1:12">
      <c r="A685">
        <v>683</v>
      </c>
      <c r="B685" t="s">
        <v>3</v>
      </c>
      <c r="C685" t="s">
        <v>722</v>
      </c>
      <c r="D685">
        <v>2019</v>
      </c>
      <c r="E685">
        <v>1</v>
      </c>
      <c r="F685">
        <v>23</v>
      </c>
      <c r="G685">
        <v>3</v>
      </c>
      <c r="H685">
        <v>7</v>
      </c>
      <c r="I685">
        <v>1500</v>
      </c>
      <c r="J685">
        <v>0</v>
      </c>
      <c r="K685" t="s">
        <v>721</v>
      </c>
      <c r="L685" t="s">
        <v>1602</v>
      </c>
    </row>
    <row r="686" spans="1:12">
      <c r="A686">
        <v>684</v>
      </c>
      <c r="B686" t="s">
        <v>3</v>
      </c>
      <c r="C686" t="s">
        <v>722</v>
      </c>
      <c r="D686">
        <v>2019</v>
      </c>
      <c r="E686">
        <v>1</v>
      </c>
      <c r="F686">
        <v>40</v>
      </c>
      <c r="G686">
        <v>3</v>
      </c>
      <c r="H686">
        <v>7</v>
      </c>
      <c r="I686">
        <v>94</v>
      </c>
      <c r="J686">
        <v>0</v>
      </c>
      <c r="K686" t="s">
        <v>721</v>
      </c>
      <c r="L686" t="s">
        <v>1603</v>
      </c>
    </row>
    <row r="687" spans="1:12">
      <c r="A687">
        <v>685</v>
      </c>
      <c r="B687" t="s">
        <v>3</v>
      </c>
      <c r="C687" t="s">
        <v>722</v>
      </c>
      <c r="D687">
        <v>2019</v>
      </c>
      <c r="E687">
        <v>1</v>
      </c>
      <c r="F687">
        <v>41</v>
      </c>
      <c r="G687">
        <v>3</v>
      </c>
      <c r="H687">
        <v>7</v>
      </c>
      <c r="I687">
        <v>8</v>
      </c>
      <c r="J687">
        <v>0</v>
      </c>
      <c r="K687" t="s">
        <v>721</v>
      </c>
      <c r="L687" t="s">
        <v>1605</v>
      </c>
    </row>
    <row r="688" spans="1:12">
      <c r="A688">
        <v>686</v>
      </c>
      <c r="B688" t="s">
        <v>3</v>
      </c>
      <c r="C688" t="s">
        <v>722</v>
      </c>
      <c r="D688">
        <v>2019</v>
      </c>
      <c r="E688">
        <v>2</v>
      </c>
      <c r="F688">
        <v>29</v>
      </c>
      <c r="G688">
        <v>3</v>
      </c>
      <c r="H688">
        <v>11</v>
      </c>
      <c r="I688">
        <v>0</v>
      </c>
      <c r="J688">
        <v>33.75</v>
      </c>
      <c r="K688" t="s">
        <v>721</v>
      </c>
      <c r="L688" t="s">
        <v>1608</v>
      </c>
    </row>
    <row r="689" spans="1:12">
      <c r="A689">
        <v>687</v>
      </c>
      <c r="B689" t="s">
        <v>3</v>
      </c>
      <c r="C689" t="s">
        <v>722</v>
      </c>
      <c r="D689">
        <v>2019</v>
      </c>
      <c r="E689">
        <v>2</v>
      </c>
      <c r="F689">
        <v>40</v>
      </c>
      <c r="G689">
        <v>3</v>
      </c>
      <c r="H689">
        <v>11</v>
      </c>
      <c r="I689">
        <v>0</v>
      </c>
      <c r="J689">
        <v>1.1399999999999999</v>
      </c>
      <c r="K689" t="s">
        <v>721</v>
      </c>
      <c r="L689" t="s">
        <v>1603</v>
      </c>
    </row>
    <row r="690" spans="1:12">
      <c r="A690">
        <v>688</v>
      </c>
      <c r="B690" t="s">
        <v>3</v>
      </c>
      <c r="C690" t="s">
        <v>722</v>
      </c>
      <c r="D690">
        <v>2019</v>
      </c>
      <c r="E690">
        <v>2</v>
      </c>
      <c r="F690">
        <v>40</v>
      </c>
      <c r="G690">
        <v>3</v>
      </c>
      <c r="H690">
        <v>11</v>
      </c>
      <c r="I690">
        <v>0</v>
      </c>
      <c r="J690">
        <v>1.1399999999999999</v>
      </c>
      <c r="K690" t="s">
        <v>721</v>
      </c>
      <c r="L690" t="s">
        <v>1604</v>
      </c>
    </row>
    <row r="691" spans="1:12">
      <c r="A691">
        <v>689</v>
      </c>
      <c r="B691" t="s">
        <v>3</v>
      </c>
      <c r="C691" t="s">
        <v>722</v>
      </c>
      <c r="D691">
        <v>2019</v>
      </c>
      <c r="E691">
        <v>2</v>
      </c>
      <c r="F691">
        <v>41</v>
      </c>
      <c r="G691">
        <v>3</v>
      </c>
      <c r="H691">
        <v>11</v>
      </c>
      <c r="I691">
        <v>0</v>
      </c>
      <c r="J691">
        <v>0.21</v>
      </c>
      <c r="K691" t="s">
        <v>721</v>
      </c>
      <c r="L691" t="s">
        <v>1605</v>
      </c>
    </row>
    <row r="692" spans="1:12">
      <c r="A692">
        <v>690</v>
      </c>
      <c r="B692" t="s">
        <v>3</v>
      </c>
      <c r="C692" t="s">
        <v>722</v>
      </c>
      <c r="D692">
        <v>2019</v>
      </c>
      <c r="E692">
        <v>3</v>
      </c>
      <c r="F692">
        <v>8</v>
      </c>
      <c r="G692">
        <v>3</v>
      </c>
      <c r="H692">
        <v>15</v>
      </c>
      <c r="I692">
        <v>0</v>
      </c>
      <c r="J692">
        <v>-801</v>
      </c>
      <c r="K692" t="s">
        <v>721</v>
      </c>
      <c r="L692" t="s">
        <v>1599</v>
      </c>
    </row>
    <row r="693" spans="1:12">
      <c r="A693">
        <v>691</v>
      </c>
      <c r="B693" t="s">
        <v>3</v>
      </c>
      <c r="C693" t="s">
        <v>722</v>
      </c>
      <c r="D693">
        <v>2019</v>
      </c>
      <c r="E693">
        <v>3</v>
      </c>
      <c r="F693">
        <v>26</v>
      </c>
      <c r="G693">
        <v>3</v>
      </c>
      <c r="H693">
        <v>15</v>
      </c>
      <c r="I693">
        <v>0</v>
      </c>
      <c r="J693">
        <v>1052</v>
      </c>
      <c r="K693" t="s">
        <v>721</v>
      </c>
      <c r="L693" t="s">
        <v>1622</v>
      </c>
    </row>
    <row r="694" spans="1:12">
      <c r="A694">
        <v>692</v>
      </c>
      <c r="B694" t="s">
        <v>3</v>
      </c>
      <c r="C694" t="s">
        <v>722</v>
      </c>
      <c r="D694">
        <v>2019</v>
      </c>
      <c r="E694">
        <v>3</v>
      </c>
      <c r="F694">
        <v>26</v>
      </c>
      <c r="G694">
        <v>3</v>
      </c>
      <c r="H694">
        <v>15</v>
      </c>
      <c r="I694">
        <v>0</v>
      </c>
      <c r="J694">
        <v>344.86</v>
      </c>
      <c r="K694" t="s">
        <v>721</v>
      </c>
      <c r="L694" t="s">
        <v>1618</v>
      </c>
    </row>
    <row r="695" spans="1:12">
      <c r="A695">
        <v>693</v>
      </c>
      <c r="B695" t="s">
        <v>3</v>
      </c>
      <c r="C695" t="s">
        <v>722</v>
      </c>
      <c r="D695">
        <v>2019</v>
      </c>
      <c r="E695">
        <v>3</v>
      </c>
      <c r="F695">
        <v>27</v>
      </c>
      <c r="G695">
        <v>3</v>
      </c>
      <c r="H695">
        <v>15</v>
      </c>
      <c r="I695">
        <v>0</v>
      </c>
      <c r="J695">
        <v>35</v>
      </c>
      <c r="K695" t="s">
        <v>721</v>
      </c>
      <c r="L695" t="s">
        <v>1626</v>
      </c>
    </row>
    <row r="696" spans="1:12">
      <c r="A696">
        <v>694</v>
      </c>
      <c r="B696" t="s">
        <v>3</v>
      </c>
      <c r="C696" t="s">
        <v>722</v>
      </c>
      <c r="D696">
        <v>2019</v>
      </c>
      <c r="E696">
        <v>3</v>
      </c>
      <c r="F696">
        <v>29</v>
      </c>
      <c r="G696">
        <v>3</v>
      </c>
      <c r="H696">
        <v>15</v>
      </c>
      <c r="I696">
        <v>0</v>
      </c>
      <c r="J696">
        <v>13.25</v>
      </c>
      <c r="K696" t="s">
        <v>721</v>
      </c>
      <c r="L696" t="s">
        <v>1608</v>
      </c>
    </row>
    <row r="697" spans="1:12">
      <c r="A697">
        <v>695</v>
      </c>
      <c r="B697" t="s">
        <v>3</v>
      </c>
      <c r="C697" t="s">
        <v>722</v>
      </c>
      <c r="D697">
        <v>2019</v>
      </c>
      <c r="E697">
        <v>3</v>
      </c>
      <c r="F697">
        <v>40</v>
      </c>
      <c r="G697">
        <v>3</v>
      </c>
      <c r="H697">
        <v>15</v>
      </c>
      <c r="I697">
        <v>0</v>
      </c>
      <c r="J697">
        <v>48.85</v>
      </c>
      <c r="K697" t="s">
        <v>721</v>
      </c>
      <c r="L697" t="s">
        <v>1603</v>
      </c>
    </row>
    <row r="698" spans="1:12">
      <c r="A698">
        <v>696</v>
      </c>
      <c r="B698" t="s">
        <v>3</v>
      </c>
      <c r="C698" t="s">
        <v>722</v>
      </c>
      <c r="D698">
        <v>2019</v>
      </c>
      <c r="E698">
        <v>3</v>
      </c>
      <c r="F698">
        <v>40</v>
      </c>
      <c r="G698">
        <v>3</v>
      </c>
      <c r="H698">
        <v>15</v>
      </c>
      <c r="I698">
        <v>0</v>
      </c>
      <c r="J698">
        <v>48.84</v>
      </c>
      <c r="K698" t="s">
        <v>721</v>
      </c>
      <c r="L698" t="s">
        <v>1604</v>
      </c>
    </row>
    <row r="699" spans="1:12">
      <c r="A699">
        <v>697</v>
      </c>
      <c r="B699" t="s">
        <v>3</v>
      </c>
      <c r="C699" t="s">
        <v>722</v>
      </c>
      <c r="D699">
        <v>2019</v>
      </c>
      <c r="E699">
        <v>3</v>
      </c>
      <c r="F699">
        <v>41</v>
      </c>
      <c r="G699">
        <v>3</v>
      </c>
      <c r="H699">
        <v>15</v>
      </c>
      <c r="I699">
        <v>0</v>
      </c>
      <c r="J699">
        <v>8.9600000000000009</v>
      </c>
      <c r="K699" t="s">
        <v>721</v>
      </c>
      <c r="L699" t="s">
        <v>1605</v>
      </c>
    </row>
    <row r="700" spans="1:12">
      <c r="A700">
        <v>698</v>
      </c>
      <c r="B700" t="s">
        <v>3</v>
      </c>
      <c r="C700" t="s">
        <v>722</v>
      </c>
      <c r="D700">
        <v>2019</v>
      </c>
      <c r="E700">
        <v>4</v>
      </c>
      <c r="F700">
        <v>45</v>
      </c>
      <c r="G700">
        <v>3</v>
      </c>
      <c r="H700">
        <v>19</v>
      </c>
      <c r="I700">
        <v>0</v>
      </c>
      <c r="J700">
        <v>14</v>
      </c>
      <c r="K700" t="s">
        <v>721</v>
      </c>
      <c r="L700" t="s">
        <v>1606</v>
      </c>
    </row>
    <row r="701" spans="1:12">
      <c r="A701">
        <v>699</v>
      </c>
      <c r="B701" t="s">
        <v>3</v>
      </c>
      <c r="C701" t="s">
        <v>722</v>
      </c>
      <c r="D701">
        <v>2020</v>
      </c>
      <c r="E701">
        <v>1</v>
      </c>
      <c r="F701">
        <v>8</v>
      </c>
      <c r="G701">
        <v>2</v>
      </c>
      <c r="H701">
        <v>6</v>
      </c>
      <c r="I701">
        <v>-1615</v>
      </c>
      <c r="J701">
        <v>0</v>
      </c>
      <c r="K701" t="s">
        <v>721</v>
      </c>
      <c r="L701" t="s">
        <v>1599</v>
      </c>
    </row>
    <row r="702" spans="1:12">
      <c r="A702">
        <v>700</v>
      </c>
      <c r="B702" t="s">
        <v>3</v>
      </c>
      <c r="C702" t="s">
        <v>722</v>
      </c>
      <c r="D702">
        <v>2020</v>
      </c>
      <c r="E702">
        <v>1</v>
      </c>
      <c r="F702">
        <v>8</v>
      </c>
      <c r="G702">
        <v>2</v>
      </c>
      <c r="H702">
        <v>6</v>
      </c>
      <c r="I702">
        <v>0</v>
      </c>
      <c r="J702">
        <v>-807</v>
      </c>
      <c r="K702" t="s">
        <v>721</v>
      </c>
      <c r="L702" t="s">
        <v>1611</v>
      </c>
    </row>
    <row r="703" spans="1:12">
      <c r="A703">
        <v>701</v>
      </c>
      <c r="B703" t="s">
        <v>3</v>
      </c>
      <c r="C703" t="s">
        <v>722</v>
      </c>
      <c r="D703">
        <v>2020</v>
      </c>
      <c r="E703">
        <v>1</v>
      </c>
      <c r="F703">
        <v>23</v>
      </c>
      <c r="G703">
        <v>2</v>
      </c>
      <c r="H703">
        <v>6</v>
      </c>
      <c r="I703">
        <v>1500</v>
      </c>
      <c r="J703">
        <v>0</v>
      </c>
      <c r="K703" t="s">
        <v>721</v>
      </c>
      <c r="L703" t="s">
        <v>1602</v>
      </c>
    </row>
    <row r="704" spans="1:12">
      <c r="A704">
        <v>702</v>
      </c>
      <c r="B704" t="s">
        <v>3</v>
      </c>
      <c r="C704" t="s">
        <v>722</v>
      </c>
      <c r="D704">
        <v>2020</v>
      </c>
      <c r="E704">
        <v>1</v>
      </c>
      <c r="F704">
        <v>29</v>
      </c>
      <c r="G704">
        <v>2</v>
      </c>
      <c r="H704">
        <v>6</v>
      </c>
      <c r="I704">
        <v>0</v>
      </c>
      <c r="J704">
        <v>27.25</v>
      </c>
      <c r="K704" t="s">
        <v>721</v>
      </c>
      <c r="L704" t="s">
        <v>1608</v>
      </c>
    </row>
    <row r="705" spans="1:12">
      <c r="A705">
        <v>703</v>
      </c>
      <c r="B705" t="s">
        <v>3</v>
      </c>
      <c r="C705" t="s">
        <v>722</v>
      </c>
      <c r="D705">
        <v>2020</v>
      </c>
      <c r="E705">
        <v>1</v>
      </c>
      <c r="F705">
        <v>40</v>
      </c>
      <c r="G705">
        <v>2</v>
      </c>
      <c r="H705">
        <v>6</v>
      </c>
      <c r="I705">
        <v>106</v>
      </c>
      <c r="J705">
        <v>0.96</v>
      </c>
      <c r="K705" t="s">
        <v>721</v>
      </c>
      <c r="L705" t="s">
        <v>1603</v>
      </c>
    </row>
    <row r="706" spans="1:12">
      <c r="A706">
        <v>704</v>
      </c>
      <c r="B706" t="s">
        <v>3</v>
      </c>
      <c r="C706" t="s">
        <v>722</v>
      </c>
      <c r="D706">
        <v>2020</v>
      </c>
      <c r="E706">
        <v>1</v>
      </c>
      <c r="F706">
        <v>40</v>
      </c>
      <c r="G706">
        <v>2</v>
      </c>
      <c r="H706">
        <v>6</v>
      </c>
      <c r="I706">
        <v>0</v>
      </c>
      <c r="J706">
        <v>0.96</v>
      </c>
      <c r="K706" t="s">
        <v>721</v>
      </c>
      <c r="L706" t="s">
        <v>1604</v>
      </c>
    </row>
    <row r="707" spans="1:12">
      <c r="A707">
        <v>705</v>
      </c>
      <c r="B707" t="s">
        <v>3</v>
      </c>
      <c r="C707" t="s">
        <v>722</v>
      </c>
      <c r="D707">
        <v>2020</v>
      </c>
      <c r="E707">
        <v>1</v>
      </c>
      <c r="F707">
        <v>41</v>
      </c>
      <c r="G707">
        <v>2</v>
      </c>
      <c r="H707">
        <v>6</v>
      </c>
      <c r="I707">
        <v>9</v>
      </c>
      <c r="J707">
        <v>0.17</v>
      </c>
      <c r="K707" t="s">
        <v>721</v>
      </c>
      <c r="L707" t="s">
        <v>1605</v>
      </c>
    </row>
    <row r="708" spans="1:12">
      <c r="A708">
        <v>706</v>
      </c>
      <c r="B708" t="s">
        <v>3</v>
      </c>
      <c r="C708" t="s">
        <v>722</v>
      </c>
      <c r="D708">
        <v>2020</v>
      </c>
      <c r="E708">
        <v>2</v>
      </c>
      <c r="F708">
        <v>29</v>
      </c>
      <c r="G708">
        <v>2</v>
      </c>
      <c r="H708">
        <v>10</v>
      </c>
      <c r="I708">
        <v>0</v>
      </c>
      <c r="J708">
        <v>41.75</v>
      </c>
      <c r="K708" t="s">
        <v>721</v>
      </c>
      <c r="L708" t="s">
        <v>1608</v>
      </c>
    </row>
    <row r="709" spans="1:12">
      <c r="A709">
        <v>707</v>
      </c>
      <c r="B709" t="s">
        <v>3</v>
      </c>
      <c r="C709" t="s">
        <v>722</v>
      </c>
      <c r="D709">
        <v>2020</v>
      </c>
      <c r="E709">
        <v>2</v>
      </c>
      <c r="F709">
        <v>40</v>
      </c>
      <c r="G709">
        <v>2</v>
      </c>
      <c r="H709">
        <v>10</v>
      </c>
      <c r="I709">
        <v>0</v>
      </c>
      <c r="J709">
        <v>1.4800000000000002</v>
      </c>
      <c r="K709" t="s">
        <v>721</v>
      </c>
      <c r="L709" t="s">
        <v>1603</v>
      </c>
    </row>
    <row r="710" spans="1:12">
      <c r="A710">
        <v>708</v>
      </c>
      <c r="B710" t="s">
        <v>3</v>
      </c>
      <c r="C710" t="s">
        <v>722</v>
      </c>
      <c r="D710">
        <v>2020</v>
      </c>
      <c r="E710">
        <v>2</v>
      </c>
      <c r="F710">
        <v>40</v>
      </c>
      <c r="G710">
        <v>2</v>
      </c>
      <c r="H710">
        <v>10</v>
      </c>
      <c r="I710">
        <v>0</v>
      </c>
      <c r="J710">
        <v>1.47</v>
      </c>
      <c r="K710" t="s">
        <v>721</v>
      </c>
      <c r="L710" t="s">
        <v>1604</v>
      </c>
    </row>
    <row r="711" spans="1:12">
      <c r="A711">
        <v>709</v>
      </c>
      <c r="B711" t="s">
        <v>3</v>
      </c>
      <c r="C711" t="s">
        <v>722</v>
      </c>
      <c r="D711">
        <v>2020</v>
      </c>
      <c r="E711">
        <v>2</v>
      </c>
      <c r="F711">
        <v>41</v>
      </c>
      <c r="G711">
        <v>2</v>
      </c>
      <c r="H711">
        <v>10</v>
      </c>
      <c r="I711">
        <v>0</v>
      </c>
      <c r="J711">
        <v>0.26</v>
      </c>
      <c r="K711" t="s">
        <v>721</v>
      </c>
      <c r="L711" t="s">
        <v>1605</v>
      </c>
    </row>
    <row r="712" spans="1:12">
      <c r="A712">
        <v>710</v>
      </c>
      <c r="B712" t="s">
        <v>3</v>
      </c>
      <c r="C712" t="s">
        <v>722</v>
      </c>
      <c r="D712">
        <v>2020</v>
      </c>
      <c r="E712">
        <v>3</v>
      </c>
      <c r="F712">
        <v>8</v>
      </c>
      <c r="G712">
        <v>2</v>
      </c>
      <c r="H712">
        <v>14</v>
      </c>
      <c r="I712">
        <v>0</v>
      </c>
      <c r="J712">
        <v>-808</v>
      </c>
      <c r="K712" t="s">
        <v>721</v>
      </c>
      <c r="L712" t="s">
        <v>1611</v>
      </c>
    </row>
    <row r="713" spans="1:12">
      <c r="A713">
        <v>711</v>
      </c>
      <c r="B713" t="s">
        <v>3</v>
      </c>
      <c r="C713" t="s">
        <v>722</v>
      </c>
      <c r="D713">
        <v>2020</v>
      </c>
      <c r="E713">
        <v>3</v>
      </c>
      <c r="F713">
        <v>26</v>
      </c>
      <c r="G713">
        <v>2</v>
      </c>
      <c r="H713">
        <v>14</v>
      </c>
      <c r="I713">
        <v>0</v>
      </c>
      <c r="J713">
        <v>1485.1999999999998</v>
      </c>
      <c r="K713" t="s">
        <v>721</v>
      </c>
      <c r="L713" t="s">
        <v>1622</v>
      </c>
    </row>
    <row r="714" spans="1:12">
      <c r="A714">
        <v>712</v>
      </c>
      <c r="B714" t="s">
        <v>3</v>
      </c>
      <c r="C714" t="s">
        <v>722</v>
      </c>
      <c r="D714">
        <v>2020</v>
      </c>
      <c r="E714">
        <v>3</v>
      </c>
      <c r="F714">
        <v>29</v>
      </c>
      <c r="G714">
        <v>2</v>
      </c>
      <c r="H714">
        <v>14</v>
      </c>
      <c r="I714">
        <v>0</v>
      </c>
      <c r="J714">
        <v>104</v>
      </c>
      <c r="K714" t="s">
        <v>721</v>
      </c>
      <c r="L714" t="s">
        <v>1625</v>
      </c>
    </row>
    <row r="715" spans="1:12">
      <c r="A715">
        <v>713</v>
      </c>
      <c r="B715" t="s">
        <v>3</v>
      </c>
      <c r="C715" t="s">
        <v>722</v>
      </c>
      <c r="D715">
        <v>2020</v>
      </c>
      <c r="E715">
        <v>3</v>
      </c>
      <c r="F715">
        <v>40</v>
      </c>
      <c r="G715">
        <v>2</v>
      </c>
      <c r="H715">
        <v>14</v>
      </c>
      <c r="I715">
        <v>0</v>
      </c>
      <c r="J715">
        <v>56.1</v>
      </c>
      <c r="K715" t="s">
        <v>721</v>
      </c>
      <c r="L715" t="s">
        <v>1603</v>
      </c>
    </row>
    <row r="716" spans="1:12">
      <c r="A716">
        <v>714</v>
      </c>
      <c r="B716" t="s">
        <v>3</v>
      </c>
      <c r="C716" t="s">
        <v>722</v>
      </c>
      <c r="D716">
        <v>2020</v>
      </c>
      <c r="E716">
        <v>3</v>
      </c>
      <c r="F716">
        <v>40</v>
      </c>
      <c r="G716">
        <v>2</v>
      </c>
      <c r="H716">
        <v>14</v>
      </c>
      <c r="I716">
        <v>0</v>
      </c>
      <c r="J716">
        <v>56.1</v>
      </c>
      <c r="K716" t="s">
        <v>721</v>
      </c>
      <c r="L716" t="s">
        <v>1604</v>
      </c>
    </row>
    <row r="717" spans="1:12">
      <c r="A717">
        <v>715</v>
      </c>
      <c r="B717" t="s">
        <v>3</v>
      </c>
      <c r="C717" t="s">
        <v>722</v>
      </c>
      <c r="D717">
        <v>2020</v>
      </c>
      <c r="E717">
        <v>3</v>
      </c>
      <c r="F717">
        <v>41</v>
      </c>
      <c r="G717">
        <v>2</v>
      </c>
      <c r="H717">
        <v>14</v>
      </c>
      <c r="I717">
        <v>0</v>
      </c>
      <c r="J717">
        <v>9.85</v>
      </c>
      <c r="K717" t="s">
        <v>721</v>
      </c>
      <c r="L717" t="s">
        <v>1605</v>
      </c>
    </row>
    <row r="718" spans="1:12">
      <c r="A718">
        <v>716</v>
      </c>
      <c r="B718" t="s">
        <v>3</v>
      </c>
      <c r="C718" t="s">
        <v>722</v>
      </c>
      <c r="D718">
        <v>2020</v>
      </c>
      <c r="E718">
        <v>4</v>
      </c>
      <c r="F718">
        <v>11</v>
      </c>
      <c r="G718">
        <v>2</v>
      </c>
      <c r="H718">
        <v>18</v>
      </c>
      <c r="I718">
        <v>0</v>
      </c>
      <c r="J718">
        <v>-183.33</v>
      </c>
      <c r="K718" t="s">
        <v>721</v>
      </c>
      <c r="L718" t="s">
        <v>1607</v>
      </c>
    </row>
    <row r="719" spans="1:12">
      <c r="A719">
        <v>717</v>
      </c>
      <c r="B719" t="s">
        <v>3</v>
      </c>
      <c r="C719" t="s">
        <v>722</v>
      </c>
      <c r="D719">
        <v>2020</v>
      </c>
      <c r="E719">
        <v>4</v>
      </c>
      <c r="F719">
        <v>25</v>
      </c>
      <c r="G719">
        <v>2</v>
      </c>
      <c r="H719">
        <v>18</v>
      </c>
      <c r="I719">
        <v>0</v>
      </c>
      <c r="J719">
        <v>11.87</v>
      </c>
      <c r="K719" t="s">
        <v>721</v>
      </c>
      <c r="L719" t="s">
        <v>1632</v>
      </c>
    </row>
    <row r="720" spans="1:12">
      <c r="A720">
        <v>718</v>
      </c>
      <c r="B720" t="s">
        <v>3</v>
      </c>
      <c r="C720" t="s">
        <v>722</v>
      </c>
      <c r="D720">
        <v>2020</v>
      </c>
      <c r="E720">
        <v>4</v>
      </c>
      <c r="F720">
        <v>40</v>
      </c>
      <c r="G720">
        <v>2</v>
      </c>
      <c r="H720">
        <v>18</v>
      </c>
      <c r="I720">
        <v>0</v>
      </c>
      <c r="J720">
        <v>0.42</v>
      </c>
      <c r="K720" t="s">
        <v>721</v>
      </c>
      <c r="L720" t="s">
        <v>1603</v>
      </c>
    </row>
    <row r="721" spans="1:12">
      <c r="A721">
        <v>719</v>
      </c>
      <c r="B721" t="s">
        <v>3</v>
      </c>
      <c r="C721" t="s">
        <v>722</v>
      </c>
      <c r="D721">
        <v>2020</v>
      </c>
      <c r="E721">
        <v>4</v>
      </c>
      <c r="F721">
        <v>40</v>
      </c>
      <c r="G721">
        <v>2</v>
      </c>
      <c r="H721">
        <v>18</v>
      </c>
      <c r="I721">
        <v>0</v>
      </c>
      <c r="J721">
        <v>0.42</v>
      </c>
      <c r="K721" t="s">
        <v>721</v>
      </c>
      <c r="L721" t="s">
        <v>1604</v>
      </c>
    </row>
    <row r="722" spans="1:12">
      <c r="A722">
        <v>720</v>
      </c>
      <c r="B722" t="s">
        <v>3</v>
      </c>
      <c r="C722" t="s">
        <v>722</v>
      </c>
      <c r="D722">
        <v>2020</v>
      </c>
      <c r="E722">
        <v>4</v>
      </c>
      <c r="F722">
        <v>41</v>
      </c>
      <c r="G722">
        <v>2</v>
      </c>
      <c r="H722">
        <v>18</v>
      </c>
      <c r="I722">
        <v>0</v>
      </c>
      <c r="J722">
        <v>7.0000000000000007E-2</v>
      </c>
      <c r="K722" t="s">
        <v>721</v>
      </c>
      <c r="L722" t="s">
        <v>1605</v>
      </c>
    </row>
    <row r="723" spans="1:12">
      <c r="A723">
        <v>721</v>
      </c>
      <c r="B723" t="s">
        <v>3</v>
      </c>
      <c r="C723" t="s">
        <v>724</v>
      </c>
      <c r="D723">
        <v>2017</v>
      </c>
      <c r="E723">
        <v>1</v>
      </c>
      <c r="F723">
        <v>8</v>
      </c>
      <c r="G723">
        <v>5</v>
      </c>
      <c r="H723">
        <v>9</v>
      </c>
      <c r="I723">
        <v>-42082</v>
      </c>
      <c r="J723">
        <v>-21041</v>
      </c>
      <c r="K723" t="s">
        <v>723</v>
      </c>
      <c r="L723" t="s">
        <v>1599</v>
      </c>
    </row>
    <row r="724" spans="1:12">
      <c r="A724">
        <v>722</v>
      </c>
      <c r="B724" t="s">
        <v>3</v>
      </c>
      <c r="C724" t="s">
        <v>724</v>
      </c>
      <c r="D724">
        <v>2017</v>
      </c>
      <c r="E724">
        <v>1</v>
      </c>
      <c r="F724">
        <v>23</v>
      </c>
      <c r="G724">
        <v>5</v>
      </c>
      <c r="H724">
        <v>9</v>
      </c>
      <c r="I724">
        <v>39499</v>
      </c>
      <c r="J724">
        <v>0</v>
      </c>
      <c r="K724" t="s">
        <v>723</v>
      </c>
      <c r="L724" t="s">
        <v>1602</v>
      </c>
    </row>
    <row r="725" spans="1:12">
      <c r="A725">
        <v>723</v>
      </c>
      <c r="B725" t="s">
        <v>3</v>
      </c>
      <c r="C725" t="s">
        <v>724</v>
      </c>
      <c r="D725">
        <v>2017</v>
      </c>
      <c r="E725">
        <v>1</v>
      </c>
      <c r="F725">
        <v>28</v>
      </c>
      <c r="G725">
        <v>5</v>
      </c>
      <c r="H725">
        <v>9</v>
      </c>
      <c r="I725">
        <v>0</v>
      </c>
      <c r="J725">
        <v>50.9</v>
      </c>
      <c r="K725" t="s">
        <v>723</v>
      </c>
      <c r="L725" t="s">
        <v>1638</v>
      </c>
    </row>
    <row r="726" spans="1:12">
      <c r="A726">
        <v>724</v>
      </c>
      <c r="B726" t="s">
        <v>3</v>
      </c>
      <c r="C726" t="s">
        <v>724</v>
      </c>
      <c r="D726">
        <v>2017</v>
      </c>
      <c r="E726">
        <v>1</v>
      </c>
      <c r="F726">
        <v>28</v>
      </c>
      <c r="G726">
        <v>5</v>
      </c>
      <c r="H726">
        <v>9</v>
      </c>
      <c r="I726">
        <v>0</v>
      </c>
      <c r="J726">
        <v>0</v>
      </c>
      <c r="K726" t="s">
        <v>723</v>
      </c>
      <c r="L726" t="s">
        <v>1634</v>
      </c>
    </row>
    <row r="727" spans="1:12">
      <c r="A727">
        <v>725</v>
      </c>
      <c r="B727" t="s">
        <v>3</v>
      </c>
      <c r="C727" t="s">
        <v>724</v>
      </c>
      <c r="D727">
        <v>2017</v>
      </c>
      <c r="E727">
        <v>1</v>
      </c>
      <c r="F727">
        <v>40</v>
      </c>
      <c r="G727">
        <v>5</v>
      </c>
      <c r="H727">
        <v>9</v>
      </c>
      <c r="I727">
        <v>2386</v>
      </c>
      <c r="J727">
        <v>1.5299999999999998</v>
      </c>
      <c r="K727" t="s">
        <v>723</v>
      </c>
      <c r="L727" t="s">
        <v>1603</v>
      </c>
    </row>
    <row r="728" spans="1:12">
      <c r="A728">
        <v>726</v>
      </c>
      <c r="B728" t="s">
        <v>3</v>
      </c>
      <c r="C728" t="s">
        <v>724</v>
      </c>
      <c r="D728">
        <v>2017</v>
      </c>
      <c r="E728">
        <v>1</v>
      </c>
      <c r="F728">
        <v>40</v>
      </c>
      <c r="G728">
        <v>5</v>
      </c>
      <c r="H728">
        <v>9</v>
      </c>
      <c r="I728">
        <v>0</v>
      </c>
      <c r="J728">
        <v>1.54</v>
      </c>
      <c r="K728" t="s">
        <v>723</v>
      </c>
      <c r="L728" t="s">
        <v>1604</v>
      </c>
    </row>
    <row r="729" spans="1:12">
      <c r="A729">
        <v>727</v>
      </c>
      <c r="B729" t="s">
        <v>3</v>
      </c>
      <c r="C729" t="s">
        <v>724</v>
      </c>
      <c r="D729">
        <v>2017</v>
      </c>
      <c r="E729">
        <v>1</v>
      </c>
      <c r="F729">
        <v>41</v>
      </c>
      <c r="G729">
        <v>5</v>
      </c>
      <c r="H729">
        <v>9</v>
      </c>
      <c r="I729">
        <v>197</v>
      </c>
      <c r="J729">
        <v>0.25</v>
      </c>
      <c r="K729" t="s">
        <v>723</v>
      </c>
      <c r="L729" t="s">
        <v>1605</v>
      </c>
    </row>
    <row r="730" spans="1:12">
      <c r="A730">
        <v>728</v>
      </c>
      <c r="B730" t="s">
        <v>3</v>
      </c>
      <c r="C730" t="s">
        <v>724</v>
      </c>
      <c r="D730">
        <v>2017</v>
      </c>
      <c r="E730">
        <v>2</v>
      </c>
      <c r="F730">
        <v>25</v>
      </c>
      <c r="G730">
        <v>5</v>
      </c>
      <c r="H730">
        <v>13</v>
      </c>
      <c r="I730">
        <v>0</v>
      </c>
      <c r="J730">
        <v>7.29</v>
      </c>
      <c r="K730" t="s">
        <v>723</v>
      </c>
      <c r="L730" t="s">
        <v>1654</v>
      </c>
    </row>
    <row r="731" spans="1:12">
      <c r="A731">
        <v>729</v>
      </c>
      <c r="B731" t="s">
        <v>3</v>
      </c>
      <c r="C731" t="s">
        <v>724</v>
      </c>
      <c r="D731">
        <v>2017</v>
      </c>
      <c r="E731">
        <v>2</v>
      </c>
      <c r="F731">
        <v>26</v>
      </c>
      <c r="G731">
        <v>5</v>
      </c>
      <c r="H731">
        <v>13</v>
      </c>
      <c r="I731">
        <v>0</v>
      </c>
      <c r="J731">
        <v>526.1</v>
      </c>
      <c r="K731" t="s">
        <v>723</v>
      </c>
      <c r="L731" t="s">
        <v>1622</v>
      </c>
    </row>
    <row r="732" spans="1:12">
      <c r="A732">
        <v>730</v>
      </c>
      <c r="B732" t="s">
        <v>3</v>
      </c>
      <c r="C732" t="s">
        <v>724</v>
      </c>
      <c r="D732">
        <v>2017</v>
      </c>
      <c r="E732">
        <v>2</v>
      </c>
      <c r="F732">
        <v>26</v>
      </c>
      <c r="G732">
        <v>5</v>
      </c>
      <c r="H732">
        <v>13</v>
      </c>
      <c r="I732">
        <v>0</v>
      </c>
      <c r="J732">
        <v>232.5</v>
      </c>
      <c r="K732" t="s">
        <v>723</v>
      </c>
      <c r="L732" t="s">
        <v>1618</v>
      </c>
    </row>
    <row r="733" spans="1:12">
      <c r="A733">
        <v>731</v>
      </c>
      <c r="B733" t="s">
        <v>3</v>
      </c>
      <c r="C733" t="s">
        <v>724</v>
      </c>
      <c r="D733">
        <v>2017</v>
      </c>
      <c r="E733">
        <v>2</v>
      </c>
      <c r="F733">
        <v>27</v>
      </c>
      <c r="G733">
        <v>5</v>
      </c>
      <c r="H733">
        <v>13</v>
      </c>
      <c r="I733">
        <v>0</v>
      </c>
      <c r="J733">
        <v>630.25</v>
      </c>
      <c r="K733" t="s">
        <v>723</v>
      </c>
      <c r="L733" t="s">
        <v>1626</v>
      </c>
    </row>
    <row r="734" spans="1:12">
      <c r="A734">
        <v>732</v>
      </c>
      <c r="B734" t="s">
        <v>3</v>
      </c>
      <c r="C734" t="s">
        <v>724</v>
      </c>
      <c r="D734">
        <v>2017</v>
      </c>
      <c r="E734">
        <v>2</v>
      </c>
      <c r="F734">
        <v>28</v>
      </c>
      <c r="G734">
        <v>5</v>
      </c>
      <c r="H734">
        <v>13</v>
      </c>
      <c r="I734">
        <v>0</v>
      </c>
      <c r="J734">
        <v>66.14</v>
      </c>
      <c r="K734" t="s">
        <v>723</v>
      </c>
      <c r="L734" t="s">
        <v>1638</v>
      </c>
    </row>
    <row r="735" spans="1:12">
      <c r="A735">
        <v>733</v>
      </c>
      <c r="B735" t="s">
        <v>3</v>
      </c>
      <c r="C735" t="s">
        <v>724</v>
      </c>
      <c r="D735">
        <v>2017</v>
      </c>
      <c r="E735">
        <v>2</v>
      </c>
      <c r="F735">
        <v>28</v>
      </c>
      <c r="G735">
        <v>5</v>
      </c>
      <c r="H735">
        <v>13</v>
      </c>
      <c r="I735">
        <v>0</v>
      </c>
      <c r="J735">
        <v>1137.7</v>
      </c>
      <c r="K735" t="s">
        <v>723</v>
      </c>
      <c r="L735" t="s">
        <v>1634</v>
      </c>
    </row>
    <row r="736" spans="1:12">
      <c r="A736">
        <v>734</v>
      </c>
      <c r="B736" t="s">
        <v>3</v>
      </c>
      <c r="C736" t="s">
        <v>724</v>
      </c>
      <c r="D736">
        <v>2017</v>
      </c>
      <c r="E736">
        <v>2</v>
      </c>
      <c r="F736">
        <v>29</v>
      </c>
      <c r="G736">
        <v>5</v>
      </c>
      <c r="H736">
        <v>13</v>
      </c>
      <c r="I736">
        <v>0</v>
      </c>
      <c r="J736">
        <v>84</v>
      </c>
      <c r="K736" t="s">
        <v>723</v>
      </c>
      <c r="L736" t="s">
        <v>1655</v>
      </c>
    </row>
    <row r="737" spans="1:12">
      <c r="A737">
        <v>735</v>
      </c>
      <c r="B737" t="s">
        <v>3</v>
      </c>
      <c r="C737" t="s">
        <v>724</v>
      </c>
      <c r="D737">
        <v>2017</v>
      </c>
      <c r="E737">
        <v>2</v>
      </c>
      <c r="F737">
        <v>29</v>
      </c>
      <c r="G737">
        <v>5</v>
      </c>
      <c r="H737">
        <v>13</v>
      </c>
      <c r="I737">
        <v>0</v>
      </c>
      <c r="J737">
        <v>602.5</v>
      </c>
      <c r="K737" t="s">
        <v>723</v>
      </c>
      <c r="L737" t="s">
        <v>1620</v>
      </c>
    </row>
    <row r="738" spans="1:12">
      <c r="A738">
        <v>736</v>
      </c>
      <c r="B738" t="s">
        <v>3</v>
      </c>
      <c r="C738" t="s">
        <v>724</v>
      </c>
      <c r="D738">
        <v>2017</v>
      </c>
      <c r="E738">
        <v>2</v>
      </c>
      <c r="F738">
        <v>29</v>
      </c>
      <c r="G738">
        <v>5</v>
      </c>
      <c r="H738">
        <v>13</v>
      </c>
      <c r="I738">
        <v>0</v>
      </c>
      <c r="J738">
        <v>490.27</v>
      </c>
      <c r="K738" t="s">
        <v>723</v>
      </c>
      <c r="L738" t="s">
        <v>1608</v>
      </c>
    </row>
    <row r="739" spans="1:12">
      <c r="A739">
        <v>737</v>
      </c>
      <c r="B739" t="s">
        <v>3</v>
      </c>
      <c r="C739" t="s">
        <v>724</v>
      </c>
      <c r="D739">
        <v>2017</v>
      </c>
      <c r="E739">
        <v>2</v>
      </c>
      <c r="F739">
        <v>29</v>
      </c>
      <c r="G739">
        <v>5</v>
      </c>
      <c r="H739">
        <v>13</v>
      </c>
      <c r="I739">
        <v>0</v>
      </c>
      <c r="J739">
        <v>2651</v>
      </c>
      <c r="K739" t="s">
        <v>723</v>
      </c>
      <c r="L739" t="s">
        <v>1625</v>
      </c>
    </row>
    <row r="740" spans="1:12">
      <c r="A740">
        <v>738</v>
      </c>
      <c r="B740" t="s">
        <v>3</v>
      </c>
      <c r="C740" t="s">
        <v>724</v>
      </c>
      <c r="D740">
        <v>2017</v>
      </c>
      <c r="E740">
        <v>2</v>
      </c>
      <c r="F740">
        <v>29</v>
      </c>
      <c r="G740">
        <v>5</v>
      </c>
      <c r="H740">
        <v>13</v>
      </c>
      <c r="I740">
        <v>0</v>
      </c>
      <c r="J740">
        <v>8293.85</v>
      </c>
      <c r="K740" t="s">
        <v>723</v>
      </c>
      <c r="L740" t="s">
        <v>1635</v>
      </c>
    </row>
    <row r="741" spans="1:12">
      <c r="A741">
        <v>739</v>
      </c>
      <c r="B741" t="s">
        <v>3</v>
      </c>
      <c r="C741" t="s">
        <v>724</v>
      </c>
      <c r="D741">
        <v>2017</v>
      </c>
      <c r="E741">
        <v>2</v>
      </c>
      <c r="F741">
        <v>29</v>
      </c>
      <c r="G741">
        <v>5</v>
      </c>
      <c r="H741">
        <v>13</v>
      </c>
      <c r="I741">
        <v>0</v>
      </c>
      <c r="J741">
        <v>20.9</v>
      </c>
      <c r="K741" t="s">
        <v>723</v>
      </c>
      <c r="L741" t="s">
        <v>1629</v>
      </c>
    </row>
    <row r="742" spans="1:12">
      <c r="A742">
        <v>740</v>
      </c>
      <c r="B742" t="s">
        <v>3</v>
      </c>
      <c r="C742" t="s">
        <v>724</v>
      </c>
      <c r="D742">
        <v>2017</v>
      </c>
      <c r="E742">
        <v>2</v>
      </c>
      <c r="F742">
        <v>29</v>
      </c>
      <c r="G742">
        <v>5</v>
      </c>
      <c r="H742">
        <v>13</v>
      </c>
      <c r="I742">
        <v>0</v>
      </c>
      <c r="J742">
        <v>1331.31</v>
      </c>
      <c r="K742" t="s">
        <v>723</v>
      </c>
      <c r="L742" t="s">
        <v>1656</v>
      </c>
    </row>
    <row r="743" spans="1:12">
      <c r="A743">
        <v>741</v>
      </c>
      <c r="B743" t="s">
        <v>3</v>
      </c>
      <c r="C743" t="s">
        <v>724</v>
      </c>
      <c r="D743">
        <v>2017</v>
      </c>
      <c r="E743">
        <v>2</v>
      </c>
      <c r="F743">
        <v>40</v>
      </c>
      <c r="G743">
        <v>5</v>
      </c>
      <c r="H743">
        <v>13</v>
      </c>
      <c r="I743">
        <v>0</v>
      </c>
      <c r="J743">
        <v>485.43</v>
      </c>
      <c r="K743" t="s">
        <v>723</v>
      </c>
      <c r="L743" t="s">
        <v>1603</v>
      </c>
    </row>
    <row r="744" spans="1:12">
      <c r="A744">
        <v>742</v>
      </c>
      <c r="B744" t="s">
        <v>3</v>
      </c>
      <c r="C744" t="s">
        <v>724</v>
      </c>
      <c r="D744">
        <v>2017</v>
      </c>
      <c r="E744">
        <v>2</v>
      </c>
      <c r="F744">
        <v>40</v>
      </c>
      <c r="G744">
        <v>5</v>
      </c>
      <c r="H744">
        <v>13</v>
      </c>
      <c r="I744">
        <v>0</v>
      </c>
      <c r="J744">
        <v>485.43</v>
      </c>
      <c r="K744" t="s">
        <v>723</v>
      </c>
      <c r="L744" t="s">
        <v>1604</v>
      </c>
    </row>
    <row r="745" spans="1:12">
      <c r="A745">
        <v>743</v>
      </c>
      <c r="B745" t="s">
        <v>3</v>
      </c>
      <c r="C745" t="s">
        <v>724</v>
      </c>
      <c r="D745">
        <v>2017</v>
      </c>
      <c r="E745">
        <v>2</v>
      </c>
      <c r="F745">
        <v>41</v>
      </c>
      <c r="G745">
        <v>5</v>
      </c>
      <c r="H745">
        <v>13</v>
      </c>
      <c r="I745">
        <v>0</v>
      </c>
      <c r="J745">
        <v>80.36</v>
      </c>
      <c r="K745" t="s">
        <v>723</v>
      </c>
      <c r="L745" t="s">
        <v>1605</v>
      </c>
    </row>
    <row r="746" spans="1:12">
      <c r="A746">
        <v>744</v>
      </c>
      <c r="B746" t="s">
        <v>3</v>
      </c>
      <c r="C746" t="s">
        <v>724</v>
      </c>
      <c r="D746">
        <v>2017</v>
      </c>
      <c r="E746">
        <v>3</v>
      </c>
      <c r="F746">
        <v>8</v>
      </c>
      <c r="G746">
        <v>5</v>
      </c>
      <c r="H746">
        <v>17</v>
      </c>
      <c r="I746">
        <v>0</v>
      </c>
      <c r="J746">
        <v>-21041</v>
      </c>
      <c r="K746" t="s">
        <v>723</v>
      </c>
      <c r="L746" t="s">
        <v>1599</v>
      </c>
    </row>
    <row r="747" spans="1:12">
      <c r="A747">
        <v>745</v>
      </c>
      <c r="B747" t="s">
        <v>3</v>
      </c>
      <c r="C747" t="s">
        <v>724</v>
      </c>
      <c r="D747">
        <v>2017</v>
      </c>
      <c r="E747">
        <v>4</v>
      </c>
      <c r="F747">
        <v>26</v>
      </c>
      <c r="G747">
        <v>5</v>
      </c>
      <c r="H747">
        <v>21</v>
      </c>
      <c r="I747">
        <v>0</v>
      </c>
      <c r="J747">
        <v>420</v>
      </c>
      <c r="K747" t="s">
        <v>723</v>
      </c>
      <c r="L747" t="s">
        <v>1618</v>
      </c>
    </row>
    <row r="748" spans="1:12">
      <c r="A748">
        <v>746</v>
      </c>
      <c r="B748" t="s">
        <v>3</v>
      </c>
      <c r="C748" t="s">
        <v>724</v>
      </c>
      <c r="D748">
        <v>2017</v>
      </c>
      <c r="E748">
        <v>4</v>
      </c>
      <c r="F748">
        <v>26</v>
      </c>
      <c r="G748">
        <v>5</v>
      </c>
      <c r="H748">
        <v>21</v>
      </c>
      <c r="I748">
        <v>0</v>
      </c>
      <c r="J748">
        <v>150</v>
      </c>
      <c r="K748" t="s">
        <v>723</v>
      </c>
      <c r="L748" t="s">
        <v>1657</v>
      </c>
    </row>
    <row r="749" spans="1:12">
      <c r="A749">
        <v>747</v>
      </c>
      <c r="B749" t="s">
        <v>3</v>
      </c>
      <c r="C749" t="s">
        <v>724</v>
      </c>
      <c r="D749">
        <v>2017</v>
      </c>
      <c r="E749">
        <v>4</v>
      </c>
      <c r="F749">
        <v>29</v>
      </c>
      <c r="G749">
        <v>5</v>
      </c>
      <c r="H749">
        <v>21</v>
      </c>
      <c r="I749">
        <v>0</v>
      </c>
      <c r="J749">
        <v>17227</v>
      </c>
      <c r="K749" t="s">
        <v>723</v>
      </c>
      <c r="L749" t="s">
        <v>1635</v>
      </c>
    </row>
    <row r="750" spans="1:12">
      <c r="A750">
        <v>748</v>
      </c>
      <c r="B750" t="s">
        <v>3</v>
      </c>
      <c r="C750" t="s">
        <v>724</v>
      </c>
      <c r="D750">
        <v>2017</v>
      </c>
      <c r="E750">
        <v>4</v>
      </c>
      <c r="F750">
        <v>40</v>
      </c>
      <c r="G750">
        <v>5</v>
      </c>
      <c r="H750">
        <v>21</v>
      </c>
      <c r="I750">
        <v>0</v>
      </c>
      <c r="J750">
        <v>537.47</v>
      </c>
      <c r="K750" t="s">
        <v>723</v>
      </c>
      <c r="L750" t="s">
        <v>1603</v>
      </c>
    </row>
    <row r="751" spans="1:12">
      <c r="A751">
        <v>749</v>
      </c>
      <c r="B751" t="s">
        <v>3</v>
      </c>
      <c r="C751" t="s">
        <v>724</v>
      </c>
      <c r="D751">
        <v>2017</v>
      </c>
      <c r="E751">
        <v>4</v>
      </c>
      <c r="F751">
        <v>40</v>
      </c>
      <c r="G751">
        <v>5</v>
      </c>
      <c r="H751">
        <v>21</v>
      </c>
      <c r="I751">
        <v>0</v>
      </c>
      <c r="J751">
        <v>537.47</v>
      </c>
      <c r="K751" t="s">
        <v>723</v>
      </c>
      <c r="L751" t="s">
        <v>1604</v>
      </c>
    </row>
    <row r="752" spans="1:12">
      <c r="A752">
        <v>750</v>
      </c>
      <c r="B752" t="s">
        <v>3</v>
      </c>
      <c r="C752" t="s">
        <v>724</v>
      </c>
      <c r="D752">
        <v>2017</v>
      </c>
      <c r="E752">
        <v>4</v>
      </c>
      <c r="F752">
        <v>41</v>
      </c>
      <c r="G752">
        <v>5</v>
      </c>
      <c r="H752">
        <v>21</v>
      </c>
      <c r="I752">
        <v>0</v>
      </c>
      <c r="J752">
        <v>88.99</v>
      </c>
      <c r="K752" t="s">
        <v>723</v>
      </c>
      <c r="L752" t="s">
        <v>1605</v>
      </c>
    </row>
    <row r="753" spans="1:12">
      <c r="A753">
        <v>751</v>
      </c>
      <c r="B753" t="s">
        <v>3</v>
      </c>
      <c r="C753" t="s">
        <v>724</v>
      </c>
      <c r="D753">
        <v>2017</v>
      </c>
      <c r="E753">
        <v>4</v>
      </c>
      <c r="F753">
        <v>45</v>
      </c>
      <c r="G753">
        <v>5</v>
      </c>
      <c r="H753">
        <v>21</v>
      </c>
      <c r="I753">
        <v>0</v>
      </c>
      <c r="J753">
        <v>5941.82</v>
      </c>
      <c r="K753" t="s">
        <v>723</v>
      </c>
      <c r="L753" t="s">
        <v>1606</v>
      </c>
    </row>
    <row r="754" spans="1:12">
      <c r="A754">
        <v>752</v>
      </c>
      <c r="B754" t="s">
        <v>3</v>
      </c>
      <c r="C754" t="s">
        <v>724</v>
      </c>
      <c r="D754">
        <v>2018</v>
      </c>
      <c r="E754">
        <v>1</v>
      </c>
      <c r="F754">
        <v>8</v>
      </c>
      <c r="G754">
        <v>4</v>
      </c>
      <c r="H754">
        <v>8</v>
      </c>
      <c r="I754">
        <v>-42082</v>
      </c>
      <c r="J754">
        <v>-21041</v>
      </c>
      <c r="K754" t="s">
        <v>723</v>
      </c>
      <c r="L754" t="s">
        <v>1599</v>
      </c>
    </row>
    <row r="755" spans="1:12">
      <c r="A755">
        <v>753</v>
      </c>
      <c r="B755" t="s">
        <v>3</v>
      </c>
      <c r="C755" t="s">
        <v>724</v>
      </c>
      <c r="D755">
        <v>2018</v>
      </c>
      <c r="E755">
        <v>1</v>
      </c>
      <c r="F755">
        <v>17</v>
      </c>
      <c r="G755">
        <v>4</v>
      </c>
      <c r="H755">
        <v>8</v>
      </c>
      <c r="I755">
        <v>0</v>
      </c>
      <c r="J755">
        <v>250</v>
      </c>
      <c r="K755" t="s">
        <v>723</v>
      </c>
      <c r="L755" t="s">
        <v>1600</v>
      </c>
    </row>
    <row r="756" spans="1:12">
      <c r="A756">
        <v>754</v>
      </c>
      <c r="B756" t="s">
        <v>3</v>
      </c>
      <c r="C756" t="s">
        <v>724</v>
      </c>
      <c r="D756">
        <v>2018</v>
      </c>
      <c r="E756">
        <v>1</v>
      </c>
      <c r="F756">
        <v>20</v>
      </c>
      <c r="G756">
        <v>4</v>
      </c>
      <c r="H756">
        <v>8</v>
      </c>
      <c r="I756">
        <v>0</v>
      </c>
      <c r="J756">
        <v>2.5</v>
      </c>
      <c r="K756" t="s">
        <v>723</v>
      </c>
      <c r="L756" t="s">
        <v>1601</v>
      </c>
    </row>
    <row r="757" spans="1:12">
      <c r="A757">
        <v>755</v>
      </c>
      <c r="B757" t="s">
        <v>3</v>
      </c>
      <c r="C757" t="s">
        <v>724</v>
      </c>
      <c r="D757">
        <v>2018</v>
      </c>
      <c r="E757">
        <v>1</v>
      </c>
      <c r="F757">
        <v>23</v>
      </c>
      <c r="G757">
        <v>4</v>
      </c>
      <c r="H757">
        <v>8</v>
      </c>
      <c r="I757">
        <v>39499</v>
      </c>
      <c r="J757">
        <v>0</v>
      </c>
      <c r="K757" t="s">
        <v>723</v>
      </c>
      <c r="L757" t="s">
        <v>1602</v>
      </c>
    </row>
    <row r="758" spans="1:12">
      <c r="A758">
        <v>756</v>
      </c>
      <c r="B758" t="s">
        <v>3</v>
      </c>
      <c r="C758" t="s">
        <v>724</v>
      </c>
      <c r="D758">
        <v>2018</v>
      </c>
      <c r="E758">
        <v>1</v>
      </c>
      <c r="F758">
        <v>40</v>
      </c>
      <c r="G758">
        <v>4</v>
      </c>
      <c r="H758">
        <v>8</v>
      </c>
      <c r="I758">
        <v>2386</v>
      </c>
      <c r="J758">
        <v>7.94</v>
      </c>
      <c r="K758" t="s">
        <v>723</v>
      </c>
      <c r="L758" t="s">
        <v>1603</v>
      </c>
    </row>
    <row r="759" spans="1:12">
      <c r="A759">
        <v>757</v>
      </c>
      <c r="B759" t="s">
        <v>3</v>
      </c>
      <c r="C759" t="s">
        <v>724</v>
      </c>
      <c r="D759">
        <v>2018</v>
      </c>
      <c r="E759">
        <v>1</v>
      </c>
      <c r="F759">
        <v>40</v>
      </c>
      <c r="G759">
        <v>4</v>
      </c>
      <c r="H759">
        <v>8</v>
      </c>
      <c r="I759">
        <v>0</v>
      </c>
      <c r="J759">
        <v>7.94</v>
      </c>
      <c r="K759" t="s">
        <v>723</v>
      </c>
      <c r="L759" t="s">
        <v>1604</v>
      </c>
    </row>
    <row r="760" spans="1:12">
      <c r="A760">
        <v>758</v>
      </c>
      <c r="B760" t="s">
        <v>3</v>
      </c>
      <c r="C760" t="s">
        <v>724</v>
      </c>
      <c r="D760">
        <v>2018</v>
      </c>
      <c r="E760">
        <v>1</v>
      </c>
      <c r="F760">
        <v>41</v>
      </c>
      <c r="G760">
        <v>4</v>
      </c>
      <c r="H760">
        <v>8</v>
      </c>
      <c r="I760">
        <v>197</v>
      </c>
      <c r="J760">
        <v>1.29</v>
      </c>
      <c r="K760" t="s">
        <v>723</v>
      </c>
      <c r="L760" t="s">
        <v>1605</v>
      </c>
    </row>
    <row r="761" spans="1:12">
      <c r="A761">
        <v>759</v>
      </c>
      <c r="B761" t="s">
        <v>3</v>
      </c>
      <c r="C761" t="s">
        <v>724</v>
      </c>
      <c r="D761">
        <v>2018</v>
      </c>
      <c r="E761">
        <v>2</v>
      </c>
      <c r="F761">
        <v>16</v>
      </c>
      <c r="G761">
        <v>4</v>
      </c>
      <c r="H761">
        <v>12</v>
      </c>
      <c r="I761">
        <v>0</v>
      </c>
      <c r="J761">
        <v>1000</v>
      </c>
      <c r="K761" t="s">
        <v>723</v>
      </c>
      <c r="L761" t="s">
        <v>1658</v>
      </c>
    </row>
    <row r="762" spans="1:12">
      <c r="A762">
        <v>760</v>
      </c>
      <c r="B762" t="s">
        <v>3</v>
      </c>
      <c r="C762" t="s">
        <v>724</v>
      </c>
      <c r="D762">
        <v>2018</v>
      </c>
      <c r="E762">
        <v>2</v>
      </c>
      <c r="F762">
        <v>17</v>
      </c>
      <c r="G762">
        <v>4</v>
      </c>
      <c r="H762">
        <v>12</v>
      </c>
      <c r="I762">
        <v>0</v>
      </c>
      <c r="J762">
        <v>2495</v>
      </c>
      <c r="K762" t="s">
        <v>723</v>
      </c>
      <c r="L762" t="s">
        <v>1600</v>
      </c>
    </row>
    <row r="763" spans="1:12">
      <c r="A763">
        <v>761</v>
      </c>
      <c r="B763" t="s">
        <v>3</v>
      </c>
      <c r="C763" t="s">
        <v>724</v>
      </c>
      <c r="D763">
        <v>2018</v>
      </c>
      <c r="E763">
        <v>2</v>
      </c>
      <c r="F763">
        <v>19</v>
      </c>
      <c r="G763">
        <v>4</v>
      </c>
      <c r="H763">
        <v>12</v>
      </c>
      <c r="I763">
        <v>0</v>
      </c>
      <c r="J763">
        <v>148</v>
      </c>
      <c r="K763" t="s">
        <v>723</v>
      </c>
      <c r="L763" t="s">
        <v>1659</v>
      </c>
    </row>
    <row r="764" spans="1:12">
      <c r="A764">
        <v>762</v>
      </c>
      <c r="B764" t="s">
        <v>3</v>
      </c>
      <c r="C764" t="s">
        <v>724</v>
      </c>
      <c r="D764">
        <v>2018</v>
      </c>
      <c r="E764">
        <v>2</v>
      </c>
      <c r="F764">
        <v>20</v>
      </c>
      <c r="G764">
        <v>4</v>
      </c>
      <c r="H764">
        <v>12</v>
      </c>
      <c r="I764">
        <v>0</v>
      </c>
      <c r="J764">
        <v>24.95</v>
      </c>
      <c r="K764" t="s">
        <v>723</v>
      </c>
      <c r="L764" t="s">
        <v>1601</v>
      </c>
    </row>
    <row r="765" spans="1:12">
      <c r="A765">
        <v>763</v>
      </c>
      <c r="B765" t="s">
        <v>3</v>
      </c>
      <c r="C765" t="s">
        <v>724</v>
      </c>
      <c r="D765">
        <v>2018</v>
      </c>
      <c r="E765">
        <v>2</v>
      </c>
      <c r="F765">
        <v>25</v>
      </c>
      <c r="G765">
        <v>4</v>
      </c>
      <c r="H765">
        <v>12</v>
      </c>
      <c r="I765">
        <v>0</v>
      </c>
      <c r="J765">
        <v>13</v>
      </c>
      <c r="K765" t="s">
        <v>723</v>
      </c>
      <c r="L765" t="s">
        <v>1637</v>
      </c>
    </row>
    <row r="766" spans="1:12">
      <c r="A766">
        <v>764</v>
      </c>
      <c r="B766" t="s">
        <v>3</v>
      </c>
      <c r="C766" t="s">
        <v>724</v>
      </c>
      <c r="D766">
        <v>2018</v>
      </c>
      <c r="E766">
        <v>2</v>
      </c>
      <c r="F766">
        <v>26</v>
      </c>
      <c r="G766">
        <v>4</v>
      </c>
      <c r="H766">
        <v>12</v>
      </c>
      <c r="I766">
        <v>0</v>
      </c>
      <c r="J766">
        <v>2957.41</v>
      </c>
      <c r="K766" t="s">
        <v>723</v>
      </c>
      <c r="L766" t="s">
        <v>1618</v>
      </c>
    </row>
    <row r="767" spans="1:12">
      <c r="A767">
        <v>765</v>
      </c>
      <c r="B767" t="s">
        <v>3</v>
      </c>
      <c r="C767" t="s">
        <v>724</v>
      </c>
      <c r="D767">
        <v>2018</v>
      </c>
      <c r="E767">
        <v>2</v>
      </c>
      <c r="F767">
        <v>28</v>
      </c>
      <c r="G767">
        <v>4</v>
      </c>
      <c r="H767">
        <v>12</v>
      </c>
      <c r="I767">
        <v>0</v>
      </c>
      <c r="J767">
        <v>378.84</v>
      </c>
      <c r="K767" t="s">
        <v>723</v>
      </c>
      <c r="L767" t="s">
        <v>1636</v>
      </c>
    </row>
    <row r="768" spans="1:12">
      <c r="A768">
        <v>766</v>
      </c>
      <c r="B768" t="s">
        <v>3</v>
      </c>
      <c r="C768" t="s">
        <v>724</v>
      </c>
      <c r="D768">
        <v>2018</v>
      </c>
      <c r="E768">
        <v>2</v>
      </c>
      <c r="F768">
        <v>28</v>
      </c>
      <c r="G768">
        <v>4</v>
      </c>
      <c r="H768">
        <v>12</v>
      </c>
      <c r="I768">
        <v>0</v>
      </c>
      <c r="J768">
        <v>74.34</v>
      </c>
      <c r="K768" t="s">
        <v>723</v>
      </c>
      <c r="L768" t="s">
        <v>1638</v>
      </c>
    </row>
    <row r="769" spans="1:12">
      <c r="A769">
        <v>767</v>
      </c>
      <c r="B769" t="s">
        <v>3</v>
      </c>
      <c r="C769" t="s">
        <v>724</v>
      </c>
      <c r="D769">
        <v>2018</v>
      </c>
      <c r="E769">
        <v>2</v>
      </c>
      <c r="F769">
        <v>28</v>
      </c>
      <c r="G769">
        <v>4</v>
      </c>
      <c r="H769">
        <v>12</v>
      </c>
      <c r="I769">
        <v>0</v>
      </c>
      <c r="J769">
        <v>527.78</v>
      </c>
      <c r="K769" t="s">
        <v>723</v>
      </c>
      <c r="L769" t="s">
        <v>1660</v>
      </c>
    </row>
    <row r="770" spans="1:12">
      <c r="A770">
        <v>768</v>
      </c>
      <c r="B770" t="s">
        <v>3</v>
      </c>
      <c r="C770" t="s">
        <v>724</v>
      </c>
      <c r="D770">
        <v>2018</v>
      </c>
      <c r="E770">
        <v>2</v>
      </c>
      <c r="F770">
        <v>28</v>
      </c>
      <c r="G770">
        <v>4</v>
      </c>
      <c r="H770">
        <v>12</v>
      </c>
      <c r="I770">
        <v>0</v>
      </c>
      <c r="J770">
        <v>207.95</v>
      </c>
      <c r="K770" t="s">
        <v>723</v>
      </c>
      <c r="L770" t="s">
        <v>1643</v>
      </c>
    </row>
    <row r="771" spans="1:12">
      <c r="A771">
        <v>769</v>
      </c>
      <c r="B771" t="s">
        <v>3</v>
      </c>
      <c r="C771" t="s">
        <v>724</v>
      </c>
      <c r="D771">
        <v>2018</v>
      </c>
      <c r="E771">
        <v>2</v>
      </c>
      <c r="F771">
        <v>28</v>
      </c>
      <c r="G771">
        <v>4</v>
      </c>
      <c r="H771">
        <v>12</v>
      </c>
      <c r="I771">
        <v>0</v>
      </c>
      <c r="J771">
        <v>231.71</v>
      </c>
      <c r="K771" t="s">
        <v>723</v>
      </c>
      <c r="L771" t="s">
        <v>1634</v>
      </c>
    </row>
    <row r="772" spans="1:12">
      <c r="A772">
        <v>770</v>
      </c>
      <c r="B772" t="s">
        <v>3</v>
      </c>
      <c r="C772" t="s">
        <v>724</v>
      </c>
      <c r="D772">
        <v>2018</v>
      </c>
      <c r="E772">
        <v>2</v>
      </c>
      <c r="F772">
        <v>29</v>
      </c>
      <c r="G772">
        <v>4</v>
      </c>
      <c r="H772">
        <v>12</v>
      </c>
      <c r="I772">
        <v>0</v>
      </c>
      <c r="J772">
        <v>204.97</v>
      </c>
      <c r="K772" t="s">
        <v>723</v>
      </c>
      <c r="L772" t="s">
        <v>1630</v>
      </c>
    </row>
    <row r="773" spans="1:12">
      <c r="A773">
        <v>771</v>
      </c>
      <c r="B773" t="s">
        <v>3</v>
      </c>
      <c r="C773" t="s">
        <v>724</v>
      </c>
      <c r="D773">
        <v>2018</v>
      </c>
      <c r="E773">
        <v>2</v>
      </c>
      <c r="F773">
        <v>29</v>
      </c>
      <c r="G773">
        <v>4</v>
      </c>
      <c r="H773">
        <v>12</v>
      </c>
      <c r="I773">
        <v>0</v>
      </c>
      <c r="J773">
        <v>635.96</v>
      </c>
      <c r="K773" t="s">
        <v>723</v>
      </c>
      <c r="L773" t="s">
        <v>1608</v>
      </c>
    </row>
    <row r="774" spans="1:12">
      <c r="A774">
        <v>772</v>
      </c>
      <c r="B774" t="s">
        <v>3</v>
      </c>
      <c r="C774" t="s">
        <v>724</v>
      </c>
      <c r="D774">
        <v>2018</v>
      </c>
      <c r="E774">
        <v>2</v>
      </c>
      <c r="F774">
        <v>29</v>
      </c>
      <c r="G774">
        <v>4</v>
      </c>
      <c r="H774">
        <v>12</v>
      </c>
      <c r="I774">
        <v>0</v>
      </c>
      <c r="J774">
        <v>3462</v>
      </c>
      <c r="K774" t="s">
        <v>723</v>
      </c>
      <c r="L774" t="s">
        <v>1625</v>
      </c>
    </row>
    <row r="775" spans="1:12">
      <c r="A775">
        <v>773</v>
      </c>
      <c r="B775" t="s">
        <v>3</v>
      </c>
      <c r="C775" t="s">
        <v>724</v>
      </c>
      <c r="D775">
        <v>2018</v>
      </c>
      <c r="E775">
        <v>2</v>
      </c>
      <c r="F775">
        <v>29</v>
      </c>
      <c r="G775">
        <v>4</v>
      </c>
      <c r="H775">
        <v>12</v>
      </c>
      <c r="I775">
        <v>0</v>
      </c>
      <c r="J775">
        <v>4109.3500000000004</v>
      </c>
      <c r="K775" t="s">
        <v>723</v>
      </c>
      <c r="L775" t="s">
        <v>1635</v>
      </c>
    </row>
    <row r="776" spans="1:12">
      <c r="A776">
        <v>774</v>
      </c>
      <c r="B776" t="s">
        <v>3</v>
      </c>
      <c r="C776" t="s">
        <v>724</v>
      </c>
      <c r="D776">
        <v>2018</v>
      </c>
      <c r="E776">
        <v>2</v>
      </c>
      <c r="F776">
        <v>29</v>
      </c>
      <c r="G776">
        <v>4</v>
      </c>
      <c r="H776">
        <v>12</v>
      </c>
      <c r="I776">
        <v>0</v>
      </c>
      <c r="J776">
        <v>80</v>
      </c>
      <c r="K776" t="s">
        <v>723</v>
      </c>
      <c r="L776" t="s">
        <v>1621</v>
      </c>
    </row>
    <row r="777" spans="1:12">
      <c r="A777">
        <v>775</v>
      </c>
      <c r="B777" t="s">
        <v>3</v>
      </c>
      <c r="C777" t="s">
        <v>724</v>
      </c>
      <c r="D777">
        <v>2018</v>
      </c>
      <c r="E777">
        <v>2</v>
      </c>
      <c r="F777">
        <v>40</v>
      </c>
      <c r="G777">
        <v>4</v>
      </c>
      <c r="H777">
        <v>12</v>
      </c>
      <c r="I777">
        <v>0</v>
      </c>
      <c r="J777">
        <v>520.53</v>
      </c>
      <c r="K777" t="s">
        <v>723</v>
      </c>
      <c r="L777" t="s">
        <v>1603</v>
      </c>
    </row>
    <row r="778" spans="1:12">
      <c r="A778">
        <v>776</v>
      </c>
      <c r="B778" t="s">
        <v>3</v>
      </c>
      <c r="C778" t="s">
        <v>724</v>
      </c>
      <c r="D778">
        <v>2018</v>
      </c>
      <c r="E778">
        <v>2</v>
      </c>
      <c r="F778">
        <v>40</v>
      </c>
      <c r="G778">
        <v>4</v>
      </c>
      <c r="H778">
        <v>12</v>
      </c>
      <c r="I778">
        <v>0</v>
      </c>
      <c r="J778">
        <v>520.54</v>
      </c>
      <c r="K778" t="s">
        <v>723</v>
      </c>
      <c r="L778" t="s">
        <v>1604</v>
      </c>
    </row>
    <row r="779" spans="1:12">
      <c r="A779">
        <v>777</v>
      </c>
      <c r="B779" t="s">
        <v>3</v>
      </c>
      <c r="C779" t="s">
        <v>724</v>
      </c>
      <c r="D779">
        <v>2018</v>
      </c>
      <c r="E779">
        <v>2</v>
      </c>
      <c r="F779">
        <v>41</v>
      </c>
      <c r="G779">
        <v>4</v>
      </c>
      <c r="H779">
        <v>12</v>
      </c>
      <c r="I779">
        <v>0</v>
      </c>
      <c r="J779">
        <v>84.42</v>
      </c>
      <c r="K779" t="s">
        <v>723</v>
      </c>
      <c r="L779" t="s">
        <v>1605</v>
      </c>
    </row>
    <row r="780" spans="1:12">
      <c r="A780">
        <v>778</v>
      </c>
      <c r="B780" t="s">
        <v>3</v>
      </c>
      <c r="C780" t="s">
        <v>724</v>
      </c>
      <c r="D780">
        <v>2018</v>
      </c>
      <c r="E780">
        <v>3</v>
      </c>
      <c r="F780">
        <v>8</v>
      </c>
      <c r="G780">
        <v>4</v>
      </c>
      <c r="H780">
        <v>16</v>
      </c>
      <c r="I780">
        <v>0</v>
      </c>
      <c r="J780">
        <v>-21041</v>
      </c>
      <c r="K780" t="s">
        <v>723</v>
      </c>
      <c r="L780" t="s">
        <v>1599</v>
      </c>
    </row>
    <row r="781" spans="1:12">
      <c r="A781">
        <v>779</v>
      </c>
      <c r="B781" t="s">
        <v>3</v>
      </c>
      <c r="C781" t="s">
        <v>724</v>
      </c>
      <c r="D781">
        <v>2018</v>
      </c>
      <c r="E781">
        <v>3</v>
      </c>
      <c r="F781">
        <v>17</v>
      </c>
      <c r="G781">
        <v>4</v>
      </c>
      <c r="H781">
        <v>16</v>
      </c>
      <c r="I781">
        <v>0</v>
      </c>
      <c r="J781">
        <v>250</v>
      </c>
      <c r="K781" t="s">
        <v>723</v>
      </c>
      <c r="L781" t="s">
        <v>1600</v>
      </c>
    </row>
    <row r="782" spans="1:12">
      <c r="A782">
        <v>780</v>
      </c>
      <c r="B782" t="s">
        <v>3</v>
      </c>
      <c r="C782" t="s">
        <v>724</v>
      </c>
      <c r="D782">
        <v>2018</v>
      </c>
      <c r="E782">
        <v>3</v>
      </c>
      <c r="F782">
        <v>20</v>
      </c>
      <c r="G782">
        <v>4</v>
      </c>
      <c r="H782">
        <v>16</v>
      </c>
      <c r="I782">
        <v>0</v>
      </c>
      <c r="J782">
        <v>2.5</v>
      </c>
      <c r="K782" t="s">
        <v>723</v>
      </c>
      <c r="L782" t="s">
        <v>1601</v>
      </c>
    </row>
    <row r="783" spans="1:12">
      <c r="A783">
        <v>781</v>
      </c>
      <c r="B783" t="s">
        <v>3</v>
      </c>
      <c r="C783" t="s">
        <v>724</v>
      </c>
      <c r="D783">
        <v>2018</v>
      </c>
      <c r="E783">
        <v>3</v>
      </c>
      <c r="F783">
        <v>26</v>
      </c>
      <c r="G783">
        <v>4</v>
      </c>
      <c r="H783">
        <v>16</v>
      </c>
      <c r="I783">
        <v>0</v>
      </c>
      <c r="J783">
        <v>37.75</v>
      </c>
      <c r="K783" t="s">
        <v>723</v>
      </c>
      <c r="L783" t="s">
        <v>1618</v>
      </c>
    </row>
    <row r="784" spans="1:12">
      <c r="A784">
        <v>782</v>
      </c>
      <c r="B784" t="s">
        <v>3</v>
      </c>
      <c r="C784" t="s">
        <v>724</v>
      </c>
      <c r="D784">
        <v>2018</v>
      </c>
      <c r="E784">
        <v>3</v>
      </c>
      <c r="F784">
        <v>28</v>
      </c>
      <c r="G784">
        <v>4</v>
      </c>
      <c r="H784">
        <v>16</v>
      </c>
      <c r="I784">
        <v>0</v>
      </c>
      <c r="J784">
        <v>1.82</v>
      </c>
      <c r="K784" t="s">
        <v>723</v>
      </c>
      <c r="L784" t="s">
        <v>1638</v>
      </c>
    </row>
    <row r="785" spans="1:12">
      <c r="A785">
        <v>783</v>
      </c>
      <c r="B785" t="s">
        <v>3</v>
      </c>
      <c r="C785" t="s">
        <v>724</v>
      </c>
      <c r="D785">
        <v>2018</v>
      </c>
      <c r="E785">
        <v>3</v>
      </c>
      <c r="F785">
        <v>28</v>
      </c>
      <c r="G785">
        <v>4</v>
      </c>
      <c r="H785">
        <v>16</v>
      </c>
      <c r="I785">
        <v>0</v>
      </c>
      <c r="J785">
        <v>1525</v>
      </c>
      <c r="K785" t="s">
        <v>723</v>
      </c>
      <c r="L785" t="s">
        <v>1634</v>
      </c>
    </row>
    <row r="786" spans="1:12">
      <c r="A786">
        <v>784</v>
      </c>
      <c r="B786" t="s">
        <v>3</v>
      </c>
      <c r="C786" t="s">
        <v>724</v>
      </c>
      <c r="D786">
        <v>2018</v>
      </c>
      <c r="E786">
        <v>3</v>
      </c>
      <c r="F786">
        <v>29</v>
      </c>
      <c r="G786">
        <v>4</v>
      </c>
      <c r="H786">
        <v>16</v>
      </c>
      <c r="I786">
        <v>0</v>
      </c>
      <c r="J786">
        <v>1559</v>
      </c>
      <c r="K786" t="s">
        <v>723</v>
      </c>
      <c r="L786" t="s">
        <v>1625</v>
      </c>
    </row>
    <row r="787" spans="1:12">
      <c r="A787">
        <v>785</v>
      </c>
      <c r="B787" t="s">
        <v>3</v>
      </c>
      <c r="C787" t="s">
        <v>724</v>
      </c>
      <c r="D787">
        <v>2018</v>
      </c>
      <c r="E787">
        <v>3</v>
      </c>
      <c r="F787">
        <v>29</v>
      </c>
      <c r="G787">
        <v>4</v>
      </c>
      <c r="H787">
        <v>16</v>
      </c>
      <c r="I787">
        <v>0</v>
      </c>
      <c r="J787">
        <v>20309</v>
      </c>
      <c r="K787" t="s">
        <v>723</v>
      </c>
      <c r="L787" t="s">
        <v>1635</v>
      </c>
    </row>
    <row r="788" spans="1:12">
      <c r="A788">
        <v>786</v>
      </c>
      <c r="B788" t="s">
        <v>3</v>
      </c>
      <c r="C788" t="s">
        <v>724</v>
      </c>
      <c r="D788">
        <v>2018</v>
      </c>
      <c r="E788">
        <v>3</v>
      </c>
      <c r="F788">
        <v>40</v>
      </c>
      <c r="G788">
        <v>4</v>
      </c>
      <c r="H788">
        <v>16</v>
      </c>
      <c r="I788">
        <v>0</v>
      </c>
      <c r="J788">
        <v>744.90000000000009</v>
      </c>
      <c r="K788" t="s">
        <v>723</v>
      </c>
      <c r="L788" t="s">
        <v>1603</v>
      </c>
    </row>
    <row r="789" spans="1:12">
      <c r="A789">
        <v>787</v>
      </c>
      <c r="B789" t="s">
        <v>3</v>
      </c>
      <c r="C789" t="s">
        <v>724</v>
      </c>
      <c r="D789">
        <v>2018</v>
      </c>
      <c r="E789">
        <v>3</v>
      </c>
      <c r="F789">
        <v>40</v>
      </c>
      <c r="G789">
        <v>4</v>
      </c>
      <c r="H789">
        <v>16</v>
      </c>
      <c r="I789">
        <v>0</v>
      </c>
      <c r="J789">
        <v>744.89</v>
      </c>
      <c r="K789" t="s">
        <v>723</v>
      </c>
      <c r="L789" t="s">
        <v>1604</v>
      </c>
    </row>
    <row r="790" spans="1:12">
      <c r="A790">
        <v>788</v>
      </c>
      <c r="B790" t="s">
        <v>3</v>
      </c>
      <c r="C790" t="s">
        <v>724</v>
      </c>
      <c r="D790">
        <v>2018</v>
      </c>
      <c r="E790">
        <v>3</v>
      </c>
      <c r="F790">
        <v>41</v>
      </c>
      <c r="G790">
        <v>4</v>
      </c>
      <c r="H790">
        <v>16</v>
      </c>
      <c r="I790">
        <v>0</v>
      </c>
      <c r="J790">
        <v>120.80000000000001</v>
      </c>
      <c r="K790" t="s">
        <v>723</v>
      </c>
      <c r="L790" t="s">
        <v>1605</v>
      </c>
    </row>
    <row r="791" spans="1:12">
      <c r="A791">
        <v>789</v>
      </c>
      <c r="B791" t="s">
        <v>3</v>
      </c>
      <c r="C791" t="s">
        <v>724</v>
      </c>
      <c r="D791">
        <v>2018</v>
      </c>
      <c r="E791">
        <v>4</v>
      </c>
      <c r="F791">
        <v>11</v>
      </c>
      <c r="G791">
        <v>4</v>
      </c>
      <c r="H791">
        <v>20</v>
      </c>
      <c r="I791">
        <v>0</v>
      </c>
      <c r="J791">
        <v>-1827.05</v>
      </c>
      <c r="K791" t="s">
        <v>723</v>
      </c>
      <c r="L791" t="s">
        <v>1607</v>
      </c>
    </row>
    <row r="792" spans="1:12">
      <c r="A792">
        <v>790</v>
      </c>
      <c r="B792" t="s">
        <v>3</v>
      </c>
      <c r="C792" t="s">
        <v>724</v>
      </c>
      <c r="D792">
        <v>2018</v>
      </c>
      <c r="E792">
        <v>4</v>
      </c>
      <c r="F792">
        <v>17</v>
      </c>
      <c r="G792">
        <v>4</v>
      </c>
      <c r="H792">
        <v>20</v>
      </c>
      <c r="I792">
        <v>0</v>
      </c>
      <c r="J792">
        <v>-900</v>
      </c>
      <c r="K792" t="s">
        <v>723</v>
      </c>
      <c r="L792" t="s">
        <v>1600</v>
      </c>
    </row>
    <row r="793" spans="1:12">
      <c r="A793">
        <v>791</v>
      </c>
      <c r="B793" t="s">
        <v>3</v>
      </c>
      <c r="C793" t="s">
        <v>724</v>
      </c>
      <c r="D793">
        <v>2018</v>
      </c>
      <c r="E793">
        <v>4</v>
      </c>
      <c r="F793">
        <v>20</v>
      </c>
      <c r="G793">
        <v>4</v>
      </c>
      <c r="H793">
        <v>20</v>
      </c>
      <c r="I793">
        <v>0</v>
      </c>
      <c r="J793">
        <v>-9</v>
      </c>
      <c r="K793" t="s">
        <v>723</v>
      </c>
      <c r="L793" t="s">
        <v>1601</v>
      </c>
    </row>
    <row r="794" spans="1:12">
      <c r="A794">
        <v>792</v>
      </c>
      <c r="B794" t="s">
        <v>3</v>
      </c>
      <c r="C794" t="s">
        <v>724</v>
      </c>
      <c r="D794">
        <v>2018</v>
      </c>
      <c r="E794">
        <v>4</v>
      </c>
      <c r="F794">
        <v>25</v>
      </c>
      <c r="G794">
        <v>4</v>
      </c>
      <c r="H794">
        <v>20</v>
      </c>
      <c r="I794">
        <v>0</v>
      </c>
      <c r="J794">
        <v>21.25</v>
      </c>
      <c r="K794" t="s">
        <v>723</v>
      </c>
      <c r="L794" t="s">
        <v>1632</v>
      </c>
    </row>
    <row r="795" spans="1:12">
      <c r="A795">
        <v>793</v>
      </c>
      <c r="B795" t="s">
        <v>3</v>
      </c>
      <c r="C795" t="s">
        <v>724</v>
      </c>
      <c r="D795">
        <v>2018</v>
      </c>
      <c r="E795">
        <v>4</v>
      </c>
      <c r="F795">
        <v>26</v>
      </c>
      <c r="G795">
        <v>4</v>
      </c>
      <c r="H795">
        <v>20</v>
      </c>
      <c r="I795">
        <v>0</v>
      </c>
      <c r="J795">
        <v>262.25</v>
      </c>
      <c r="K795" t="s">
        <v>723</v>
      </c>
      <c r="L795" t="s">
        <v>1618</v>
      </c>
    </row>
    <row r="796" spans="1:12">
      <c r="A796">
        <v>794</v>
      </c>
      <c r="B796" t="s">
        <v>3</v>
      </c>
      <c r="C796" t="s">
        <v>724</v>
      </c>
      <c r="D796">
        <v>2018</v>
      </c>
      <c r="E796">
        <v>4</v>
      </c>
      <c r="F796">
        <v>29</v>
      </c>
      <c r="G796">
        <v>4</v>
      </c>
      <c r="H796">
        <v>20</v>
      </c>
      <c r="I796">
        <v>0</v>
      </c>
      <c r="J796">
        <v>1250</v>
      </c>
      <c r="K796" t="s">
        <v>723</v>
      </c>
      <c r="L796" t="s">
        <v>1625</v>
      </c>
    </row>
    <row r="797" spans="1:12">
      <c r="A797">
        <v>795</v>
      </c>
      <c r="B797" t="s">
        <v>3</v>
      </c>
      <c r="C797" t="s">
        <v>724</v>
      </c>
      <c r="D797">
        <v>2018</v>
      </c>
      <c r="E797">
        <v>4</v>
      </c>
      <c r="F797">
        <v>40</v>
      </c>
      <c r="G797">
        <v>4</v>
      </c>
      <c r="H797">
        <v>20</v>
      </c>
      <c r="I797">
        <v>0</v>
      </c>
      <c r="J797">
        <v>19.64</v>
      </c>
      <c r="K797" t="s">
        <v>723</v>
      </c>
      <c r="L797" t="s">
        <v>1603</v>
      </c>
    </row>
    <row r="798" spans="1:12">
      <c r="A798">
        <v>796</v>
      </c>
      <c r="B798" t="s">
        <v>3</v>
      </c>
      <c r="C798" t="s">
        <v>724</v>
      </c>
      <c r="D798">
        <v>2018</v>
      </c>
      <c r="E798">
        <v>4</v>
      </c>
      <c r="F798">
        <v>40</v>
      </c>
      <c r="G798">
        <v>4</v>
      </c>
      <c r="H798">
        <v>20</v>
      </c>
      <c r="I798">
        <v>0</v>
      </c>
      <c r="J798">
        <v>19.64</v>
      </c>
      <c r="K798" t="s">
        <v>723</v>
      </c>
      <c r="L798" t="s">
        <v>1604</v>
      </c>
    </row>
    <row r="799" spans="1:12">
      <c r="A799">
        <v>797</v>
      </c>
      <c r="B799" t="s">
        <v>3</v>
      </c>
      <c r="C799" t="s">
        <v>724</v>
      </c>
      <c r="D799">
        <v>2018</v>
      </c>
      <c r="E799">
        <v>4</v>
      </c>
      <c r="F799">
        <v>41</v>
      </c>
      <c r="G799">
        <v>4</v>
      </c>
      <c r="H799">
        <v>20</v>
      </c>
      <c r="I799">
        <v>0</v>
      </c>
      <c r="J799">
        <v>3.19</v>
      </c>
      <c r="K799" t="s">
        <v>723</v>
      </c>
      <c r="L799" t="s">
        <v>1605</v>
      </c>
    </row>
    <row r="800" spans="1:12">
      <c r="A800">
        <v>798</v>
      </c>
      <c r="B800" t="s">
        <v>3</v>
      </c>
      <c r="C800" t="s">
        <v>724</v>
      </c>
      <c r="D800">
        <v>2019</v>
      </c>
      <c r="E800">
        <v>1</v>
      </c>
      <c r="F800">
        <v>8</v>
      </c>
      <c r="G800">
        <v>3</v>
      </c>
      <c r="H800">
        <v>7</v>
      </c>
      <c r="I800">
        <v>-42185</v>
      </c>
      <c r="J800">
        <v>-21092</v>
      </c>
      <c r="K800" t="s">
        <v>723</v>
      </c>
      <c r="L800" t="s">
        <v>1599</v>
      </c>
    </row>
    <row r="801" spans="1:12">
      <c r="A801">
        <v>799</v>
      </c>
      <c r="B801" t="s">
        <v>3</v>
      </c>
      <c r="C801" t="s">
        <v>724</v>
      </c>
      <c r="D801">
        <v>2019</v>
      </c>
      <c r="E801">
        <v>1</v>
      </c>
      <c r="F801">
        <v>17</v>
      </c>
      <c r="G801">
        <v>3</v>
      </c>
      <c r="H801">
        <v>7</v>
      </c>
      <c r="I801">
        <v>0</v>
      </c>
      <c r="J801">
        <v>225</v>
      </c>
      <c r="K801" t="s">
        <v>723</v>
      </c>
      <c r="L801" t="s">
        <v>1600</v>
      </c>
    </row>
    <row r="802" spans="1:12">
      <c r="A802">
        <v>800</v>
      </c>
      <c r="B802" t="s">
        <v>3</v>
      </c>
      <c r="C802" t="s">
        <v>724</v>
      </c>
      <c r="D802">
        <v>2019</v>
      </c>
      <c r="E802">
        <v>1</v>
      </c>
      <c r="F802">
        <v>20</v>
      </c>
      <c r="G802">
        <v>3</v>
      </c>
      <c r="H802">
        <v>7</v>
      </c>
      <c r="I802">
        <v>0</v>
      </c>
      <c r="J802">
        <v>1.8</v>
      </c>
      <c r="K802" t="s">
        <v>723</v>
      </c>
      <c r="L802" t="s">
        <v>1601</v>
      </c>
    </row>
    <row r="803" spans="1:12">
      <c r="A803">
        <v>801</v>
      </c>
      <c r="B803" t="s">
        <v>3</v>
      </c>
      <c r="C803" t="s">
        <v>724</v>
      </c>
      <c r="D803">
        <v>2019</v>
      </c>
      <c r="E803">
        <v>1</v>
      </c>
      <c r="F803">
        <v>23</v>
      </c>
      <c r="G803">
        <v>3</v>
      </c>
      <c r="H803">
        <v>7</v>
      </c>
      <c r="I803">
        <v>39499</v>
      </c>
      <c r="J803">
        <v>0</v>
      </c>
      <c r="K803" t="s">
        <v>723</v>
      </c>
      <c r="L803" t="s">
        <v>1602</v>
      </c>
    </row>
    <row r="804" spans="1:12">
      <c r="A804">
        <v>802</v>
      </c>
      <c r="B804" t="s">
        <v>3</v>
      </c>
      <c r="C804" t="s">
        <v>724</v>
      </c>
      <c r="D804">
        <v>2019</v>
      </c>
      <c r="E804">
        <v>1</v>
      </c>
      <c r="F804">
        <v>25</v>
      </c>
      <c r="G804">
        <v>3</v>
      </c>
      <c r="H804">
        <v>7</v>
      </c>
      <c r="I804">
        <v>0</v>
      </c>
      <c r="J804">
        <v>71.28</v>
      </c>
      <c r="K804" t="s">
        <v>723</v>
      </c>
      <c r="L804" t="s">
        <v>1616</v>
      </c>
    </row>
    <row r="805" spans="1:12">
      <c r="A805">
        <v>803</v>
      </c>
      <c r="B805" t="s">
        <v>3</v>
      </c>
      <c r="C805" t="s">
        <v>724</v>
      </c>
      <c r="D805">
        <v>2019</v>
      </c>
      <c r="E805">
        <v>1</v>
      </c>
      <c r="F805">
        <v>40</v>
      </c>
      <c r="G805">
        <v>3</v>
      </c>
      <c r="H805">
        <v>7</v>
      </c>
      <c r="I805">
        <v>2485</v>
      </c>
      <c r="J805">
        <v>10.09</v>
      </c>
      <c r="K805" t="s">
        <v>723</v>
      </c>
      <c r="L805" t="s">
        <v>1603</v>
      </c>
    </row>
    <row r="806" spans="1:12">
      <c r="A806">
        <v>804</v>
      </c>
      <c r="B806" t="s">
        <v>3</v>
      </c>
      <c r="C806" t="s">
        <v>724</v>
      </c>
      <c r="D806">
        <v>2019</v>
      </c>
      <c r="E806">
        <v>1</v>
      </c>
      <c r="F806">
        <v>40</v>
      </c>
      <c r="G806">
        <v>3</v>
      </c>
      <c r="H806">
        <v>7</v>
      </c>
      <c r="I806">
        <v>0</v>
      </c>
      <c r="J806">
        <v>10.07</v>
      </c>
      <c r="K806" t="s">
        <v>723</v>
      </c>
      <c r="L806" t="s">
        <v>1604</v>
      </c>
    </row>
    <row r="807" spans="1:12">
      <c r="A807">
        <v>805</v>
      </c>
      <c r="B807" t="s">
        <v>3</v>
      </c>
      <c r="C807" t="s">
        <v>724</v>
      </c>
      <c r="D807">
        <v>2019</v>
      </c>
      <c r="E807">
        <v>1</v>
      </c>
      <c r="F807">
        <v>41</v>
      </c>
      <c r="G807">
        <v>3</v>
      </c>
      <c r="H807">
        <v>7</v>
      </c>
      <c r="I807">
        <v>201</v>
      </c>
      <c r="J807">
        <v>1.85</v>
      </c>
      <c r="K807" t="s">
        <v>723</v>
      </c>
      <c r="L807" t="s">
        <v>1605</v>
      </c>
    </row>
    <row r="808" spans="1:12">
      <c r="A808">
        <v>806</v>
      </c>
      <c r="B808" t="s">
        <v>3</v>
      </c>
      <c r="C808" t="s">
        <v>724</v>
      </c>
      <c r="D808">
        <v>2019</v>
      </c>
      <c r="E808">
        <v>2</v>
      </c>
      <c r="F808">
        <v>17</v>
      </c>
      <c r="G808">
        <v>3</v>
      </c>
      <c r="H808">
        <v>11</v>
      </c>
      <c r="I808">
        <v>0</v>
      </c>
      <c r="J808">
        <v>1600</v>
      </c>
      <c r="K808" t="s">
        <v>723</v>
      </c>
      <c r="L808" t="s">
        <v>1600</v>
      </c>
    </row>
    <row r="809" spans="1:12">
      <c r="A809">
        <v>807</v>
      </c>
      <c r="B809" t="s">
        <v>3</v>
      </c>
      <c r="C809" t="s">
        <v>724</v>
      </c>
      <c r="D809">
        <v>2019</v>
      </c>
      <c r="E809">
        <v>2</v>
      </c>
      <c r="F809">
        <v>20</v>
      </c>
      <c r="G809">
        <v>3</v>
      </c>
      <c r="H809">
        <v>11</v>
      </c>
      <c r="I809">
        <v>0</v>
      </c>
      <c r="J809">
        <v>12.799999999999999</v>
      </c>
      <c r="K809" t="s">
        <v>723</v>
      </c>
      <c r="L809" t="s">
        <v>1601</v>
      </c>
    </row>
    <row r="810" spans="1:12">
      <c r="A810">
        <v>808</v>
      </c>
      <c r="B810" t="s">
        <v>3</v>
      </c>
      <c r="C810" t="s">
        <v>724</v>
      </c>
      <c r="D810">
        <v>2019</v>
      </c>
      <c r="E810">
        <v>2</v>
      </c>
      <c r="F810">
        <v>25</v>
      </c>
      <c r="G810">
        <v>3</v>
      </c>
      <c r="H810">
        <v>11</v>
      </c>
      <c r="I810">
        <v>0</v>
      </c>
      <c r="J810">
        <v>51.06</v>
      </c>
      <c r="K810" t="s">
        <v>723</v>
      </c>
      <c r="L810" t="s">
        <v>1632</v>
      </c>
    </row>
    <row r="811" spans="1:12">
      <c r="A811">
        <v>809</v>
      </c>
      <c r="B811" t="s">
        <v>3</v>
      </c>
      <c r="C811" t="s">
        <v>724</v>
      </c>
      <c r="D811">
        <v>2019</v>
      </c>
      <c r="E811">
        <v>2</v>
      </c>
      <c r="F811">
        <v>25</v>
      </c>
      <c r="G811">
        <v>3</v>
      </c>
      <c r="H811">
        <v>11</v>
      </c>
      <c r="I811">
        <v>0</v>
      </c>
      <c r="J811">
        <v>71.28</v>
      </c>
      <c r="K811" t="s">
        <v>723</v>
      </c>
      <c r="L811" t="s">
        <v>1616</v>
      </c>
    </row>
    <row r="812" spans="1:12">
      <c r="A812">
        <v>810</v>
      </c>
      <c r="B812" t="s">
        <v>3</v>
      </c>
      <c r="C812" t="s">
        <v>724</v>
      </c>
      <c r="D812">
        <v>2019</v>
      </c>
      <c r="E812">
        <v>2</v>
      </c>
      <c r="F812">
        <v>26</v>
      </c>
      <c r="G812">
        <v>3</v>
      </c>
      <c r="H812">
        <v>11</v>
      </c>
      <c r="I812">
        <v>0</v>
      </c>
      <c r="J812">
        <v>284.92</v>
      </c>
      <c r="K812" t="s">
        <v>723</v>
      </c>
      <c r="L812" t="s">
        <v>1622</v>
      </c>
    </row>
    <row r="813" spans="1:12">
      <c r="A813">
        <v>811</v>
      </c>
      <c r="B813" t="s">
        <v>3</v>
      </c>
      <c r="C813" t="s">
        <v>724</v>
      </c>
      <c r="D813">
        <v>2019</v>
      </c>
      <c r="E813">
        <v>2</v>
      </c>
      <c r="F813">
        <v>26</v>
      </c>
      <c r="G813">
        <v>3</v>
      </c>
      <c r="H813">
        <v>11</v>
      </c>
      <c r="I813">
        <v>0</v>
      </c>
      <c r="J813">
        <v>34.369999999999997</v>
      </c>
      <c r="K813" t="s">
        <v>723</v>
      </c>
      <c r="L813" t="s">
        <v>1633</v>
      </c>
    </row>
    <row r="814" spans="1:12">
      <c r="A814">
        <v>812</v>
      </c>
      <c r="B814" t="s">
        <v>3</v>
      </c>
      <c r="C814" t="s">
        <v>724</v>
      </c>
      <c r="D814">
        <v>2019</v>
      </c>
      <c r="E814">
        <v>2</v>
      </c>
      <c r="F814">
        <v>26</v>
      </c>
      <c r="G814">
        <v>3</v>
      </c>
      <c r="H814">
        <v>11</v>
      </c>
      <c r="I814">
        <v>0</v>
      </c>
      <c r="J814">
        <v>4184.1000000000004</v>
      </c>
      <c r="K814" t="s">
        <v>723</v>
      </c>
      <c r="L814" t="s">
        <v>1618</v>
      </c>
    </row>
    <row r="815" spans="1:12">
      <c r="A815">
        <v>813</v>
      </c>
      <c r="B815" t="s">
        <v>3</v>
      </c>
      <c r="C815" t="s">
        <v>724</v>
      </c>
      <c r="D815">
        <v>2019</v>
      </c>
      <c r="E815">
        <v>2</v>
      </c>
      <c r="F815">
        <v>27</v>
      </c>
      <c r="G815">
        <v>3</v>
      </c>
      <c r="H815">
        <v>11</v>
      </c>
      <c r="I815">
        <v>0</v>
      </c>
      <c r="J815">
        <v>437</v>
      </c>
      <c r="K815" t="s">
        <v>723</v>
      </c>
      <c r="L815" t="s">
        <v>1626</v>
      </c>
    </row>
    <row r="816" spans="1:12">
      <c r="A816">
        <v>814</v>
      </c>
      <c r="B816" t="s">
        <v>3</v>
      </c>
      <c r="C816" t="s">
        <v>724</v>
      </c>
      <c r="D816">
        <v>2019</v>
      </c>
      <c r="E816">
        <v>2</v>
      </c>
      <c r="F816">
        <v>28</v>
      </c>
      <c r="G816">
        <v>3</v>
      </c>
      <c r="H816">
        <v>11</v>
      </c>
      <c r="I816">
        <v>0</v>
      </c>
      <c r="J816">
        <v>1000</v>
      </c>
      <c r="K816" t="s">
        <v>723</v>
      </c>
      <c r="L816" t="s">
        <v>1661</v>
      </c>
    </row>
    <row r="817" spans="1:12">
      <c r="A817">
        <v>815</v>
      </c>
      <c r="B817" t="s">
        <v>3</v>
      </c>
      <c r="C817" t="s">
        <v>724</v>
      </c>
      <c r="D817">
        <v>2019</v>
      </c>
      <c r="E817">
        <v>2</v>
      </c>
      <c r="F817">
        <v>28</v>
      </c>
      <c r="G817">
        <v>3</v>
      </c>
      <c r="H817">
        <v>11</v>
      </c>
      <c r="I817">
        <v>0</v>
      </c>
      <c r="J817">
        <v>119.17</v>
      </c>
      <c r="K817" t="s">
        <v>723</v>
      </c>
      <c r="L817" t="s">
        <v>1660</v>
      </c>
    </row>
    <row r="818" spans="1:12">
      <c r="A818">
        <v>816</v>
      </c>
      <c r="B818" t="s">
        <v>3</v>
      </c>
      <c r="C818" t="s">
        <v>724</v>
      </c>
      <c r="D818">
        <v>2019</v>
      </c>
      <c r="E818">
        <v>2</v>
      </c>
      <c r="F818">
        <v>28</v>
      </c>
      <c r="G818">
        <v>3</v>
      </c>
      <c r="H818">
        <v>11</v>
      </c>
      <c r="I818">
        <v>0</v>
      </c>
      <c r="J818">
        <v>3697.04</v>
      </c>
      <c r="K818" t="s">
        <v>723</v>
      </c>
      <c r="L818" t="s">
        <v>1634</v>
      </c>
    </row>
    <row r="819" spans="1:12">
      <c r="A819">
        <v>817</v>
      </c>
      <c r="B819" t="s">
        <v>3</v>
      </c>
      <c r="C819" t="s">
        <v>724</v>
      </c>
      <c r="D819">
        <v>2019</v>
      </c>
      <c r="E819">
        <v>2</v>
      </c>
      <c r="F819">
        <v>29</v>
      </c>
      <c r="G819">
        <v>3</v>
      </c>
      <c r="H819">
        <v>11</v>
      </c>
      <c r="I819">
        <v>0</v>
      </c>
      <c r="J819">
        <v>261.52999999999997</v>
      </c>
      <c r="K819" t="s">
        <v>723</v>
      </c>
      <c r="L819" t="s">
        <v>1608</v>
      </c>
    </row>
    <row r="820" spans="1:12">
      <c r="A820">
        <v>818</v>
      </c>
      <c r="B820" t="s">
        <v>3</v>
      </c>
      <c r="C820" t="s">
        <v>724</v>
      </c>
      <c r="D820">
        <v>2019</v>
      </c>
      <c r="E820">
        <v>2</v>
      </c>
      <c r="F820">
        <v>29</v>
      </c>
      <c r="G820">
        <v>3</v>
      </c>
      <c r="H820">
        <v>11</v>
      </c>
      <c r="I820">
        <v>0</v>
      </c>
      <c r="J820">
        <v>2651</v>
      </c>
      <c r="K820" t="s">
        <v>723</v>
      </c>
      <c r="L820" t="s">
        <v>1625</v>
      </c>
    </row>
    <row r="821" spans="1:12">
      <c r="A821">
        <v>819</v>
      </c>
      <c r="B821" t="s">
        <v>3</v>
      </c>
      <c r="C821" t="s">
        <v>724</v>
      </c>
      <c r="D821">
        <v>2019</v>
      </c>
      <c r="E821">
        <v>2</v>
      </c>
      <c r="F821">
        <v>29</v>
      </c>
      <c r="G821">
        <v>3</v>
      </c>
      <c r="H821">
        <v>11</v>
      </c>
      <c r="I821">
        <v>0</v>
      </c>
      <c r="J821">
        <v>5323.4</v>
      </c>
      <c r="K821" t="s">
        <v>723</v>
      </c>
      <c r="L821" t="s">
        <v>1635</v>
      </c>
    </row>
    <row r="822" spans="1:12">
      <c r="A822">
        <v>820</v>
      </c>
      <c r="B822" t="s">
        <v>3</v>
      </c>
      <c r="C822" t="s">
        <v>724</v>
      </c>
      <c r="D822">
        <v>2019</v>
      </c>
      <c r="E822">
        <v>2</v>
      </c>
      <c r="F822">
        <v>29</v>
      </c>
      <c r="G822">
        <v>3</v>
      </c>
      <c r="H822">
        <v>11</v>
      </c>
      <c r="I822">
        <v>0</v>
      </c>
      <c r="J822">
        <v>150</v>
      </c>
      <c r="K822" t="s">
        <v>723</v>
      </c>
      <c r="L822" t="s">
        <v>1610</v>
      </c>
    </row>
    <row r="823" spans="1:12">
      <c r="A823">
        <v>821</v>
      </c>
      <c r="B823" t="s">
        <v>3</v>
      </c>
      <c r="C823" t="s">
        <v>724</v>
      </c>
      <c r="D823">
        <v>2019</v>
      </c>
      <c r="E823">
        <v>2</v>
      </c>
      <c r="F823">
        <v>29</v>
      </c>
      <c r="G823">
        <v>3</v>
      </c>
      <c r="H823">
        <v>11</v>
      </c>
      <c r="I823">
        <v>0</v>
      </c>
      <c r="J823">
        <v>334.9</v>
      </c>
      <c r="K823" t="s">
        <v>723</v>
      </c>
      <c r="L823" t="s">
        <v>1629</v>
      </c>
    </row>
    <row r="824" spans="1:12">
      <c r="A824">
        <v>822</v>
      </c>
      <c r="B824" t="s">
        <v>3</v>
      </c>
      <c r="C824" t="s">
        <v>724</v>
      </c>
      <c r="D824">
        <v>2019</v>
      </c>
      <c r="E824">
        <v>2</v>
      </c>
      <c r="F824">
        <v>40</v>
      </c>
      <c r="G824">
        <v>3</v>
      </c>
      <c r="H824">
        <v>11</v>
      </c>
      <c r="I824">
        <v>0</v>
      </c>
      <c r="J824">
        <v>683.18000000000006</v>
      </c>
      <c r="K824" t="s">
        <v>723</v>
      </c>
      <c r="L824" t="s">
        <v>1603</v>
      </c>
    </row>
    <row r="825" spans="1:12">
      <c r="A825">
        <v>823</v>
      </c>
      <c r="B825" t="s">
        <v>3</v>
      </c>
      <c r="C825" t="s">
        <v>724</v>
      </c>
      <c r="D825">
        <v>2019</v>
      </c>
      <c r="E825">
        <v>2</v>
      </c>
      <c r="F825">
        <v>40</v>
      </c>
      <c r="G825">
        <v>3</v>
      </c>
      <c r="H825">
        <v>11</v>
      </c>
      <c r="I825">
        <v>0</v>
      </c>
      <c r="J825">
        <v>683.18999999999994</v>
      </c>
      <c r="K825" t="s">
        <v>723</v>
      </c>
      <c r="L825" t="s">
        <v>1604</v>
      </c>
    </row>
    <row r="826" spans="1:12">
      <c r="A826">
        <v>824</v>
      </c>
      <c r="B826" t="s">
        <v>3</v>
      </c>
      <c r="C826" t="s">
        <v>724</v>
      </c>
      <c r="D826">
        <v>2019</v>
      </c>
      <c r="E826">
        <v>2</v>
      </c>
      <c r="F826">
        <v>41</v>
      </c>
      <c r="G826">
        <v>3</v>
      </c>
      <c r="H826">
        <v>11</v>
      </c>
      <c r="I826">
        <v>0</v>
      </c>
      <c r="J826">
        <v>125.32</v>
      </c>
      <c r="K826" t="s">
        <v>723</v>
      </c>
      <c r="L826" t="s">
        <v>1605</v>
      </c>
    </row>
    <row r="827" spans="1:12">
      <c r="A827">
        <v>825</v>
      </c>
      <c r="B827" t="s">
        <v>3</v>
      </c>
      <c r="C827" t="s">
        <v>724</v>
      </c>
      <c r="D827">
        <v>2019</v>
      </c>
      <c r="E827">
        <v>3</v>
      </c>
      <c r="F827">
        <v>8</v>
      </c>
      <c r="G827">
        <v>3</v>
      </c>
      <c r="H827">
        <v>15</v>
      </c>
      <c r="I827">
        <v>0</v>
      </c>
      <c r="J827">
        <v>-21093</v>
      </c>
      <c r="K827" t="s">
        <v>723</v>
      </c>
      <c r="L827" t="s">
        <v>1599</v>
      </c>
    </row>
    <row r="828" spans="1:12">
      <c r="A828">
        <v>826</v>
      </c>
      <c r="B828" t="s">
        <v>3</v>
      </c>
      <c r="C828" t="s">
        <v>724</v>
      </c>
      <c r="D828">
        <v>2019</v>
      </c>
      <c r="E828">
        <v>3</v>
      </c>
      <c r="F828">
        <v>25</v>
      </c>
      <c r="G828">
        <v>3</v>
      </c>
      <c r="H828">
        <v>15</v>
      </c>
      <c r="I828">
        <v>0</v>
      </c>
      <c r="J828">
        <v>71.28</v>
      </c>
      <c r="K828" t="s">
        <v>723</v>
      </c>
      <c r="L828" t="s">
        <v>1616</v>
      </c>
    </row>
    <row r="829" spans="1:12">
      <c r="A829">
        <v>827</v>
      </c>
      <c r="B829" t="s">
        <v>3</v>
      </c>
      <c r="C829" t="s">
        <v>724</v>
      </c>
      <c r="D829">
        <v>2019</v>
      </c>
      <c r="E829">
        <v>3</v>
      </c>
      <c r="F829">
        <v>40</v>
      </c>
      <c r="G829">
        <v>3</v>
      </c>
      <c r="H829">
        <v>15</v>
      </c>
      <c r="I829">
        <v>0</v>
      </c>
      <c r="J829">
        <v>2.4300000000000002</v>
      </c>
      <c r="K829" t="s">
        <v>723</v>
      </c>
      <c r="L829" t="s">
        <v>1603</v>
      </c>
    </row>
    <row r="830" spans="1:12">
      <c r="A830">
        <v>828</v>
      </c>
      <c r="B830" t="s">
        <v>3</v>
      </c>
      <c r="C830" t="s">
        <v>724</v>
      </c>
      <c r="D830">
        <v>2019</v>
      </c>
      <c r="E830">
        <v>3</v>
      </c>
      <c r="F830">
        <v>40</v>
      </c>
      <c r="G830">
        <v>3</v>
      </c>
      <c r="H830">
        <v>15</v>
      </c>
      <c r="I830">
        <v>0</v>
      </c>
      <c r="J830">
        <v>2.4000000000000004</v>
      </c>
      <c r="K830" t="s">
        <v>723</v>
      </c>
      <c r="L830" t="s">
        <v>1604</v>
      </c>
    </row>
    <row r="831" spans="1:12">
      <c r="A831">
        <v>829</v>
      </c>
      <c r="B831" t="s">
        <v>3</v>
      </c>
      <c r="C831" t="s">
        <v>724</v>
      </c>
      <c r="D831">
        <v>2019</v>
      </c>
      <c r="E831">
        <v>3</v>
      </c>
      <c r="F831">
        <v>41</v>
      </c>
      <c r="G831">
        <v>3</v>
      </c>
      <c r="H831">
        <v>15</v>
      </c>
      <c r="I831">
        <v>0</v>
      </c>
      <c r="J831">
        <v>0.44999999999999996</v>
      </c>
      <c r="K831" t="s">
        <v>723</v>
      </c>
      <c r="L831" t="s">
        <v>1605</v>
      </c>
    </row>
    <row r="832" spans="1:12">
      <c r="A832">
        <v>830</v>
      </c>
      <c r="B832" t="s">
        <v>3</v>
      </c>
      <c r="C832" t="s">
        <v>724</v>
      </c>
      <c r="D832">
        <v>2019</v>
      </c>
      <c r="E832">
        <v>4</v>
      </c>
      <c r="F832">
        <v>11</v>
      </c>
      <c r="G832">
        <v>3</v>
      </c>
      <c r="H832">
        <v>19</v>
      </c>
      <c r="I832">
        <v>0</v>
      </c>
      <c r="J832">
        <v>-1468.47</v>
      </c>
      <c r="K832" t="s">
        <v>723</v>
      </c>
      <c r="L832" t="s">
        <v>1607</v>
      </c>
    </row>
    <row r="833" spans="1:12">
      <c r="A833">
        <v>831</v>
      </c>
      <c r="B833" t="s">
        <v>3</v>
      </c>
      <c r="C833" t="s">
        <v>724</v>
      </c>
      <c r="D833">
        <v>2019</v>
      </c>
      <c r="E833">
        <v>4</v>
      </c>
      <c r="F833">
        <v>17</v>
      </c>
      <c r="G833">
        <v>3</v>
      </c>
      <c r="H833">
        <v>19</v>
      </c>
      <c r="I833">
        <v>0</v>
      </c>
      <c r="J833">
        <v>0</v>
      </c>
      <c r="K833" t="s">
        <v>723</v>
      </c>
      <c r="L833" t="s">
        <v>1600</v>
      </c>
    </row>
    <row r="834" spans="1:12">
      <c r="A834">
        <v>832</v>
      </c>
      <c r="B834" t="s">
        <v>3</v>
      </c>
      <c r="C834" t="s">
        <v>724</v>
      </c>
      <c r="D834">
        <v>2019</v>
      </c>
      <c r="E834">
        <v>4</v>
      </c>
      <c r="F834">
        <v>20</v>
      </c>
      <c r="G834">
        <v>3</v>
      </c>
      <c r="H834">
        <v>19</v>
      </c>
      <c r="I834">
        <v>0</v>
      </c>
      <c r="J834">
        <v>0</v>
      </c>
      <c r="K834" t="s">
        <v>723</v>
      </c>
      <c r="L834" t="s">
        <v>1601</v>
      </c>
    </row>
    <row r="835" spans="1:12">
      <c r="A835">
        <v>833</v>
      </c>
      <c r="B835" t="s">
        <v>3</v>
      </c>
      <c r="C835" t="s">
        <v>724</v>
      </c>
      <c r="D835">
        <v>2019</v>
      </c>
      <c r="E835">
        <v>4</v>
      </c>
      <c r="F835">
        <v>25</v>
      </c>
      <c r="G835">
        <v>3</v>
      </c>
      <c r="H835">
        <v>19</v>
      </c>
      <c r="I835">
        <v>0</v>
      </c>
      <c r="J835">
        <v>71.28</v>
      </c>
      <c r="K835" t="s">
        <v>723</v>
      </c>
      <c r="L835" t="s">
        <v>1616</v>
      </c>
    </row>
    <row r="836" spans="1:12">
      <c r="A836">
        <v>834</v>
      </c>
      <c r="B836" t="s">
        <v>3</v>
      </c>
      <c r="C836" t="s">
        <v>724</v>
      </c>
      <c r="D836">
        <v>2019</v>
      </c>
      <c r="E836">
        <v>4</v>
      </c>
      <c r="F836">
        <v>29</v>
      </c>
      <c r="G836">
        <v>3</v>
      </c>
      <c r="H836">
        <v>19</v>
      </c>
      <c r="I836">
        <v>0</v>
      </c>
      <c r="J836">
        <v>20000</v>
      </c>
      <c r="K836" t="s">
        <v>723</v>
      </c>
      <c r="L836" t="s">
        <v>1635</v>
      </c>
    </row>
    <row r="837" spans="1:12">
      <c r="A837">
        <v>835</v>
      </c>
      <c r="B837" t="s">
        <v>3</v>
      </c>
      <c r="C837" t="s">
        <v>724</v>
      </c>
      <c r="D837">
        <v>2019</v>
      </c>
      <c r="E837">
        <v>4</v>
      </c>
      <c r="F837">
        <v>40</v>
      </c>
      <c r="G837">
        <v>3</v>
      </c>
      <c r="H837">
        <v>19</v>
      </c>
      <c r="I837">
        <v>0</v>
      </c>
      <c r="J837">
        <v>678.43000000000006</v>
      </c>
      <c r="K837" t="s">
        <v>723</v>
      </c>
      <c r="L837" t="s">
        <v>1603</v>
      </c>
    </row>
    <row r="838" spans="1:12">
      <c r="A838">
        <v>836</v>
      </c>
      <c r="B838" t="s">
        <v>3</v>
      </c>
      <c r="C838" t="s">
        <v>724</v>
      </c>
      <c r="D838">
        <v>2019</v>
      </c>
      <c r="E838">
        <v>4</v>
      </c>
      <c r="F838">
        <v>40</v>
      </c>
      <c r="G838">
        <v>3</v>
      </c>
      <c r="H838">
        <v>19</v>
      </c>
      <c r="I838">
        <v>0</v>
      </c>
      <c r="J838">
        <v>678.4</v>
      </c>
      <c r="K838" t="s">
        <v>723</v>
      </c>
      <c r="L838" t="s">
        <v>1604</v>
      </c>
    </row>
    <row r="839" spans="1:12">
      <c r="A839">
        <v>837</v>
      </c>
      <c r="B839" t="s">
        <v>3</v>
      </c>
      <c r="C839" t="s">
        <v>724</v>
      </c>
      <c r="D839">
        <v>2019</v>
      </c>
      <c r="E839">
        <v>4</v>
      </c>
      <c r="F839">
        <v>41</v>
      </c>
      <c r="G839">
        <v>3</v>
      </c>
      <c r="H839">
        <v>19</v>
      </c>
      <c r="I839">
        <v>0</v>
      </c>
      <c r="J839">
        <v>124.44999999999999</v>
      </c>
      <c r="K839" t="s">
        <v>723</v>
      </c>
      <c r="L839" t="s">
        <v>1605</v>
      </c>
    </row>
    <row r="840" spans="1:12">
      <c r="A840">
        <v>838</v>
      </c>
      <c r="B840" t="s">
        <v>3</v>
      </c>
      <c r="C840" t="s">
        <v>724</v>
      </c>
      <c r="D840">
        <v>2020</v>
      </c>
      <c r="E840">
        <v>1</v>
      </c>
      <c r="F840">
        <v>8</v>
      </c>
      <c r="G840">
        <v>2</v>
      </c>
      <c r="H840">
        <v>6</v>
      </c>
      <c r="I840">
        <v>-45279</v>
      </c>
      <c r="J840">
        <v>0</v>
      </c>
      <c r="K840" t="s">
        <v>723</v>
      </c>
      <c r="L840" t="s">
        <v>1599</v>
      </c>
    </row>
    <row r="841" spans="1:12">
      <c r="A841">
        <v>839</v>
      </c>
      <c r="B841" t="s">
        <v>3</v>
      </c>
      <c r="C841" t="s">
        <v>724</v>
      </c>
      <c r="D841">
        <v>2020</v>
      </c>
      <c r="E841">
        <v>1</v>
      </c>
      <c r="F841">
        <v>8</v>
      </c>
      <c r="G841">
        <v>2</v>
      </c>
      <c r="H841">
        <v>6</v>
      </c>
      <c r="I841">
        <v>0</v>
      </c>
      <c r="J841">
        <v>-22639</v>
      </c>
      <c r="K841" t="s">
        <v>723</v>
      </c>
      <c r="L841" t="s">
        <v>1611</v>
      </c>
    </row>
    <row r="842" spans="1:12">
      <c r="A842">
        <v>840</v>
      </c>
      <c r="B842" t="s">
        <v>3</v>
      </c>
      <c r="C842" t="s">
        <v>724</v>
      </c>
      <c r="D842">
        <v>2020</v>
      </c>
      <c r="E842">
        <v>1</v>
      </c>
      <c r="F842">
        <v>17</v>
      </c>
      <c r="G842">
        <v>2</v>
      </c>
      <c r="H842">
        <v>6</v>
      </c>
      <c r="I842">
        <v>0</v>
      </c>
      <c r="J842">
        <v>325</v>
      </c>
      <c r="K842" t="s">
        <v>723</v>
      </c>
      <c r="L842" t="s">
        <v>1600</v>
      </c>
    </row>
    <row r="843" spans="1:12">
      <c r="A843">
        <v>841</v>
      </c>
      <c r="B843" t="s">
        <v>3</v>
      </c>
      <c r="C843" t="s">
        <v>724</v>
      </c>
      <c r="D843">
        <v>2020</v>
      </c>
      <c r="E843">
        <v>1</v>
      </c>
      <c r="F843">
        <v>20</v>
      </c>
      <c r="G843">
        <v>2</v>
      </c>
      <c r="H843">
        <v>6</v>
      </c>
      <c r="I843">
        <v>0</v>
      </c>
      <c r="J843">
        <v>3.58</v>
      </c>
      <c r="K843" t="s">
        <v>723</v>
      </c>
      <c r="L843" t="s">
        <v>1601</v>
      </c>
    </row>
    <row r="844" spans="1:12">
      <c r="A844">
        <v>842</v>
      </c>
      <c r="B844" t="s">
        <v>3</v>
      </c>
      <c r="C844" t="s">
        <v>724</v>
      </c>
      <c r="D844">
        <v>2020</v>
      </c>
      <c r="E844">
        <v>1</v>
      </c>
      <c r="F844">
        <v>23</v>
      </c>
      <c r="G844">
        <v>2</v>
      </c>
      <c r="H844">
        <v>6</v>
      </c>
      <c r="I844">
        <v>42049</v>
      </c>
      <c r="J844">
        <v>0</v>
      </c>
      <c r="K844" t="s">
        <v>723</v>
      </c>
      <c r="L844" t="s">
        <v>1602</v>
      </c>
    </row>
    <row r="845" spans="1:12">
      <c r="A845">
        <v>843</v>
      </c>
      <c r="B845" t="s">
        <v>3</v>
      </c>
      <c r="C845" t="s">
        <v>724</v>
      </c>
      <c r="D845">
        <v>2020</v>
      </c>
      <c r="E845">
        <v>1</v>
      </c>
      <c r="F845">
        <v>25</v>
      </c>
      <c r="G845">
        <v>2</v>
      </c>
      <c r="H845">
        <v>6</v>
      </c>
      <c r="I845">
        <v>0</v>
      </c>
      <c r="J845">
        <v>61.08</v>
      </c>
      <c r="K845" t="s">
        <v>723</v>
      </c>
      <c r="L845" t="s">
        <v>1616</v>
      </c>
    </row>
    <row r="846" spans="1:12">
      <c r="A846">
        <v>844</v>
      </c>
      <c r="B846" t="s">
        <v>3</v>
      </c>
      <c r="C846" t="s">
        <v>724</v>
      </c>
      <c r="D846">
        <v>2020</v>
      </c>
      <c r="E846">
        <v>1</v>
      </c>
      <c r="F846">
        <v>40</v>
      </c>
      <c r="G846">
        <v>2</v>
      </c>
      <c r="H846">
        <v>6</v>
      </c>
      <c r="I846">
        <v>2969</v>
      </c>
      <c r="J846">
        <v>13.76</v>
      </c>
      <c r="K846" t="s">
        <v>723</v>
      </c>
      <c r="L846" t="s">
        <v>1603</v>
      </c>
    </row>
    <row r="847" spans="1:12">
      <c r="A847">
        <v>845</v>
      </c>
      <c r="B847" t="s">
        <v>3</v>
      </c>
      <c r="C847" t="s">
        <v>724</v>
      </c>
      <c r="D847">
        <v>2020</v>
      </c>
      <c r="E847">
        <v>1</v>
      </c>
      <c r="F847">
        <v>40</v>
      </c>
      <c r="G847">
        <v>2</v>
      </c>
      <c r="H847">
        <v>6</v>
      </c>
      <c r="I847">
        <v>0</v>
      </c>
      <c r="J847">
        <v>13.76</v>
      </c>
      <c r="K847" t="s">
        <v>723</v>
      </c>
      <c r="L847" t="s">
        <v>1604</v>
      </c>
    </row>
    <row r="848" spans="1:12">
      <c r="A848">
        <v>846</v>
      </c>
      <c r="B848" t="s">
        <v>3</v>
      </c>
      <c r="C848" t="s">
        <v>724</v>
      </c>
      <c r="D848">
        <v>2020</v>
      </c>
      <c r="E848">
        <v>1</v>
      </c>
      <c r="F848">
        <v>41</v>
      </c>
      <c r="G848">
        <v>2</v>
      </c>
      <c r="H848">
        <v>6</v>
      </c>
      <c r="I848">
        <v>261</v>
      </c>
      <c r="J848">
        <v>2.42</v>
      </c>
      <c r="K848" t="s">
        <v>723</v>
      </c>
      <c r="L848" t="s">
        <v>1605</v>
      </c>
    </row>
    <row r="849" spans="1:12">
      <c r="A849">
        <v>847</v>
      </c>
      <c r="B849" t="s">
        <v>3</v>
      </c>
      <c r="C849" t="s">
        <v>724</v>
      </c>
      <c r="D849">
        <v>2020</v>
      </c>
      <c r="E849">
        <v>2</v>
      </c>
      <c r="F849">
        <v>9</v>
      </c>
      <c r="G849">
        <v>2</v>
      </c>
      <c r="H849">
        <v>10</v>
      </c>
      <c r="I849">
        <v>0</v>
      </c>
      <c r="J849">
        <v>-140</v>
      </c>
      <c r="K849" t="s">
        <v>723</v>
      </c>
      <c r="L849" t="s">
        <v>1662</v>
      </c>
    </row>
    <row r="850" spans="1:12">
      <c r="A850">
        <v>848</v>
      </c>
      <c r="B850" t="s">
        <v>3</v>
      </c>
      <c r="C850" t="s">
        <v>724</v>
      </c>
      <c r="D850">
        <v>2020</v>
      </c>
      <c r="E850">
        <v>2</v>
      </c>
      <c r="F850">
        <v>17</v>
      </c>
      <c r="G850">
        <v>2</v>
      </c>
      <c r="H850">
        <v>10</v>
      </c>
      <c r="I850">
        <v>0</v>
      </c>
      <c r="J850">
        <v>2025</v>
      </c>
      <c r="K850" t="s">
        <v>723</v>
      </c>
      <c r="L850" t="s">
        <v>1600</v>
      </c>
    </row>
    <row r="851" spans="1:12">
      <c r="A851">
        <v>849</v>
      </c>
      <c r="B851" t="s">
        <v>3</v>
      </c>
      <c r="C851" t="s">
        <v>724</v>
      </c>
      <c r="D851">
        <v>2020</v>
      </c>
      <c r="E851">
        <v>2</v>
      </c>
      <c r="F851">
        <v>17</v>
      </c>
      <c r="G851">
        <v>2</v>
      </c>
      <c r="H851">
        <v>10</v>
      </c>
      <c r="I851">
        <v>0</v>
      </c>
      <c r="J851">
        <v>60</v>
      </c>
      <c r="K851" t="s">
        <v>723</v>
      </c>
      <c r="L851" t="s">
        <v>1613</v>
      </c>
    </row>
    <row r="852" spans="1:12">
      <c r="A852">
        <v>850</v>
      </c>
      <c r="B852" t="s">
        <v>3</v>
      </c>
      <c r="C852" t="s">
        <v>724</v>
      </c>
      <c r="D852">
        <v>2020</v>
      </c>
      <c r="E852">
        <v>2</v>
      </c>
      <c r="F852">
        <v>20</v>
      </c>
      <c r="G852">
        <v>2</v>
      </c>
      <c r="H852">
        <v>10</v>
      </c>
      <c r="I852">
        <v>0</v>
      </c>
      <c r="J852">
        <v>22.94</v>
      </c>
      <c r="K852" t="s">
        <v>723</v>
      </c>
      <c r="L852" t="s">
        <v>1601</v>
      </c>
    </row>
    <row r="853" spans="1:12">
      <c r="A853">
        <v>851</v>
      </c>
      <c r="B853" t="s">
        <v>3</v>
      </c>
      <c r="C853" t="s">
        <v>724</v>
      </c>
      <c r="D853">
        <v>2020</v>
      </c>
      <c r="E853">
        <v>2</v>
      </c>
      <c r="F853">
        <v>25</v>
      </c>
      <c r="G853">
        <v>2</v>
      </c>
      <c r="H853">
        <v>10</v>
      </c>
      <c r="I853">
        <v>0</v>
      </c>
      <c r="J853">
        <v>61.08</v>
      </c>
      <c r="K853" t="s">
        <v>723</v>
      </c>
      <c r="L853" t="s">
        <v>1616</v>
      </c>
    </row>
    <row r="854" spans="1:12">
      <c r="A854">
        <v>852</v>
      </c>
      <c r="B854" t="s">
        <v>3</v>
      </c>
      <c r="C854" t="s">
        <v>724</v>
      </c>
      <c r="D854">
        <v>2020</v>
      </c>
      <c r="E854">
        <v>2</v>
      </c>
      <c r="F854">
        <v>26</v>
      </c>
      <c r="G854">
        <v>2</v>
      </c>
      <c r="H854">
        <v>10</v>
      </c>
      <c r="I854">
        <v>0</v>
      </c>
      <c r="J854">
        <v>265.99</v>
      </c>
      <c r="K854" t="s">
        <v>723</v>
      </c>
      <c r="L854" t="s">
        <v>1622</v>
      </c>
    </row>
    <row r="855" spans="1:12">
      <c r="A855">
        <v>853</v>
      </c>
      <c r="B855" t="s">
        <v>3</v>
      </c>
      <c r="C855" t="s">
        <v>724</v>
      </c>
      <c r="D855">
        <v>2020</v>
      </c>
      <c r="E855">
        <v>2</v>
      </c>
      <c r="F855">
        <v>26</v>
      </c>
      <c r="G855">
        <v>2</v>
      </c>
      <c r="H855">
        <v>10</v>
      </c>
      <c r="I855">
        <v>0</v>
      </c>
      <c r="J855">
        <v>24.99</v>
      </c>
      <c r="K855" t="s">
        <v>723</v>
      </c>
      <c r="L855" t="s">
        <v>1618</v>
      </c>
    </row>
    <row r="856" spans="1:12">
      <c r="A856">
        <v>854</v>
      </c>
      <c r="B856" t="s">
        <v>3</v>
      </c>
      <c r="C856" t="s">
        <v>724</v>
      </c>
      <c r="D856">
        <v>2020</v>
      </c>
      <c r="E856">
        <v>2</v>
      </c>
      <c r="F856">
        <v>28</v>
      </c>
      <c r="G856">
        <v>2</v>
      </c>
      <c r="H856">
        <v>10</v>
      </c>
      <c r="I856">
        <v>0</v>
      </c>
      <c r="J856">
        <v>78.400000000000006</v>
      </c>
      <c r="K856" t="s">
        <v>723</v>
      </c>
      <c r="L856" t="s">
        <v>1636</v>
      </c>
    </row>
    <row r="857" spans="1:12">
      <c r="A857">
        <v>855</v>
      </c>
      <c r="B857" t="s">
        <v>3</v>
      </c>
      <c r="C857" t="s">
        <v>724</v>
      </c>
      <c r="D857">
        <v>2020</v>
      </c>
      <c r="E857">
        <v>2</v>
      </c>
      <c r="F857">
        <v>28</v>
      </c>
      <c r="G857">
        <v>2</v>
      </c>
      <c r="H857">
        <v>10</v>
      </c>
      <c r="I857">
        <v>0</v>
      </c>
      <c r="J857">
        <v>875</v>
      </c>
      <c r="K857" t="s">
        <v>723</v>
      </c>
      <c r="L857" t="s">
        <v>1661</v>
      </c>
    </row>
    <row r="858" spans="1:12">
      <c r="A858">
        <v>856</v>
      </c>
      <c r="B858" t="s">
        <v>3</v>
      </c>
      <c r="C858" t="s">
        <v>724</v>
      </c>
      <c r="D858">
        <v>2020</v>
      </c>
      <c r="E858">
        <v>2</v>
      </c>
      <c r="F858">
        <v>28</v>
      </c>
      <c r="G858">
        <v>2</v>
      </c>
      <c r="H858">
        <v>10</v>
      </c>
      <c r="I858">
        <v>0</v>
      </c>
      <c r="J858">
        <v>3917.5</v>
      </c>
      <c r="K858" t="s">
        <v>723</v>
      </c>
      <c r="L858" t="s">
        <v>1634</v>
      </c>
    </row>
    <row r="859" spans="1:12">
      <c r="A859">
        <v>857</v>
      </c>
      <c r="B859" t="s">
        <v>3</v>
      </c>
      <c r="C859" t="s">
        <v>724</v>
      </c>
      <c r="D859">
        <v>2020</v>
      </c>
      <c r="E859">
        <v>2</v>
      </c>
      <c r="F859">
        <v>29</v>
      </c>
      <c r="G859">
        <v>2</v>
      </c>
      <c r="H859">
        <v>10</v>
      </c>
      <c r="I859">
        <v>0</v>
      </c>
      <c r="J859">
        <v>391.86</v>
      </c>
      <c r="K859" t="s">
        <v>723</v>
      </c>
      <c r="L859" t="s">
        <v>1663</v>
      </c>
    </row>
    <row r="860" spans="1:12">
      <c r="A860">
        <v>858</v>
      </c>
      <c r="B860" t="s">
        <v>3</v>
      </c>
      <c r="C860" t="s">
        <v>724</v>
      </c>
      <c r="D860">
        <v>2020</v>
      </c>
      <c r="E860">
        <v>2</v>
      </c>
      <c r="F860">
        <v>29</v>
      </c>
      <c r="G860">
        <v>2</v>
      </c>
      <c r="H860">
        <v>10</v>
      </c>
      <c r="I860">
        <v>0</v>
      </c>
      <c r="J860">
        <v>0</v>
      </c>
      <c r="K860" t="s">
        <v>723</v>
      </c>
      <c r="L860" t="s">
        <v>1620</v>
      </c>
    </row>
    <row r="861" spans="1:12">
      <c r="A861">
        <v>859</v>
      </c>
      <c r="B861" t="s">
        <v>3</v>
      </c>
      <c r="C861" t="s">
        <v>724</v>
      </c>
      <c r="D861">
        <v>2020</v>
      </c>
      <c r="E861">
        <v>2</v>
      </c>
      <c r="F861">
        <v>29</v>
      </c>
      <c r="G861">
        <v>2</v>
      </c>
      <c r="H861">
        <v>10</v>
      </c>
      <c r="I861">
        <v>0</v>
      </c>
      <c r="J861">
        <v>81</v>
      </c>
      <c r="K861" t="s">
        <v>723</v>
      </c>
      <c r="L861" t="s">
        <v>1628</v>
      </c>
    </row>
    <row r="862" spans="1:12">
      <c r="A862">
        <v>860</v>
      </c>
      <c r="B862" t="s">
        <v>3</v>
      </c>
      <c r="C862" t="s">
        <v>724</v>
      </c>
      <c r="D862">
        <v>2020</v>
      </c>
      <c r="E862">
        <v>2</v>
      </c>
      <c r="F862">
        <v>29</v>
      </c>
      <c r="G862">
        <v>2</v>
      </c>
      <c r="H862">
        <v>10</v>
      </c>
      <c r="I862">
        <v>0</v>
      </c>
      <c r="J862">
        <v>5219.28</v>
      </c>
      <c r="K862" t="s">
        <v>723</v>
      </c>
      <c r="L862" t="s">
        <v>1635</v>
      </c>
    </row>
    <row r="863" spans="1:12">
      <c r="A863">
        <v>861</v>
      </c>
      <c r="B863" t="s">
        <v>3</v>
      </c>
      <c r="C863" t="s">
        <v>724</v>
      </c>
      <c r="D863">
        <v>2020</v>
      </c>
      <c r="E863">
        <v>2</v>
      </c>
      <c r="F863">
        <v>29</v>
      </c>
      <c r="G863">
        <v>2</v>
      </c>
      <c r="H863">
        <v>10</v>
      </c>
      <c r="I863">
        <v>0</v>
      </c>
      <c r="J863">
        <v>1984.71</v>
      </c>
      <c r="K863" t="s">
        <v>723</v>
      </c>
      <c r="L863" t="s">
        <v>1629</v>
      </c>
    </row>
    <row r="864" spans="1:12">
      <c r="A864">
        <v>862</v>
      </c>
      <c r="B864" t="s">
        <v>3</v>
      </c>
      <c r="C864" t="s">
        <v>724</v>
      </c>
      <c r="D864">
        <v>2020</v>
      </c>
      <c r="E864">
        <v>2</v>
      </c>
      <c r="F864">
        <v>29</v>
      </c>
      <c r="G864">
        <v>2</v>
      </c>
      <c r="H864">
        <v>10</v>
      </c>
      <c r="I864">
        <v>0</v>
      </c>
      <c r="J864">
        <v>363.58</v>
      </c>
      <c r="K864" t="s">
        <v>723</v>
      </c>
      <c r="L864" t="s">
        <v>1656</v>
      </c>
    </row>
    <row r="865" spans="1:12">
      <c r="A865">
        <v>863</v>
      </c>
      <c r="B865" t="s">
        <v>3</v>
      </c>
      <c r="C865" t="s">
        <v>724</v>
      </c>
      <c r="D865">
        <v>2020</v>
      </c>
      <c r="E865">
        <v>2</v>
      </c>
      <c r="F865">
        <v>29</v>
      </c>
      <c r="G865">
        <v>2</v>
      </c>
      <c r="H865">
        <v>10</v>
      </c>
      <c r="I865">
        <v>0</v>
      </c>
      <c r="J865">
        <v>50.77</v>
      </c>
      <c r="K865" t="s">
        <v>723</v>
      </c>
      <c r="L865" t="s">
        <v>1648</v>
      </c>
    </row>
    <row r="866" spans="1:12">
      <c r="A866">
        <v>864</v>
      </c>
      <c r="B866" t="s">
        <v>3</v>
      </c>
      <c r="C866" t="s">
        <v>724</v>
      </c>
      <c r="D866">
        <v>2020</v>
      </c>
      <c r="E866">
        <v>2</v>
      </c>
      <c r="F866">
        <v>40</v>
      </c>
      <c r="G866">
        <v>2</v>
      </c>
      <c r="H866">
        <v>10</v>
      </c>
      <c r="I866">
        <v>0</v>
      </c>
      <c r="J866">
        <v>544.42000000000007</v>
      </c>
      <c r="K866" t="s">
        <v>723</v>
      </c>
      <c r="L866" t="s">
        <v>1603</v>
      </c>
    </row>
    <row r="867" spans="1:12">
      <c r="A867">
        <v>865</v>
      </c>
      <c r="B867" t="s">
        <v>3</v>
      </c>
      <c r="C867" t="s">
        <v>724</v>
      </c>
      <c r="D867">
        <v>2020</v>
      </c>
      <c r="E867">
        <v>2</v>
      </c>
      <c r="F867">
        <v>40</v>
      </c>
      <c r="G867">
        <v>2</v>
      </c>
      <c r="H867">
        <v>10</v>
      </c>
      <c r="I867">
        <v>0</v>
      </c>
      <c r="J867">
        <v>544.39</v>
      </c>
      <c r="K867" t="s">
        <v>723</v>
      </c>
      <c r="L867" t="s">
        <v>1604</v>
      </c>
    </row>
    <row r="868" spans="1:12">
      <c r="A868">
        <v>866</v>
      </c>
      <c r="B868" t="s">
        <v>3</v>
      </c>
      <c r="C868" t="s">
        <v>724</v>
      </c>
      <c r="D868">
        <v>2020</v>
      </c>
      <c r="E868">
        <v>2</v>
      </c>
      <c r="F868">
        <v>41</v>
      </c>
      <c r="G868">
        <v>2</v>
      </c>
      <c r="H868">
        <v>10</v>
      </c>
      <c r="I868">
        <v>0</v>
      </c>
      <c r="J868">
        <v>95.62</v>
      </c>
      <c r="K868" t="s">
        <v>723</v>
      </c>
      <c r="L868" t="s">
        <v>1605</v>
      </c>
    </row>
    <row r="869" spans="1:12">
      <c r="A869">
        <v>867</v>
      </c>
      <c r="B869" t="s">
        <v>3</v>
      </c>
      <c r="C869" t="s">
        <v>724</v>
      </c>
      <c r="D869">
        <v>2020</v>
      </c>
      <c r="E869">
        <v>3</v>
      </c>
      <c r="F869">
        <v>8</v>
      </c>
      <c r="G869">
        <v>2</v>
      </c>
      <c r="H869">
        <v>14</v>
      </c>
      <c r="I869">
        <v>0</v>
      </c>
      <c r="J869">
        <v>-22640</v>
      </c>
      <c r="K869" t="s">
        <v>723</v>
      </c>
      <c r="L869" t="s">
        <v>1611</v>
      </c>
    </row>
    <row r="870" spans="1:12">
      <c r="A870">
        <v>868</v>
      </c>
      <c r="B870" t="s">
        <v>3</v>
      </c>
      <c r="C870" t="s">
        <v>724</v>
      </c>
      <c r="D870">
        <v>2020</v>
      </c>
      <c r="E870">
        <v>3</v>
      </c>
      <c r="F870">
        <v>17</v>
      </c>
      <c r="G870">
        <v>2</v>
      </c>
      <c r="H870">
        <v>14</v>
      </c>
      <c r="I870">
        <v>0</v>
      </c>
      <c r="J870">
        <v>691.5</v>
      </c>
      <c r="K870" t="s">
        <v>723</v>
      </c>
      <c r="L870" t="s">
        <v>1600</v>
      </c>
    </row>
    <row r="871" spans="1:12">
      <c r="A871">
        <v>869</v>
      </c>
      <c r="B871" t="s">
        <v>3</v>
      </c>
      <c r="C871" t="s">
        <v>724</v>
      </c>
      <c r="D871">
        <v>2020</v>
      </c>
      <c r="E871">
        <v>3</v>
      </c>
      <c r="F871">
        <v>20</v>
      </c>
      <c r="G871">
        <v>2</v>
      </c>
      <c r="H871">
        <v>14</v>
      </c>
      <c r="I871">
        <v>0</v>
      </c>
      <c r="J871">
        <v>7.6</v>
      </c>
      <c r="K871" t="s">
        <v>723</v>
      </c>
      <c r="L871" t="s">
        <v>1601</v>
      </c>
    </row>
    <row r="872" spans="1:12">
      <c r="A872">
        <v>870</v>
      </c>
      <c r="B872" t="s">
        <v>3</v>
      </c>
      <c r="C872" t="s">
        <v>724</v>
      </c>
      <c r="D872">
        <v>2020</v>
      </c>
      <c r="E872">
        <v>3</v>
      </c>
      <c r="F872">
        <v>25</v>
      </c>
      <c r="G872">
        <v>2</v>
      </c>
      <c r="H872">
        <v>14</v>
      </c>
      <c r="I872">
        <v>0</v>
      </c>
      <c r="J872">
        <v>3.75</v>
      </c>
      <c r="K872" t="s">
        <v>723</v>
      </c>
      <c r="L872" t="s">
        <v>1637</v>
      </c>
    </row>
    <row r="873" spans="1:12">
      <c r="A873">
        <v>871</v>
      </c>
      <c r="B873" t="s">
        <v>3</v>
      </c>
      <c r="C873" t="s">
        <v>724</v>
      </c>
      <c r="D873">
        <v>2020</v>
      </c>
      <c r="E873">
        <v>3</v>
      </c>
      <c r="F873">
        <v>25</v>
      </c>
      <c r="G873">
        <v>2</v>
      </c>
      <c r="H873">
        <v>14</v>
      </c>
      <c r="I873">
        <v>0</v>
      </c>
      <c r="J873">
        <v>61.08</v>
      </c>
      <c r="K873" t="s">
        <v>723</v>
      </c>
      <c r="L873" t="s">
        <v>1616</v>
      </c>
    </row>
    <row r="874" spans="1:12">
      <c r="A874">
        <v>872</v>
      </c>
      <c r="B874" t="s">
        <v>3</v>
      </c>
      <c r="C874" t="s">
        <v>724</v>
      </c>
      <c r="D874">
        <v>2020</v>
      </c>
      <c r="E874">
        <v>3</v>
      </c>
      <c r="F874">
        <v>25</v>
      </c>
      <c r="G874">
        <v>2</v>
      </c>
      <c r="H874">
        <v>14</v>
      </c>
      <c r="I874">
        <v>0</v>
      </c>
      <c r="J874">
        <v>365</v>
      </c>
      <c r="K874" t="s">
        <v>723</v>
      </c>
      <c r="L874" t="s">
        <v>1664</v>
      </c>
    </row>
    <row r="875" spans="1:12">
      <c r="A875">
        <v>873</v>
      </c>
      <c r="B875" t="s">
        <v>3</v>
      </c>
      <c r="C875" t="s">
        <v>724</v>
      </c>
      <c r="D875">
        <v>2020</v>
      </c>
      <c r="E875">
        <v>3</v>
      </c>
      <c r="F875">
        <v>26</v>
      </c>
      <c r="G875">
        <v>2</v>
      </c>
      <c r="H875">
        <v>14</v>
      </c>
      <c r="I875">
        <v>0</v>
      </c>
      <c r="J875">
        <v>6091.26</v>
      </c>
      <c r="K875" t="s">
        <v>723</v>
      </c>
      <c r="L875" t="s">
        <v>1618</v>
      </c>
    </row>
    <row r="876" spans="1:12">
      <c r="A876">
        <v>874</v>
      </c>
      <c r="B876" t="s">
        <v>3</v>
      </c>
      <c r="C876" t="s">
        <v>724</v>
      </c>
      <c r="D876">
        <v>2020</v>
      </c>
      <c r="E876">
        <v>3</v>
      </c>
      <c r="F876">
        <v>27</v>
      </c>
      <c r="G876">
        <v>2</v>
      </c>
      <c r="H876">
        <v>14</v>
      </c>
      <c r="I876">
        <v>0</v>
      </c>
      <c r="J876">
        <v>1206</v>
      </c>
      <c r="K876" t="s">
        <v>723</v>
      </c>
      <c r="L876" t="s">
        <v>1626</v>
      </c>
    </row>
    <row r="877" spans="1:12">
      <c r="A877">
        <v>875</v>
      </c>
      <c r="B877" t="s">
        <v>3</v>
      </c>
      <c r="C877" t="s">
        <v>724</v>
      </c>
      <c r="D877">
        <v>2020</v>
      </c>
      <c r="E877">
        <v>3</v>
      </c>
      <c r="F877">
        <v>28</v>
      </c>
      <c r="G877">
        <v>2</v>
      </c>
      <c r="H877">
        <v>14</v>
      </c>
      <c r="I877">
        <v>0</v>
      </c>
      <c r="J877">
        <v>40.17</v>
      </c>
      <c r="K877" t="s">
        <v>723</v>
      </c>
      <c r="L877" t="s">
        <v>1660</v>
      </c>
    </row>
    <row r="878" spans="1:12">
      <c r="A878">
        <v>876</v>
      </c>
      <c r="B878" t="s">
        <v>3</v>
      </c>
      <c r="C878" t="s">
        <v>724</v>
      </c>
      <c r="D878">
        <v>2020</v>
      </c>
      <c r="E878">
        <v>3</v>
      </c>
      <c r="F878">
        <v>28</v>
      </c>
      <c r="G878">
        <v>2</v>
      </c>
      <c r="H878">
        <v>14</v>
      </c>
      <c r="I878">
        <v>0</v>
      </c>
      <c r="J878">
        <v>234.88</v>
      </c>
      <c r="K878" t="s">
        <v>723</v>
      </c>
      <c r="L878" t="s">
        <v>1643</v>
      </c>
    </row>
    <row r="879" spans="1:12">
      <c r="A879">
        <v>877</v>
      </c>
      <c r="B879" t="s">
        <v>3</v>
      </c>
      <c r="C879" t="s">
        <v>724</v>
      </c>
      <c r="D879">
        <v>2020</v>
      </c>
      <c r="E879">
        <v>3</v>
      </c>
      <c r="F879">
        <v>28</v>
      </c>
      <c r="G879">
        <v>2</v>
      </c>
      <c r="H879">
        <v>14</v>
      </c>
      <c r="I879">
        <v>0</v>
      </c>
      <c r="J879">
        <v>3299</v>
      </c>
      <c r="K879" t="s">
        <v>723</v>
      </c>
      <c r="L879" t="s">
        <v>1634</v>
      </c>
    </row>
    <row r="880" spans="1:12">
      <c r="A880">
        <v>878</v>
      </c>
      <c r="B880" t="s">
        <v>3</v>
      </c>
      <c r="C880" t="s">
        <v>724</v>
      </c>
      <c r="D880">
        <v>2020</v>
      </c>
      <c r="E880">
        <v>3</v>
      </c>
      <c r="F880">
        <v>29</v>
      </c>
      <c r="G880">
        <v>2</v>
      </c>
      <c r="H880">
        <v>14</v>
      </c>
      <c r="I880">
        <v>0</v>
      </c>
      <c r="J880">
        <v>3294</v>
      </c>
      <c r="K880" t="s">
        <v>723</v>
      </c>
      <c r="L880" t="s">
        <v>1625</v>
      </c>
    </row>
    <row r="881" spans="1:12">
      <c r="A881">
        <v>879</v>
      </c>
      <c r="B881" t="s">
        <v>3</v>
      </c>
      <c r="C881" t="s">
        <v>724</v>
      </c>
      <c r="D881">
        <v>2020</v>
      </c>
      <c r="E881">
        <v>3</v>
      </c>
      <c r="F881">
        <v>29</v>
      </c>
      <c r="G881">
        <v>2</v>
      </c>
      <c r="H881">
        <v>14</v>
      </c>
      <c r="I881">
        <v>0</v>
      </c>
      <c r="J881">
        <v>16200</v>
      </c>
      <c r="K881" t="s">
        <v>723</v>
      </c>
      <c r="L881" t="s">
        <v>1635</v>
      </c>
    </row>
    <row r="882" spans="1:12">
      <c r="A882">
        <v>880</v>
      </c>
      <c r="B882" t="s">
        <v>3</v>
      </c>
      <c r="C882" t="s">
        <v>724</v>
      </c>
      <c r="D882">
        <v>2020</v>
      </c>
      <c r="E882">
        <v>3</v>
      </c>
      <c r="F882">
        <v>29</v>
      </c>
      <c r="G882">
        <v>2</v>
      </c>
      <c r="H882">
        <v>14</v>
      </c>
      <c r="I882">
        <v>0</v>
      </c>
      <c r="J882">
        <v>545</v>
      </c>
      <c r="K882" t="s">
        <v>723</v>
      </c>
      <c r="L882" t="s">
        <v>1656</v>
      </c>
    </row>
    <row r="883" spans="1:12">
      <c r="A883">
        <v>881</v>
      </c>
      <c r="B883" t="s">
        <v>3</v>
      </c>
      <c r="C883" t="s">
        <v>724</v>
      </c>
      <c r="D883">
        <v>2020</v>
      </c>
      <c r="E883">
        <v>3</v>
      </c>
      <c r="F883">
        <v>40</v>
      </c>
      <c r="G883">
        <v>2</v>
      </c>
      <c r="H883">
        <v>14</v>
      </c>
      <c r="I883">
        <v>0</v>
      </c>
      <c r="J883">
        <v>1130.9799999999998</v>
      </c>
      <c r="K883" t="s">
        <v>723</v>
      </c>
      <c r="L883" t="s">
        <v>1603</v>
      </c>
    </row>
    <row r="884" spans="1:12">
      <c r="A884">
        <v>882</v>
      </c>
      <c r="B884" t="s">
        <v>3</v>
      </c>
      <c r="C884" t="s">
        <v>724</v>
      </c>
      <c r="D884">
        <v>2020</v>
      </c>
      <c r="E884">
        <v>3</v>
      </c>
      <c r="F884">
        <v>40</v>
      </c>
      <c r="G884">
        <v>2</v>
      </c>
      <c r="H884">
        <v>14</v>
      </c>
      <c r="I884">
        <v>0</v>
      </c>
      <c r="J884">
        <v>1130.99</v>
      </c>
      <c r="K884" t="s">
        <v>723</v>
      </c>
      <c r="L884" t="s">
        <v>1604</v>
      </c>
    </row>
    <row r="885" spans="1:12">
      <c r="A885">
        <v>883</v>
      </c>
      <c r="B885" t="s">
        <v>3</v>
      </c>
      <c r="C885" t="s">
        <v>724</v>
      </c>
      <c r="D885">
        <v>2020</v>
      </c>
      <c r="E885">
        <v>3</v>
      </c>
      <c r="F885">
        <v>41</v>
      </c>
      <c r="G885">
        <v>2</v>
      </c>
      <c r="H885">
        <v>14</v>
      </c>
      <c r="I885">
        <v>0</v>
      </c>
      <c r="J885">
        <v>198.64000000000001</v>
      </c>
      <c r="K885" t="s">
        <v>723</v>
      </c>
      <c r="L885" t="s">
        <v>1605</v>
      </c>
    </row>
    <row r="886" spans="1:12">
      <c r="A886">
        <v>884</v>
      </c>
      <c r="B886" t="s">
        <v>3</v>
      </c>
      <c r="C886" t="s">
        <v>724</v>
      </c>
      <c r="D886">
        <v>2020</v>
      </c>
      <c r="E886">
        <v>4</v>
      </c>
      <c r="F886">
        <v>11</v>
      </c>
      <c r="G886">
        <v>2</v>
      </c>
      <c r="H886">
        <v>18</v>
      </c>
      <c r="I886">
        <v>0</v>
      </c>
      <c r="J886">
        <v>-7467.66</v>
      </c>
      <c r="K886" t="s">
        <v>723</v>
      </c>
      <c r="L886" t="s">
        <v>1607</v>
      </c>
    </row>
    <row r="887" spans="1:12">
      <c r="A887">
        <v>885</v>
      </c>
      <c r="B887" t="s">
        <v>3</v>
      </c>
      <c r="C887" t="s">
        <v>724</v>
      </c>
      <c r="D887">
        <v>2020</v>
      </c>
      <c r="E887">
        <v>4</v>
      </c>
      <c r="F887">
        <v>17</v>
      </c>
      <c r="G887">
        <v>2</v>
      </c>
      <c r="H887">
        <v>18</v>
      </c>
      <c r="I887">
        <v>0</v>
      </c>
      <c r="J887">
        <v>-499.50000000000006</v>
      </c>
      <c r="K887" t="s">
        <v>723</v>
      </c>
      <c r="L887" t="s">
        <v>1600</v>
      </c>
    </row>
    <row r="888" spans="1:12">
      <c r="A888">
        <v>886</v>
      </c>
      <c r="B888" t="s">
        <v>3</v>
      </c>
      <c r="C888" t="s">
        <v>724</v>
      </c>
      <c r="D888">
        <v>2020</v>
      </c>
      <c r="E888">
        <v>4</v>
      </c>
      <c r="F888">
        <v>20</v>
      </c>
      <c r="G888">
        <v>2</v>
      </c>
      <c r="H888">
        <v>18</v>
      </c>
      <c r="I888">
        <v>0</v>
      </c>
      <c r="J888">
        <v>-5.48</v>
      </c>
      <c r="K888" t="s">
        <v>723</v>
      </c>
      <c r="L888" t="s">
        <v>1601</v>
      </c>
    </row>
    <row r="889" spans="1:12">
      <c r="A889">
        <v>887</v>
      </c>
      <c r="B889" t="s">
        <v>3</v>
      </c>
      <c r="C889" t="s">
        <v>724</v>
      </c>
      <c r="D889">
        <v>2020</v>
      </c>
      <c r="E889">
        <v>4</v>
      </c>
      <c r="F889">
        <v>25</v>
      </c>
      <c r="G889">
        <v>2</v>
      </c>
      <c r="H889">
        <v>18</v>
      </c>
      <c r="I889">
        <v>0</v>
      </c>
      <c r="J889">
        <v>61.08</v>
      </c>
      <c r="K889" t="s">
        <v>723</v>
      </c>
      <c r="L889" t="s">
        <v>1616</v>
      </c>
    </row>
    <row r="890" spans="1:12">
      <c r="A890">
        <v>888</v>
      </c>
      <c r="B890" t="s">
        <v>3</v>
      </c>
      <c r="C890" t="s">
        <v>724</v>
      </c>
      <c r="D890">
        <v>2020</v>
      </c>
      <c r="E890">
        <v>4</v>
      </c>
      <c r="F890">
        <v>29</v>
      </c>
      <c r="G890">
        <v>2</v>
      </c>
      <c r="H890">
        <v>18</v>
      </c>
      <c r="I890">
        <v>0</v>
      </c>
      <c r="J890">
        <v>1758.3</v>
      </c>
      <c r="K890" t="s">
        <v>723</v>
      </c>
      <c r="L890" t="s">
        <v>1625</v>
      </c>
    </row>
    <row r="891" spans="1:12">
      <c r="A891">
        <v>889</v>
      </c>
      <c r="B891" t="s">
        <v>3</v>
      </c>
      <c r="C891" t="s">
        <v>724</v>
      </c>
      <c r="D891">
        <v>2020</v>
      </c>
      <c r="E891">
        <v>4</v>
      </c>
      <c r="F891">
        <v>29</v>
      </c>
      <c r="G891">
        <v>2</v>
      </c>
      <c r="H891">
        <v>18</v>
      </c>
      <c r="I891">
        <v>0</v>
      </c>
      <c r="J891">
        <v>-50.77</v>
      </c>
      <c r="K891" t="s">
        <v>723</v>
      </c>
      <c r="L891" t="s">
        <v>1648</v>
      </c>
    </row>
    <row r="892" spans="1:12">
      <c r="A892">
        <v>890</v>
      </c>
      <c r="B892" t="s">
        <v>3</v>
      </c>
      <c r="C892" t="s">
        <v>724</v>
      </c>
      <c r="D892">
        <v>2020</v>
      </c>
      <c r="E892">
        <v>4</v>
      </c>
      <c r="F892">
        <v>40</v>
      </c>
      <c r="G892">
        <v>2</v>
      </c>
      <c r="H892">
        <v>18</v>
      </c>
      <c r="I892">
        <v>0</v>
      </c>
      <c r="J892">
        <v>44.609999999999985</v>
      </c>
      <c r="K892" t="s">
        <v>723</v>
      </c>
      <c r="L892" t="s">
        <v>1603</v>
      </c>
    </row>
    <row r="893" spans="1:12">
      <c r="A893">
        <v>891</v>
      </c>
      <c r="B893" t="s">
        <v>3</v>
      </c>
      <c r="C893" t="s">
        <v>724</v>
      </c>
      <c r="D893">
        <v>2020</v>
      </c>
      <c r="E893">
        <v>4</v>
      </c>
      <c r="F893">
        <v>40</v>
      </c>
      <c r="G893">
        <v>2</v>
      </c>
      <c r="H893">
        <v>18</v>
      </c>
      <c r="I893">
        <v>0</v>
      </c>
      <c r="J893">
        <v>44.61</v>
      </c>
      <c r="K893" t="s">
        <v>723</v>
      </c>
      <c r="L893" t="s">
        <v>1604</v>
      </c>
    </row>
    <row r="894" spans="1:12">
      <c r="A894">
        <v>892</v>
      </c>
      <c r="B894" t="s">
        <v>3</v>
      </c>
      <c r="C894" t="s">
        <v>724</v>
      </c>
      <c r="D894">
        <v>2020</v>
      </c>
      <c r="E894">
        <v>4</v>
      </c>
      <c r="F894">
        <v>41</v>
      </c>
      <c r="G894">
        <v>2</v>
      </c>
      <c r="H894">
        <v>18</v>
      </c>
      <c r="I894">
        <v>0</v>
      </c>
      <c r="J894">
        <v>7.83</v>
      </c>
      <c r="K894" t="s">
        <v>723</v>
      </c>
      <c r="L894" t="s">
        <v>1605</v>
      </c>
    </row>
    <row r="895" spans="1:12">
      <c r="A895">
        <v>893</v>
      </c>
      <c r="B895" t="s">
        <v>3</v>
      </c>
      <c r="C895" t="s">
        <v>726</v>
      </c>
      <c r="D895">
        <v>2020</v>
      </c>
      <c r="E895">
        <v>3</v>
      </c>
      <c r="F895">
        <v>15</v>
      </c>
      <c r="G895">
        <v>2</v>
      </c>
      <c r="H895">
        <v>14</v>
      </c>
      <c r="I895">
        <v>0</v>
      </c>
      <c r="J895">
        <v>0</v>
      </c>
      <c r="K895" t="s">
        <v>725</v>
      </c>
      <c r="L895" t="s">
        <v>1665</v>
      </c>
    </row>
    <row r="896" spans="1:12">
      <c r="A896">
        <v>894</v>
      </c>
      <c r="B896" t="s">
        <v>3</v>
      </c>
      <c r="C896" t="s">
        <v>728</v>
      </c>
      <c r="D896">
        <v>2017</v>
      </c>
      <c r="E896">
        <v>1</v>
      </c>
      <c r="F896">
        <v>8</v>
      </c>
      <c r="G896">
        <v>5</v>
      </c>
      <c r="H896">
        <v>9</v>
      </c>
      <c r="I896">
        <v>-1057</v>
      </c>
      <c r="J896">
        <v>-529</v>
      </c>
      <c r="K896" t="s">
        <v>727</v>
      </c>
      <c r="L896" t="s">
        <v>1599</v>
      </c>
    </row>
    <row r="897" spans="1:12">
      <c r="A897">
        <v>895</v>
      </c>
      <c r="B897" t="s">
        <v>3</v>
      </c>
      <c r="C897" t="s">
        <v>728</v>
      </c>
      <c r="D897">
        <v>2017</v>
      </c>
      <c r="E897">
        <v>1</v>
      </c>
      <c r="F897">
        <v>23</v>
      </c>
      <c r="G897">
        <v>5</v>
      </c>
      <c r="H897">
        <v>9</v>
      </c>
      <c r="I897">
        <v>992</v>
      </c>
      <c r="J897">
        <v>0</v>
      </c>
      <c r="K897" t="s">
        <v>727</v>
      </c>
      <c r="L897" t="s">
        <v>1602</v>
      </c>
    </row>
    <row r="898" spans="1:12">
      <c r="A898">
        <v>896</v>
      </c>
      <c r="B898" t="s">
        <v>3</v>
      </c>
      <c r="C898" t="s">
        <v>728</v>
      </c>
      <c r="D898">
        <v>2017</v>
      </c>
      <c r="E898">
        <v>1</v>
      </c>
      <c r="F898">
        <v>25</v>
      </c>
      <c r="G898">
        <v>5</v>
      </c>
      <c r="H898">
        <v>9</v>
      </c>
      <c r="I898">
        <v>0</v>
      </c>
      <c r="J898">
        <v>2023.51</v>
      </c>
      <c r="K898" t="s">
        <v>727</v>
      </c>
      <c r="L898" t="s">
        <v>1632</v>
      </c>
    </row>
    <row r="899" spans="1:12">
      <c r="A899">
        <v>897</v>
      </c>
      <c r="B899" t="s">
        <v>3</v>
      </c>
      <c r="C899" t="s">
        <v>728</v>
      </c>
      <c r="D899">
        <v>2017</v>
      </c>
      <c r="E899">
        <v>1</v>
      </c>
      <c r="F899">
        <v>26</v>
      </c>
      <c r="G899">
        <v>5</v>
      </c>
      <c r="H899">
        <v>9</v>
      </c>
      <c r="I899">
        <v>0</v>
      </c>
      <c r="J899">
        <v>2.8421709430404007E-14</v>
      </c>
      <c r="K899" t="s">
        <v>727</v>
      </c>
      <c r="L899" t="s">
        <v>1618</v>
      </c>
    </row>
    <row r="900" spans="1:12">
      <c r="A900">
        <v>898</v>
      </c>
      <c r="B900" t="s">
        <v>3</v>
      </c>
      <c r="C900" t="s">
        <v>728</v>
      </c>
      <c r="D900">
        <v>2017</v>
      </c>
      <c r="E900">
        <v>1</v>
      </c>
      <c r="F900">
        <v>29</v>
      </c>
      <c r="G900">
        <v>5</v>
      </c>
      <c r="H900">
        <v>9</v>
      </c>
      <c r="I900">
        <v>0</v>
      </c>
      <c r="J900">
        <v>7.1054273576010019E-15</v>
      </c>
      <c r="K900" t="s">
        <v>727</v>
      </c>
      <c r="L900" t="s">
        <v>1608</v>
      </c>
    </row>
    <row r="901" spans="1:12">
      <c r="A901">
        <v>899</v>
      </c>
      <c r="B901" t="s">
        <v>3</v>
      </c>
      <c r="C901" t="s">
        <v>728</v>
      </c>
      <c r="D901">
        <v>2017</v>
      </c>
      <c r="E901">
        <v>1</v>
      </c>
      <c r="F901">
        <v>29</v>
      </c>
      <c r="G901">
        <v>5</v>
      </c>
      <c r="H901">
        <v>9</v>
      </c>
      <c r="I901">
        <v>0</v>
      </c>
      <c r="J901">
        <v>-150</v>
      </c>
      <c r="K901" t="s">
        <v>727</v>
      </c>
      <c r="L901" t="s">
        <v>1635</v>
      </c>
    </row>
    <row r="902" spans="1:12">
      <c r="A902">
        <v>900</v>
      </c>
      <c r="B902" t="s">
        <v>3</v>
      </c>
      <c r="C902" t="s">
        <v>728</v>
      </c>
      <c r="D902">
        <v>2017</v>
      </c>
      <c r="E902">
        <v>1</v>
      </c>
      <c r="F902">
        <v>29</v>
      </c>
      <c r="G902">
        <v>5</v>
      </c>
      <c r="H902">
        <v>9</v>
      </c>
      <c r="I902">
        <v>0</v>
      </c>
      <c r="J902">
        <v>0</v>
      </c>
      <c r="K902" t="s">
        <v>727</v>
      </c>
      <c r="L902" t="s">
        <v>1629</v>
      </c>
    </row>
    <row r="903" spans="1:12">
      <c r="A903">
        <v>901</v>
      </c>
      <c r="B903" t="s">
        <v>3</v>
      </c>
      <c r="C903" t="s">
        <v>728</v>
      </c>
      <c r="D903">
        <v>2017</v>
      </c>
      <c r="E903">
        <v>1</v>
      </c>
      <c r="F903">
        <v>40</v>
      </c>
      <c r="G903">
        <v>5</v>
      </c>
      <c r="H903">
        <v>9</v>
      </c>
      <c r="I903">
        <v>60</v>
      </c>
      <c r="J903">
        <v>56.58</v>
      </c>
      <c r="K903" t="s">
        <v>727</v>
      </c>
      <c r="L903" t="s">
        <v>1603</v>
      </c>
    </row>
    <row r="904" spans="1:12">
      <c r="A904">
        <v>902</v>
      </c>
      <c r="B904" t="s">
        <v>3</v>
      </c>
      <c r="C904" t="s">
        <v>728</v>
      </c>
      <c r="D904">
        <v>2017</v>
      </c>
      <c r="E904">
        <v>1</v>
      </c>
      <c r="F904">
        <v>40</v>
      </c>
      <c r="G904">
        <v>5</v>
      </c>
      <c r="H904">
        <v>9</v>
      </c>
      <c r="I904">
        <v>0</v>
      </c>
      <c r="J904">
        <v>56.580000000000005</v>
      </c>
      <c r="K904" t="s">
        <v>727</v>
      </c>
      <c r="L904" t="s">
        <v>1604</v>
      </c>
    </row>
    <row r="905" spans="1:12">
      <c r="A905">
        <v>903</v>
      </c>
      <c r="B905" t="s">
        <v>3</v>
      </c>
      <c r="C905" t="s">
        <v>728</v>
      </c>
      <c r="D905">
        <v>2017</v>
      </c>
      <c r="E905">
        <v>1</v>
      </c>
      <c r="F905">
        <v>41</v>
      </c>
      <c r="G905">
        <v>5</v>
      </c>
      <c r="H905">
        <v>9</v>
      </c>
      <c r="I905">
        <v>5</v>
      </c>
      <c r="J905">
        <v>9.3699999999999992</v>
      </c>
      <c r="K905" t="s">
        <v>727</v>
      </c>
      <c r="L905" t="s">
        <v>1605</v>
      </c>
    </row>
    <row r="906" spans="1:12">
      <c r="A906">
        <v>904</v>
      </c>
      <c r="B906" t="s">
        <v>3</v>
      </c>
      <c r="C906" t="s">
        <v>728</v>
      </c>
      <c r="D906">
        <v>2017</v>
      </c>
      <c r="E906">
        <v>2</v>
      </c>
      <c r="F906">
        <v>29</v>
      </c>
      <c r="G906">
        <v>5</v>
      </c>
      <c r="H906">
        <v>13</v>
      </c>
      <c r="I906">
        <v>0</v>
      </c>
      <c r="J906">
        <v>150</v>
      </c>
      <c r="K906" t="s">
        <v>727</v>
      </c>
      <c r="L906" t="s">
        <v>1635</v>
      </c>
    </row>
    <row r="907" spans="1:12">
      <c r="A907">
        <v>905</v>
      </c>
      <c r="B907" t="s">
        <v>3</v>
      </c>
      <c r="C907" t="s">
        <v>728</v>
      </c>
      <c r="D907">
        <v>2017</v>
      </c>
      <c r="E907">
        <v>2</v>
      </c>
      <c r="F907">
        <v>40</v>
      </c>
      <c r="G907">
        <v>5</v>
      </c>
      <c r="H907">
        <v>13</v>
      </c>
      <c r="I907">
        <v>0</v>
      </c>
      <c r="J907">
        <v>4.53</v>
      </c>
      <c r="K907" t="s">
        <v>727</v>
      </c>
      <c r="L907" t="s">
        <v>1603</v>
      </c>
    </row>
    <row r="908" spans="1:12">
      <c r="A908">
        <v>906</v>
      </c>
      <c r="B908" t="s">
        <v>3</v>
      </c>
      <c r="C908" t="s">
        <v>728</v>
      </c>
      <c r="D908">
        <v>2017</v>
      </c>
      <c r="E908">
        <v>2</v>
      </c>
      <c r="F908">
        <v>40</v>
      </c>
      <c r="G908">
        <v>5</v>
      </c>
      <c r="H908">
        <v>13</v>
      </c>
      <c r="I908">
        <v>0</v>
      </c>
      <c r="J908">
        <v>4.53</v>
      </c>
      <c r="K908" t="s">
        <v>727</v>
      </c>
      <c r="L908" t="s">
        <v>1604</v>
      </c>
    </row>
    <row r="909" spans="1:12">
      <c r="A909">
        <v>907</v>
      </c>
      <c r="B909" t="s">
        <v>3</v>
      </c>
      <c r="C909" t="s">
        <v>728</v>
      </c>
      <c r="D909">
        <v>2017</v>
      </c>
      <c r="E909">
        <v>2</v>
      </c>
      <c r="F909">
        <v>41</v>
      </c>
      <c r="G909">
        <v>5</v>
      </c>
      <c r="H909">
        <v>13</v>
      </c>
      <c r="I909">
        <v>0</v>
      </c>
      <c r="J909">
        <v>0.75</v>
      </c>
      <c r="K909" t="s">
        <v>727</v>
      </c>
      <c r="L909" t="s">
        <v>1605</v>
      </c>
    </row>
    <row r="910" spans="1:12">
      <c r="A910">
        <v>908</v>
      </c>
      <c r="B910" t="s">
        <v>3</v>
      </c>
      <c r="C910" t="s">
        <v>728</v>
      </c>
      <c r="D910">
        <v>2017</v>
      </c>
      <c r="E910">
        <v>3</v>
      </c>
      <c r="F910">
        <v>8</v>
      </c>
      <c r="G910">
        <v>5</v>
      </c>
      <c r="H910">
        <v>17</v>
      </c>
      <c r="I910">
        <v>0</v>
      </c>
      <c r="J910">
        <v>-528</v>
      </c>
      <c r="K910" t="s">
        <v>727</v>
      </c>
      <c r="L910" t="s">
        <v>1599</v>
      </c>
    </row>
    <row r="911" spans="1:12">
      <c r="A911">
        <v>909</v>
      </c>
      <c r="B911" t="s">
        <v>3</v>
      </c>
      <c r="C911" t="s">
        <v>728</v>
      </c>
      <c r="D911">
        <v>2017</v>
      </c>
      <c r="E911">
        <v>4</v>
      </c>
      <c r="F911">
        <v>11</v>
      </c>
      <c r="G911">
        <v>5</v>
      </c>
      <c r="H911">
        <v>21</v>
      </c>
      <c r="I911">
        <v>0</v>
      </c>
      <c r="J911">
        <v>-2481.81</v>
      </c>
      <c r="K911" t="s">
        <v>727</v>
      </c>
      <c r="L911" t="s">
        <v>1607</v>
      </c>
    </row>
    <row r="912" spans="1:12">
      <c r="A912">
        <v>910</v>
      </c>
      <c r="B912" t="s">
        <v>3</v>
      </c>
      <c r="C912" t="s">
        <v>728</v>
      </c>
      <c r="D912">
        <v>2017</v>
      </c>
      <c r="E912">
        <v>4</v>
      </c>
      <c r="F912">
        <v>26</v>
      </c>
      <c r="G912">
        <v>5</v>
      </c>
      <c r="H912">
        <v>21</v>
      </c>
      <c r="I912">
        <v>0</v>
      </c>
      <c r="J912">
        <v>979.6</v>
      </c>
      <c r="K912" t="s">
        <v>727</v>
      </c>
      <c r="L912" t="s">
        <v>1618</v>
      </c>
    </row>
    <row r="913" spans="1:12">
      <c r="A913">
        <v>911</v>
      </c>
      <c r="B913" t="s">
        <v>3</v>
      </c>
      <c r="C913" t="s">
        <v>728</v>
      </c>
      <c r="D913">
        <v>2017</v>
      </c>
      <c r="E913">
        <v>4</v>
      </c>
      <c r="F913">
        <v>26</v>
      </c>
      <c r="G913">
        <v>5</v>
      </c>
      <c r="H913">
        <v>21</v>
      </c>
      <c r="I913">
        <v>0</v>
      </c>
      <c r="J913">
        <v>86.85</v>
      </c>
      <c r="K913" t="s">
        <v>727</v>
      </c>
      <c r="L913" t="s">
        <v>1619</v>
      </c>
    </row>
    <row r="914" spans="1:12">
      <c r="A914">
        <v>912</v>
      </c>
      <c r="B914" t="s">
        <v>3</v>
      </c>
      <c r="C914" t="s">
        <v>728</v>
      </c>
      <c r="D914">
        <v>2017</v>
      </c>
      <c r="E914">
        <v>4</v>
      </c>
      <c r="F914">
        <v>27</v>
      </c>
      <c r="G914">
        <v>5</v>
      </c>
      <c r="H914">
        <v>21</v>
      </c>
      <c r="I914">
        <v>0</v>
      </c>
      <c r="J914">
        <v>58.78</v>
      </c>
      <c r="K914" t="s">
        <v>727</v>
      </c>
      <c r="L914" t="s">
        <v>1626</v>
      </c>
    </row>
    <row r="915" spans="1:12">
      <c r="A915">
        <v>913</v>
      </c>
      <c r="B915" t="s">
        <v>3</v>
      </c>
      <c r="C915" t="s">
        <v>728</v>
      </c>
      <c r="D915">
        <v>2017</v>
      </c>
      <c r="E915">
        <v>4</v>
      </c>
      <c r="F915">
        <v>28</v>
      </c>
      <c r="G915">
        <v>5</v>
      </c>
      <c r="H915">
        <v>21</v>
      </c>
      <c r="I915">
        <v>0</v>
      </c>
      <c r="J915">
        <v>53.83</v>
      </c>
      <c r="K915" t="s">
        <v>727</v>
      </c>
      <c r="L915" t="s">
        <v>1634</v>
      </c>
    </row>
    <row r="916" spans="1:12">
      <c r="A916">
        <v>914</v>
      </c>
      <c r="B916" t="s">
        <v>3</v>
      </c>
      <c r="C916" t="s">
        <v>728</v>
      </c>
      <c r="D916">
        <v>2017</v>
      </c>
      <c r="E916">
        <v>4</v>
      </c>
      <c r="F916">
        <v>29</v>
      </c>
      <c r="G916">
        <v>5</v>
      </c>
      <c r="H916">
        <v>21</v>
      </c>
      <c r="I916">
        <v>0</v>
      </c>
      <c r="J916">
        <v>119</v>
      </c>
      <c r="K916" t="s">
        <v>727</v>
      </c>
      <c r="L916" t="s">
        <v>1621</v>
      </c>
    </row>
    <row r="917" spans="1:12">
      <c r="A917">
        <v>915</v>
      </c>
      <c r="B917" t="s">
        <v>3</v>
      </c>
      <c r="C917" t="s">
        <v>728</v>
      </c>
      <c r="D917">
        <v>2017</v>
      </c>
      <c r="E917">
        <v>4</v>
      </c>
      <c r="F917">
        <v>40</v>
      </c>
      <c r="G917">
        <v>5</v>
      </c>
      <c r="H917">
        <v>21</v>
      </c>
      <c r="I917">
        <v>0</v>
      </c>
      <c r="J917">
        <v>39.19</v>
      </c>
      <c r="K917" t="s">
        <v>727</v>
      </c>
      <c r="L917" t="s">
        <v>1603</v>
      </c>
    </row>
    <row r="918" spans="1:12">
      <c r="A918">
        <v>916</v>
      </c>
      <c r="B918" t="s">
        <v>3</v>
      </c>
      <c r="C918" t="s">
        <v>728</v>
      </c>
      <c r="D918">
        <v>2017</v>
      </c>
      <c r="E918">
        <v>4</v>
      </c>
      <c r="F918">
        <v>40</v>
      </c>
      <c r="G918">
        <v>5</v>
      </c>
      <c r="H918">
        <v>21</v>
      </c>
      <c r="I918">
        <v>0</v>
      </c>
      <c r="J918">
        <v>39.21</v>
      </c>
      <c r="K918" t="s">
        <v>727</v>
      </c>
      <c r="L918" t="s">
        <v>1604</v>
      </c>
    </row>
    <row r="919" spans="1:12">
      <c r="A919">
        <v>917</v>
      </c>
      <c r="B919" t="s">
        <v>3</v>
      </c>
      <c r="C919" t="s">
        <v>728</v>
      </c>
      <c r="D919">
        <v>2017</v>
      </c>
      <c r="E919">
        <v>4</v>
      </c>
      <c r="F919">
        <v>41</v>
      </c>
      <c r="G919">
        <v>5</v>
      </c>
      <c r="H919">
        <v>21</v>
      </c>
      <c r="I919">
        <v>0</v>
      </c>
      <c r="J919">
        <v>6.49</v>
      </c>
      <c r="K919" t="s">
        <v>727</v>
      </c>
      <c r="L919" t="s">
        <v>1605</v>
      </c>
    </row>
    <row r="920" spans="1:12">
      <c r="A920">
        <v>918</v>
      </c>
      <c r="B920" t="s">
        <v>3</v>
      </c>
      <c r="C920" t="s">
        <v>728</v>
      </c>
      <c r="D920">
        <v>2018</v>
      </c>
      <c r="E920">
        <v>1</v>
      </c>
      <c r="F920">
        <v>8</v>
      </c>
      <c r="G920">
        <v>4</v>
      </c>
      <c r="H920">
        <v>8</v>
      </c>
      <c r="I920">
        <v>-1057</v>
      </c>
      <c r="J920">
        <v>-528</v>
      </c>
      <c r="K920" t="s">
        <v>727</v>
      </c>
      <c r="L920" t="s">
        <v>1599</v>
      </c>
    </row>
    <row r="921" spans="1:12">
      <c r="A921">
        <v>919</v>
      </c>
      <c r="B921" t="s">
        <v>3</v>
      </c>
      <c r="C921" t="s">
        <v>728</v>
      </c>
      <c r="D921">
        <v>2018</v>
      </c>
      <c r="E921">
        <v>1</v>
      </c>
      <c r="F921">
        <v>23</v>
      </c>
      <c r="G921">
        <v>4</v>
      </c>
      <c r="H921">
        <v>8</v>
      </c>
      <c r="I921">
        <v>992</v>
      </c>
      <c r="J921">
        <v>0</v>
      </c>
      <c r="K921" t="s">
        <v>727</v>
      </c>
      <c r="L921" t="s">
        <v>1602</v>
      </c>
    </row>
    <row r="922" spans="1:12">
      <c r="A922">
        <v>920</v>
      </c>
      <c r="B922" t="s">
        <v>3</v>
      </c>
      <c r="C922" t="s">
        <v>728</v>
      </c>
      <c r="D922">
        <v>2018</v>
      </c>
      <c r="E922">
        <v>1</v>
      </c>
      <c r="F922">
        <v>40</v>
      </c>
      <c r="G922">
        <v>4</v>
      </c>
      <c r="H922">
        <v>8</v>
      </c>
      <c r="I922">
        <v>60</v>
      </c>
      <c r="J922">
        <v>0</v>
      </c>
      <c r="K922" t="s">
        <v>727</v>
      </c>
      <c r="L922" t="s">
        <v>1603</v>
      </c>
    </row>
    <row r="923" spans="1:12">
      <c r="A923">
        <v>921</v>
      </c>
      <c r="B923" t="s">
        <v>3</v>
      </c>
      <c r="C923" t="s">
        <v>728</v>
      </c>
      <c r="D923">
        <v>2018</v>
      </c>
      <c r="E923">
        <v>1</v>
      </c>
      <c r="F923">
        <v>41</v>
      </c>
      <c r="G923">
        <v>4</v>
      </c>
      <c r="H923">
        <v>8</v>
      </c>
      <c r="I923">
        <v>5</v>
      </c>
      <c r="J923">
        <v>0</v>
      </c>
      <c r="K923" t="s">
        <v>727</v>
      </c>
      <c r="L923" t="s">
        <v>1605</v>
      </c>
    </row>
    <row r="924" spans="1:12">
      <c r="A924">
        <v>922</v>
      </c>
      <c r="B924" t="s">
        <v>3</v>
      </c>
      <c r="C924" t="s">
        <v>728</v>
      </c>
      <c r="D924">
        <v>2018</v>
      </c>
      <c r="E924">
        <v>2</v>
      </c>
      <c r="F924">
        <v>28</v>
      </c>
      <c r="G924">
        <v>4</v>
      </c>
      <c r="H924">
        <v>12</v>
      </c>
      <c r="I924">
        <v>0</v>
      </c>
      <c r="J924">
        <v>54.03</v>
      </c>
      <c r="K924" t="s">
        <v>727</v>
      </c>
      <c r="L924" t="s">
        <v>1639</v>
      </c>
    </row>
    <row r="925" spans="1:12">
      <c r="A925">
        <v>923</v>
      </c>
      <c r="B925" t="s">
        <v>3</v>
      </c>
      <c r="C925" t="s">
        <v>728</v>
      </c>
      <c r="D925">
        <v>2018</v>
      </c>
      <c r="E925">
        <v>2</v>
      </c>
      <c r="F925">
        <v>40</v>
      </c>
      <c r="G925">
        <v>4</v>
      </c>
      <c r="H925">
        <v>12</v>
      </c>
      <c r="I925">
        <v>0</v>
      </c>
      <c r="J925">
        <v>1.7</v>
      </c>
      <c r="K925" t="s">
        <v>727</v>
      </c>
      <c r="L925" t="s">
        <v>1603</v>
      </c>
    </row>
    <row r="926" spans="1:12">
      <c r="A926">
        <v>924</v>
      </c>
      <c r="B926" t="s">
        <v>3</v>
      </c>
      <c r="C926" t="s">
        <v>728</v>
      </c>
      <c r="D926">
        <v>2018</v>
      </c>
      <c r="E926">
        <v>2</v>
      </c>
      <c r="F926">
        <v>40</v>
      </c>
      <c r="G926">
        <v>4</v>
      </c>
      <c r="H926">
        <v>12</v>
      </c>
      <c r="I926">
        <v>0</v>
      </c>
      <c r="J926">
        <v>1.7</v>
      </c>
      <c r="K926" t="s">
        <v>727</v>
      </c>
      <c r="L926" t="s">
        <v>1604</v>
      </c>
    </row>
    <row r="927" spans="1:12">
      <c r="A927">
        <v>925</v>
      </c>
      <c r="B927" t="s">
        <v>3</v>
      </c>
      <c r="C927" t="s">
        <v>728</v>
      </c>
      <c r="D927">
        <v>2018</v>
      </c>
      <c r="E927">
        <v>2</v>
      </c>
      <c r="F927">
        <v>41</v>
      </c>
      <c r="G927">
        <v>4</v>
      </c>
      <c r="H927">
        <v>12</v>
      </c>
      <c r="I927">
        <v>0</v>
      </c>
      <c r="J927">
        <v>0.28000000000000003</v>
      </c>
      <c r="K927" t="s">
        <v>727</v>
      </c>
      <c r="L927" t="s">
        <v>1605</v>
      </c>
    </row>
    <row r="928" spans="1:12">
      <c r="A928">
        <v>926</v>
      </c>
      <c r="B928" t="s">
        <v>3</v>
      </c>
      <c r="C928" t="s">
        <v>728</v>
      </c>
      <c r="D928">
        <v>2018</v>
      </c>
      <c r="E928">
        <v>3</v>
      </c>
      <c r="F928">
        <v>8</v>
      </c>
      <c r="G928">
        <v>4</v>
      </c>
      <c r="H928">
        <v>16</v>
      </c>
      <c r="I928">
        <v>0</v>
      </c>
      <c r="J928">
        <v>-529</v>
      </c>
      <c r="K928" t="s">
        <v>727</v>
      </c>
      <c r="L928" t="s">
        <v>1599</v>
      </c>
    </row>
    <row r="929" spans="1:12">
      <c r="A929">
        <v>927</v>
      </c>
      <c r="B929" t="s">
        <v>3</v>
      </c>
      <c r="C929" t="s">
        <v>728</v>
      </c>
      <c r="D929">
        <v>2018</v>
      </c>
      <c r="E929">
        <v>3</v>
      </c>
      <c r="F929">
        <v>28</v>
      </c>
      <c r="G929">
        <v>4</v>
      </c>
      <c r="H929">
        <v>16</v>
      </c>
      <c r="I929">
        <v>0</v>
      </c>
      <c r="J929">
        <v>140.34</v>
      </c>
      <c r="K929" t="s">
        <v>727</v>
      </c>
      <c r="L929" t="s">
        <v>1660</v>
      </c>
    </row>
    <row r="930" spans="1:12">
      <c r="A930">
        <v>928</v>
      </c>
      <c r="B930" t="s">
        <v>3</v>
      </c>
      <c r="C930" t="s">
        <v>728</v>
      </c>
      <c r="D930">
        <v>2018</v>
      </c>
      <c r="E930">
        <v>3</v>
      </c>
      <c r="F930">
        <v>40</v>
      </c>
      <c r="G930">
        <v>4</v>
      </c>
      <c r="H930">
        <v>16</v>
      </c>
      <c r="I930">
        <v>0</v>
      </c>
      <c r="J930">
        <v>4.42</v>
      </c>
      <c r="K930" t="s">
        <v>727</v>
      </c>
      <c r="L930" t="s">
        <v>1603</v>
      </c>
    </row>
    <row r="931" spans="1:12">
      <c r="A931">
        <v>929</v>
      </c>
      <c r="B931" t="s">
        <v>3</v>
      </c>
      <c r="C931" t="s">
        <v>728</v>
      </c>
      <c r="D931">
        <v>2018</v>
      </c>
      <c r="E931">
        <v>3</v>
      </c>
      <c r="F931">
        <v>40</v>
      </c>
      <c r="G931">
        <v>4</v>
      </c>
      <c r="H931">
        <v>16</v>
      </c>
      <c r="I931">
        <v>0</v>
      </c>
      <c r="J931">
        <v>4.41</v>
      </c>
      <c r="K931" t="s">
        <v>727</v>
      </c>
      <c r="L931" t="s">
        <v>1604</v>
      </c>
    </row>
    <row r="932" spans="1:12">
      <c r="A932">
        <v>930</v>
      </c>
      <c r="B932" t="s">
        <v>3</v>
      </c>
      <c r="C932" t="s">
        <v>728</v>
      </c>
      <c r="D932">
        <v>2018</v>
      </c>
      <c r="E932">
        <v>3</v>
      </c>
      <c r="F932">
        <v>41</v>
      </c>
      <c r="G932">
        <v>4</v>
      </c>
      <c r="H932">
        <v>16</v>
      </c>
      <c r="I932">
        <v>0</v>
      </c>
      <c r="J932">
        <v>0.72</v>
      </c>
      <c r="K932" t="s">
        <v>727</v>
      </c>
      <c r="L932" t="s">
        <v>1605</v>
      </c>
    </row>
    <row r="933" spans="1:12">
      <c r="A933">
        <v>931</v>
      </c>
      <c r="B933" t="s">
        <v>3</v>
      </c>
      <c r="C933" t="s">
        <v>728</v>
      </c>
      <c r="D933">
        <v>2018</v>
      </c>
      <c r="E933">
        <v>4</v>
      </c>
      <c r="F933">
        <v>25</v>
      </c>
      <c r="G933">
        <v>4</v>
      </c>
      <c r="H933">
        <v>20</v>
      </c>
      <c r="I933">
        <v>0</v>
      </c>
      <c r="J933">
        <v>45</v>
      </c>
      <c r="K933" t="s">
        <v>727</v>
      </c>
      <c r="L933" t="s">
        <v>1637</v>
      </c>
    </row>
    <row r="934" spans="1:12">
      <c r="A934">
        <v>932</v>
      </c>
      <c r="B934" t="s">
        <v>3</v>
      </c>
      <c r="C934" t="s">
        <v>728</v>
      </c>
      <c r="D934">
        <v>2018</v>
      </c>
      <c r="E934">
        <v>4</v>
      </c>
      <c r="F934">
        <v>28</v>
      </c>
      <c r="G934">
        <v>4</v>
      </c>
      <c r="H934">
        <v>20</v>
      </c>
      <c r="I934">
        <v>0</v>
      </c>
      <c r="J934">
        <v>329.21</v>
      </c>
      <c r="K934" t="s">
        <v>727</v>
      </c>
      <c r="L934" t="s">
        <v>1634</v>
      </c>
    </row>
    <row r="935" spans="1:12">
      <c r="A935">
        <v>933</v>
      </c>
      <c r="B935" t="s">
        <v>3</v>
      </c>
      <c r="C935" t="s">
        <v>728</v>
      </c>
      <c r="D935">
        <v>2018</v>
      </c>
      <c r="E935">
        <v>4</v>
      </c>
      <c r="F935">
        <v>40</v>
      </c>
      <c r="G935">
        <v>4</v>
      </c>
      <c r="H935">
        <v>20</v>
      </c>
      <c r="I935">
        <v>0</v>
      </c>
      <c r="J935">
        <v>11.770000000000001</v>
      </c>
      <c r="K935" t="s">
        <v>727</v>
      </c>
      <c r="L935" t="s">
        <v>1603</v>
      </c>
    </row>
    <row r="936" spans="1:12">
      <c r="A936">
        <v>934</v>
      </c>
      <c r="B936" t="s">
        <v>3</v>
      </c>
      <c r="C936" t="s">
        <v>728</v>
      </c>
      <c r="D936">
        <v>2018</v>
      </c>
      <c r="E936">
        <v>4</v>
      </c>
      <c r="F936">
        <v>40</v>
      </c>
      <c r="G936">
        <v>4</v>
      </c>
      <c r="H936">
        <v>20</v>
      </c>
      <c r="I936">
        <v>0</v>
      </c>
      <c r="J936">
        <v>11.77</v>
      </c>
      <c r="K936" t="s">
        <v>727</v>
      </c>
      <c r="L936" t="s">
        <v>1604</v>
      </c>
    </row>
    <row r="937" spans="1:12">
      <c r="A937">
        <v>935</v>
      </c>
      <c r="B937" t="s">
        <v>3</v>
      </c>
      <c r="C937" t="s">
        <v>728</v>
      </c>
      <c r="D937">
        <v>2018</v>
      </c>
      <c r="E937">
        <v>4</v>
      </c>
      <c r="F937">
        <v>41</v>
      </c>
      <c r="G937">
        <v>4</v>
      </c>
      <c r="H937">
        <v>20</v>
      </c>
      <c r="I937">
        <v>0</v>
      </c>
      <c r="J937">
        <v>1.91</v>
      </c>
      <c r="K937" t="s">
        <v>727</v>
      </c>
      <c r="L937" t="s">
        <v>1605</v>
      </c>
    </row>
    <row r="938" spans="1:12">
      <c r="A938">
        <v>936</v>
      </c>
      <c r="B938" t="s">
        <v>3</v>
      </c>
      <c r="C938" t="s">
        <v>728</v>
      </c>
      <c r="D938">
        <v>2018</v>
      </c>
      <c r="E938">
        <v>4</v>
      </c>
      <c r="F938">
        <v>45</v>
      </c>
      <c r="G938">
        <v>4</v>
      </c>
      <c r="H938">
        <v>20</v>
      </c>
      <c r="I938">
        <v>0</v>
      </c>
      <c r="J938">
        <v>449.74</v>
      </c>
      <c r="K938" t="s">
        <v>727</v>
      </c>
      <c r="L938" t="s">
        <v>1606</v>
      </c>
    </row>
    <row r="939" spans="1:12">
      <c r="A939">
        <v>937</v>
      </c>
      <c r="B939" t="s">
        <v>3</v>
      </c>
      <c r="C939" t="s">
        <v>728</v>
      </c>
      <c r="D939">
        <v>2019</v>
      </c>
      <c r="E939">
        <v>1</v>
      </c>
      <c r="F939">
        <v>8</v>
      </c>
      <c r="G939">
        <v>3</v>
      </c>
      <c r="H939">
        <v>7</v>
      </c>
      <c r="I939">
        <v>-1060</v>
      </c>
      <c r="J939">
        <v>-530</v>
      </c>
      <c r="K939" t="s">
        <v>727</v>
      </c>
      <c r="L939" t="s">
        <v>1599</v>
      </c>
    </row>
    <row r="940" spans="1:12">
      <c r="A940">
        <v>938</v>
      </c>
      <c r="B940" t="s">
        <v>3</v>
      </c>
      <c r="C940" t="s">
        <v>728</v>
      </c>
      <c r="D940">
        <v>2019</v>
      </c>
      <c r="E940">
        <v>1</v>
      </c>
      <c r="F940">
        <v>23</v>
      </c>
      <c r="G940">
        <v>3</v>
      </c>
      <c r="H940">
        <v>7</v>
      </c>
      <c r="I940">
        <v>992</v>
      </c>
      <c r="J940">
        <v>0</v>
      </c>
      <c r="K940" t="s">
        <v>727</v>
      </c>
      <c r="L940" t="s">
        <v>1602</v>
      </c>
    </row>
    <row r="941" spans="1:12">
      <c r="A941">
        <v>939</v>
      </c>
      <c r="B941" t="s">
        <v>3</v>
      </c>
      <c r="C941" t="s">
        <v>728</v>
      </c>
      <c r="D941">
        <v>2019</v>
      </c>
      <c r="E941">
        <v>1</v>
      </c>
      <c r="F941">
        <v>40</v>
      </c>
      <c r="G941">
        <v>3</v>
      </c>
      <c r="H941">
        <v>7</v>
      </c>
      <c r="I941">
        <v>62</v>
      </c>
      <c r="J941">
        <v>0</v>
      </c>
      <c r="K941" t="s">
        <v>727</v>
      </c>
      <c r="L941" t="s">
        <v>1603</v>
      </c>
    </row>
    <row r="942" spans="1:12">
      <c r="A942">
        <v>940</v>
      </c>
      <c r="B942" t="s">
        <v>3</v>
      </c>
      <c r="C942" t="s">
        <v>728</v>
      </c>
      <c r="D942">
        <v>2019</v>
      </c>
      <c r="E942">
        <v>1</v>
      </c>
      <c r="F942">
        <v>41</v>
      </c>
      <c r="G942">
        <v>3</v>
      </c>
      <c r="H942">
        <v>7</v>
      </c>
      <c r="I942">
        <v>5</v>
      </c>
      <c r="J942">
        <v>0</v>
      </c>
      <c r="K942" t="s">
        <v>727</v>
      </c>
      <c r="L942" t="s">
        <v>1605</v>
      </c>
    </row>
    <row r="943" spans="1:12">
      <c r="A943">
        <v>941</v>
      </c>
      <c r="B943" t="s">
        <v>3</v>
      </c>
      <c r="C943" t="s">
        <v>728</v>
      </c>
      <c r="D943">
        <v>2019</v>
      </c>
      <c r="E943">
        <v>2</v>
      </c>
      <c r="F943">
        <v>29</v>
      </c>
      <c r="G943">
        <v>3</v>
      </c>
      <c r="H943">
        <v>11</v>
      </c>
      <c r="I943">
        <v>0</v>
      </c>
      <c r="J943">
        <v>92.82</v>
      </c>
      <c r="K943" t="s">
        <v>727</v>
      </c>
      <c r="L943" t="s">
        <v>1608</v>
      </c>
    </row>
    <row r="944" spans="1:12">
      <c r="A944">
        <v>942</v>
      </c>
      <c r="B944" t="s">
        <v>3</v>
      </c>
      <c r="C944" t="s">
        <v>728</v>
      </c>
      <c r="D944">
        <v>2019</v>
      </c>
      <c r="E944">
        <v>2</v>
      </c>
      <c r="F944">
        <v>40</v>
      </c>
      <c r="G944">
        <v>3</v>
      </c>
      <c r="H944">
        <v>11</v>
      </c>
      <c r="I944">
        <v>0</v>
      </c>
      <c r="J944">
        <v>3.14</v>
      </c>
      <c r="K944" t="s">
        <v>727</v>
      </c>
      <c r="L944" t="s">
        <v>1603</v>
      </c>
    </row>
    <row r="945" spans="1:12">
      <c r="A945">
        <v>943</v>
      </c>
      <c r="B945" t="s">
        <v>3</v>
      </c>
      <c r="C945" t="s">
        <v>728</v>
      </c>
      <c r="D945">
        <v>2019</v>
      </c>
      <c r="E945">
        <v>2</v>
      </c>
      <c r="F945">
        <v>40</v>
      </c>
      <c r="G945">
        <v>3</v>
      </c>
      <c r="H945">
        <v>11</v>
      </c>
      <c r="I945">
        <v>0</v>
      </c>
      <c r="J945">
        <v>3.14</v>
      </c>
      <c r="K945" t="s">
        <v>727</v>
      </c>
      <c r="L945" t="s">
        <v>1604</v>
      </c>
    </row>
    <row r="946" spans="1:12">
      <c r="A946">
        <v>944</v>
      </c>
      <c r="B946" t="s">
        <v>3</v>
      </c>
      <c r="C946" t="s">
        <v>728</v>
      </c>
      <c r="D946">
        <v>2019</v>
      </c>
      <c r="E946">
        <v>2</v>
      </c>
      <c r="F946">
        <v>41</v>
      </c>
      <c r="G946">
        <v>3</v>
      </c>
      <c r="H946">
        <v>11</v>
      </c>
      <c r="I946">
        <v>0</v>
      </c>
      <c r="J946">
        <v>0.57999999999999996</v>
      </c>
      <c r="K946" t="s">
        <v>727</v>
      </c>
      <c r="L946" t="s">
        <v>1605</v>
      </c>
    </row>
    <row r="947" spans="1:12">
      <c r="A947">
        <v>945</v>
      </c>
      <c r="B947" t="s">
        <v>3</v>
      </c>
      <c r="C947" t="s">
        <v>728</v>
      </c>
      <c r="D947">
        <v>2019</v>
      </c>
      <c r="E947">
        <v>3</v>
      </c>
      <c r="F947">
        <v>8</v>
      </c>
      <c r="G947">
        <v>3</v>
      </c>
      <c r="H947">
        <v>15</v>
      </c>
      <c r="I947">
        <v>0</v>
      </c>
      <c r="J947">
        <v>-530</v>
      </c>
      <c r="K947" t="s">
        <v>727</v>
      </c>
      <c r="L947" t="s">
        <v>1599</v>
      </c>
    </row>
    <row r="948" spans="1:12">
      <c r="A948">
        <v>946</v>
      </c>
      <c r="B948" t="s">
        <v>3</v>
      </c>
      <c r="C948" t="s">
        <v>728</v>
      </c>
      <c r="D948">
        <v>2019</v>
      </c>
      <c r="E948">
        <v>4</v>
      </c>
      <c r="F948">
        <v>45</v>
      </c>
      <c r="G948">
        <v>3</v>
      </c>
      <c r="H948">
        <v>19</v>
      </c>
      <c r="I948">
        <v>0</v>
      </c>
      <c r="J948">
        <v>960.32</v>
      </c>
      <c r="K948" t="s">
        <v>727</v>
      </c>
      <c r="L948" t="s">
        <v>1606</v>
      </c>
    </row>
    <row r="949" spans="1:12">
      <c r="A949">
        <v>947</v>
      </c>
      <c r="B949" t="s">
        <v>3</v>
      </c>
      <c r="C949" t="s">
        <v>728</v>
      </c>
      <c r="D949">
        <v>2020</v>
      </c>
      <c r="E949">
        <v>1</v>
      </c>
      <c r="F949">
        <v>8</v>
      </c>
      <c r="G949">
        <v>2</v>
      </c>
      <c r="H949">
        <v>6</v>
      </c>
      <c r="I949">
        <v>-1068</v>
      </c>
      <c r="J949">
        <v>0</v>
      </c>
      <c r="K949" t="s">
        <v>727</v>
      </c>
      <c r="L949" t="s">
        <v>1599</v>
      </c>
    </row>
    <row r="950" spans="1:12">
      <c r="A950">
        <v>948</v>
      </c>
      <c r="B950" t="s">
        <v>3</v>
      </c>
      <c r="C950" t="s">
        <v>728</v>
      </c>
      <c r="D950">
        <v>2020</v>
      </c>
      <c r="E950">
        <v>1</v>
      </c>
      <c r="F950">
        <v>8</v>
      </c>
      <c r="G950">
        <v>2</v>
      </c>
      <c r="H950">
        <v>6</v>
      </c>
      <c r="I950">
        <v>0</v>
      </c>
      <c r="J950">
        <v>-534</v>
      </c>
      <c r="K950" t="s">
        <v>727</v>
      </c>
      <c r="L950" t="s">
        <v>1611</v>
      </c>
    </row>
    <row r="951" spans="1:12">
      <c r="A951">
        <v>949</v>
      </c>
      <c r="B951" t="s">
        <v>3</v>
      </c>
      <c r="C951" t="s">
        <v>728</v>
      </c>
      <c r="D951">
        <v>2020</v>
      </c>
      <c r="E951">
        <v>1</v>
      </c>
      <c r="F951">
        <v>23</v>
      </c>
      <c r="G951">
        <v>2</v>
      </c>
      <c r="H951">
        <v>6</v>
      </c>
      <c r="I951">
        <v>992</v>
      </c>
      <c r="J951">
        <v>0</v>
      </c>
      <c r="K951" t="s">
        <v>727</v>
      </c>
      <c r="L951" t="s">
        <v>1602</v>
      </c>
    </row>
    <row r="952" spans="1:12">
      <c r="A952">
        <v>950</v>
      </c>
      <c r="B952" t="s">
        <v>3</v>
      </c>
      <c r="C952" t="s">
        <v>728</v>
      </c>
      <c r="D952">
        <v>2020</v>
      </c>
      <c r="E952">
        <v>1</v>
      </c>
      <c r="F952">
        <v>40</v>
      </c>
      <c r="G952">
        <v>2</v>
      </c>
      <c r="H952">
        <v>6</v>
      </c>
      <c r="I952">
        <v>70</v>
      </c>
      <c r="J952">
        <v>0</v>
      </c>
      <c r="K952" t="s">
        <v>727</v>
      </c>
      <c r="L952" t="s">
        <v>1603</v>
      </c>
    </row>
    <row r="953" spans="1:12">
      <c r="A953">
        <v>951</v>
      </c>
      <c r="B953" t="s">
        <v>3</v>
      </c>
      <c r="C953" t="s">
        <v>728</v>
      </c>
      <c r="D953">
        <v>2020</v>
      </c>
      <c r="E953">
        <v>1</v>
      </c>
      <c r="F953">
        <v>41</v>
      </c>
      <c r="G953">
        <v>2</v>
      </c>
      <c r="H953">
        <v>6</v>
      </c>
      <c r="I953">
        <v>6</v>
      </c>
      <c r="J953">
        <v>0</v>
      </c>
      <c r="K953" t="s">
        <v>727</v>
      </c>
      <c r="L953" t="s">
        <v>1605</v>
      </c>
    </row>
    <row r="954" spans="1:12">
      <c r="A954">
        <v>952</v>
      </c>
      <c r="B954" t="s">
        <v>3</v>
      </c>
      <c r="C954" t="s">
        <v>728</v>
      </c>
      <c r="D954">
        <v>2020</v>
      </c>
      <c r="E954">
        <v>3</v>
      </c>
      <c r="F954">
        <v>8</v>
      </c>
      <c r="G954">
        <v>2</v>
      </c>
      <c r="H954">
        <v>14</v>
      </c>
      <c r="I954">
        <v>0</v>
      </c>
      <c r="J954">
        <v>-534</v>
      </c>
      <c r="K954" t="s">
        <v>727</v>
      </c>
      <c r="L954" t="s">
        <v>1611</v>
      </c>
    </row>
    <row r="955" spans="1:12">
      <c r="A955">
        <v>953</v>
      </c>
      <c r="B955" t="s">
        <v>3</v>
      </c>
      <c r="C955" t="s">
        <v>728</v>
      </c>
      <c r="D955">
        <v>2020</v>
      </c>
      <c r="E955">
        <v>4</v>
      </c>
      <c r="F955">
        <v>45</v>
      </c>
      <c r="G955">
        <v>2</v>
      </c>
      <c r="H955">
        <v>18</v>
      </c>
      <c r="I955">
        <v>0</v>
      </c>
      <c r="J955">
        <v>1068</v>
      </c>
      <c r="K955" t="s">
        <v>727</v>
      </c>
      <c r="L955" t="s">
        <v>1606</v>
      </c>
    </row>
    <row r="956" spans="1:12">
      <c r="A956">
        <v>954</v>
      </c>
      <c r="B956" t="s">
        <v>3</v>
      </c>
      <c r="C956" t="s">
        <v>730</v>
      </c>
      <c r="D956">
        <v>2017</v>
      </c>
      <c r="E956">
        <v>1</v>
      </c>
      <c r="F956">
        <v>8</v>
      </c>
      <c r="G956">
        <v>5</v>
      </c>
      <c r="H956">
        <v>9</v>
      </c>
      <c r="I956">
        <v>-1060</v>
      </c>
      <c r="J956">
        <v>-530</v>
      </c>
      <c r="K956" t="s">
        <v>729</v>
      </c>
      <c r="L956" t="s">
        <v>1599</v>
      </c>
    </row>
    <row r="957" spans="1:12">
      <c r="A957">
        <v>955</v>
      </c>
      <c r="B957" t="s">
        <v>3</v>
      </c>
      <c r="C957" t="s">
        <v>730</v>
      </c>
      <c r="D957">
        <v>2017</v>
      </c>
      <c r="E957">
        <v>1</v>
      </c>
      <c r="F957">
        <v>23</v>
      </c>
      <c r="G957">
        <v>5</v>
      </c>
      <c r="H957">
        <v>9</v>
      </c>
      <c r="I957">
        <v>995</v>
      </c>
      <c r="J957">
        <v>0</v>
      </c>
      <c r="K957" t="s">
        <v>729</v>
      </c>
      <c r="L957" t="s">
        <v>1602</v>
      </c>
    </row>
    <row r="958" spans="1:12">
      <c r="A958">
        <v>956</v>
      </c>
      <c r="B958" t="s">
        <v>3</v>
      </c>
      <c r="C958" t="s">
        <v>730</v>
      </c>
      <c r="D958">
        <v>2017</v>
      </c>
      <c r="E958">
        <v>1</v>
      </c>
      <c r="F958">
        <v>40</v>
      </c>
      <c r="G958">
        <v>5</v>
      </c>
      <c r="H958">
        <v>9</v>
      </c>
      <c r="I958">
        <v>60</v>
      </c>
      <c r="J958">
        <v>0</v>
      </c>
      <c r="K958" t="s">
        <v>729</v>
      </c>
      <c r="L958" t="s">
        <v>1603</v>
      </c>
    </row>
    <row r="959" spans="1:12">
      <c r="A959">
        <v>957</v>
      </c>
      <c r="B959" t="s">
        <v>3</v>
      </c>
      <c r="C959" t="s">
        <v>730</v>
      </c>
      <c r="D959">
        <v>2017</v>
      </c>
      <c r="E959">
        <v>1</v>
      </c>
      <c r="F959">
        <v>41</v>
      </c>
      <c r="G959">
        <v>5</v>
      </c>
      <c r="H959">
        <v>9</v>
      </c>
      <c r="I959">
        <v>5</v>
      </c>
      <c r="J959">
        <v>0</v>
      </c>
      <c r="K959" t="s">
        <v>729</v>
      </c>
      <c r="L959" t="s">
        <v>1605</v>
      </c>
    </row>
    <row r="960" spans="1:12">
      <c r="A960">
        <v>958</v>
      </c>
      <c r="B960" t="s">
        <v>3</v>
      </c>
      <c r="C960" t="s">
        <v>730</v>
      </c>
      <c r="D960">
        <v>2017</v>
      </c>
      <c r="E960">
        <v>3</v>
      </c>
      <c r="F960">
        <v>8</v>
      </c>
      <c r="G960">
        <v>5</v>
      </c>
      <c r="H960">
        <v>17</v>
      </c>
      <c r="I960">
        <v>0</v>
      </c>
      <c r="J960">
        <v>-530</v>
      </c>
      <c r="K960" t="s">
        <v>729</v>
      </c>
      <c r="L960" t="s">
        <v>1599</v>
      </c>
    </row>
    <row r="961" spans="1:12">
      <c r="A961">
        <v>959</v>
      </c>
      <c r="B961" t="s">
        <v>3</v>
      </c>
      <c r="C961" t="s">
        <v>730</v>
      </c>
      <c r="D961">
        <v>2017</v>
      </c>
      <c r="E961">
        <v>4</v>
      </c>
      <c r="F961">
        <v>45</v>
      </c>
      <c r="G961">
        <v>5</v>
      </c>
      <c r="H961">
        <v>21</v>
      </c>
      <c r="I961">
        <v>0</v>
      </c>
      <c r="J961">
        <v>1060</v>
      </c>
      <c r="K961" t="s">
        <v>729</v>
      </c>
      <c r="L961" t="s">
        <v>1606</v>
      </c>
    </row>
    <row r="962" spans="1:12">
      <c r="A962">
        <v>960</v>
      </c>
      <c r="B962" t="s">
        <v>3</v>
      </c>
      <c r="C962" t="s">
        <v>730</v>
      </c>
      <c r="D962">
        <v>2018</v>
      </c>
      <c r="E962">
        <v>1</v>
      </c>
      <c r="F962">
        <v>8</v>
      </c>
      <c r="G962">
        <v>4</v>
      </c>
      <c r="H962">
        <v>8</v>
      </c>
      <c r="I962">
        <v>-1060</v>
      </c>
      <c r="J962">
        <v>-530</v>
      </c>
      <c r="K962" t="s">
        <v>729</v>
      </c>
      <c r="L962" t="s">
        <v>1599</v>
      </c>
    </row>
    <row r="963" spans="1:12">
      <c r="A963">
        <v>961</v>
      </c>
      <c r="B963" t="s">
        <v>3</v>
      </c>
      <c r="C963" t="s">
        <v>730</v>
      </c>
      <c r="D963">
        <v>2018</v>
      </c>
      <c r="E963">
        <v>1</v>
      </c>
      <c r="F963">
        <v>23</v>
      </c>
      <c r="G963">
        <v>4</v>
      </c>
      <c r="H963">
        <v>8</v>
      </c>
      <c r="I963">
        <v>995</v>
      </c>
      <c r="J963">
        <v>0</v>
      </c>
      <c r="K963" t="s">
        <v>729</v>
      </c>
      <c r="L963" t="s">
        <v>1602</v>
      </c>
    </row>
    <row r="964" spans="1:12">
      <c r="A964">
        <v>962</v>
      </c>
      <c r="B964" t="s">
        <v>3</v>
      </c>
      <c r="C964" t="s">
        <v>730</v>
      </c>
      <c r="D964">
        <v>2018</v>
      </c>
      <c r="E964">
        <v>1</v>
      </c>
      <c r="F964">
        <v>40</v>
      </c>
      <c r="G964">
        <v>4</v>
      </c>
      <c r="H964">
        <v>8</v>
      </c>
      <c r="I964">
        <v>60</v>
      </c>
      <c r="J964">
        <v>0</v>
      </c>
      <c r="K964" t="s">
        <v>729</v>
      </c>
      <c r="L964" t="s">
        <v>1603</v>
      </c>
    </row>
    <row r="965" spans="1:12">
      <c r="A965">
        <v>963</v>
      </c>
      <c r="B965" t="s">
        <v>3</v>
      </c>
      <c r="C965" t="s">
        <v>730</v>
      </c>
      <c r="D965">
        <v>2018</v>
      </c>
      <c r="E965">
        <v>1</v>
      </c>
      <c r="F965">
        <v>41</v>
      </c>
      <c r="G965">
        <v>4</v>
      </c>
      <c r="H965">
        <v>8</v>
      </c>
      <c r="I965">
        <v>5</v>
      </c>
      <c r="J965">
        <v>0</v>
      </c>
      <c r="K965" t="s">
        <v>729</v>
      </c>
      <c r="L965" t="s">
        <v>1605</v>
      </c>
    </row>
    <row r="966" spans="1:12">
      <c r="A966">
        <v>964</v>
      </c>
      <c r="B966" t="s">
        <v>3</v>
      </c>
      <c r="C966" t="s">
        <v>730</v>
      </c>
      <c r="D966">
        <v>2018</v>
      </c>
      <c r="E966">
        <v>3</v>
      </c>
      <c r="F966">
        <v>8</v>
      </c>
      <c r="G966">
        <v>4</v>
      </c>
      <c r="H966">
        <v>16</v>
      </c>
      <c r="I966">
        <v>0</v>
      </c>
      <c r="J966">
        <v>-530</v>
      </c>
      <c r="K966" t="s">
        <v>729</v>
      </c>
      <c r="L966" t="s">
        <v>1599</v>
      </c>
    </row>
    <row r="967" spans="1:12">
      <c r="A967">
        <v>965</v>
      </c>
      <c r="B967" t="s">
        <v>3</v>
      </c>
      <c r="C967" t="s">
        <v>730</v>
      </c>
      <c r="D967">
        <v>2018</v>
      </c>
      <c r="E967">
        <v>4</v>
      </c>
      <c r="F967">
        <v>26</v>
      </c>
      <c r="G967">
        <v>4</v>
      </c>
      <c r="H967">
        <v>20</v>
      </c>
      <c r="I967">
        <v>0</v>
      </c>
      <c r="J967">
        <v>398.46</v>
      </c>
      <c r="K967" t="s">
        <v>729</v>
      </c>
      <c r="L967" t="s">
        <v>1618</v>
      </c>
    </row>
    <row r="968" spans="1:12">
      <c r="A968">
        <v>966</v>
      </c>
      <c r="B968" t="s">
        <v>3</v>
      </c>
      <c r="C968" t="s">
        <v>730</v>
      </c>
      <c r="D968">
        <v>2018</v>
      </c>
      <c r="E968">
        <v>4</v>
      </c>
      <c r="F968">
        <v>29</v>
      </c>
      <c r="G968">
        <v>4</v>
      </c>
      <c r="H968">
        <v>20</v>
      </c>
      <c r="I968">
        <v>0</v>
      </c>
      <c r="J968">
        <v>0</v>
      </c>
      <c r="K968" t="s">
        <v>729</v>
      </c>
      <c r="L968" t="s">
        <v>1666</v>
      </c>
    </row>
    <row r="969" spans="1:12">
      <c r="A969">
        <v>967</v>
      </c>
      <c r="B969" t="s">
        <v>3</v>
      </c>
      <c r="C969" t="s">
        <v>730</v>
      </c>
      <c r="D969">
        <v>2018</v>
      </c>
      <c r="E969">
        <v>4</v>
      </c>
      <c r="F969">
        <v>40</v>
      </c>
      <c r="G969">
        <v>4</v>
      </c>
      <c r="H969">
        <v>20</v>
      </c>
      <c r="I969">
        <v>0</v>
      </c>
      <c r="J969">
        <v>12.53</v>
      </c>
      <c r="K969" t="s">
        <v>729</v>
      </c>
      <c r="L969" t="s">
        <v>1603</v>
      </c>
    </row>
    <row r="970" spans="1:12">
      <c r="A970">
        <v>968</v>
      </c>
      <c r="B970" t="s">
        <v>3</v>
      </c>
      <c r="C970" t="s">
        <v>730</v>
      </c>
      <c r="D970">
        <v>2018</v>
      </c>
      <c r="E970">
        <v>4</v>
      </c>
      <c r="F970">
        <v>40</v>
      </c>
      <c r="G970">
        <v>4</v>
      </c>
      <c r="H970">
        <v>20</v>
      </c>
      <c r="I970">
        <v>0</v>
      </c>
      <c r="J970">
        <v>12.53</v>
      </c>
      <c r="K970" t="s">
        <v>729</v>
      </c>
      <c r="L970" t="s">
        <v>1604</v>
      </c>
    </row>
    <row r="971" spans="1:12">
      <c r="A971">
        <v>969</v>
      </c>
      <c r="B971" t="s">
        <v>3</v>
      </c>
      <c r="C971" t="s">
        <v>730</v>
      </c>
      <c r="D971">
        <v>2018</v>
      </c>
      <c r="E971">
        <v>4</v>
      </c>
      <c r="F971">
        <v>41</v>
      </c>
      <c r="G971">
        <v>4</v>
      </c>
      <c r="H971">
        <v>20</v>
      </c>
      <c r="I971">
        <v>0</v>
      </c>
      <c r="J971">
        <v>2.0300000000000002</v>
      </c>
      <c r="K971" t="s">
        <v>729</v>
      </c>
      <c r="L971" t="s">
        <v>1605</v>
      </c>
    </row>
    <row r="972" spans="1:12">
      <c r="A972">
        <v>970</v>
      </c>
      <c r="B972" t="s">
        <v>3</v>
      </c>
      <c r="C972" t="s">
        <v>730</v>
      </c>
      <c r="D972">
        <v>2018</v>
      </c>
      <c r="E972">
        <v>4</v>
      </c>
      <c r="F972">
        <v>45</v>
      </c>
      <c r="G972">
        <v>4</v>
      </c>
      <c r="H972">
        <v>20</v>
      </c>
      <c r="I972">
        <v>0</v>
      </c>
      <c r="J972">
        <v>634.45000000000005</v>
      </c>
      <c r="K972" t="s">
        <v>729</v>
      </c>
      <c r="L972" t="s">
        <v>1606</v>
      </c>
    </row>
    <row r="973" spans="1:12">
      <c r="A973">
        <v>971</v>
      </c>
      <c r="B973" t="s">
        <v>3</v>
      </c>
      <c r="C973" t="s">
        <v>730</v>
      </c>
      <c r="D973">
        <v>2019</v>
      </c>
      <c r="E973">
        <v>1</v>
      </c>
      <c r="F973">
        <v>8</v>
      </c>
      <c r="G973">
        <v>3</v>
      </c>
      <c r="H973">
        <v>7</v>
      </c>
      <c r="I973">
        <v>-1063</v>
      </c>
      <c r="J973">
        <v>-531</v>
      </c>
      <c r="K973" t="s">
        <v>729</v>
      </c>
      <c r="L973" t="s">
        <v>1599</v>
      </c>
    </row>
    <row r="974" spans="1:12">
      <c r="A974">
        <v>972</v>
      </c>
      <c r="B974" t="s">
        <v>3</v>
      </c>
      <c r="C974" t="s">
        <v>730</v>
      </c>
      <c r="D974">
        <v>2019</v>
      </c>
      <c r="E974">
        <v>1</v>
      </c>
      <c r="F974">
        <v>23</v>
      </c>
      <c r="G974">
        <v>3</v>
      </c>
      <c r="H974">
        <v>7</v>
      </c>
      <c r="I974">
        <v>995</v>
      </c>
      <c r="J974">
        <v>0</v>
      </c>
      <c r="K974" t="s">
        <v>729</v>
      </c>
      <c r="L974" t="s">
        <v>1602</v>
      </c>
    </row>
    <row r="975" spans="1:12">
      <c r="A975">
        <v>973</v>
      </c>
      <c r="B975" t="s">
        <v>3</v>
      </c>
      <c r="C975" t="s">
        <v>730</v>
      </c>
      <c r="D975">
        <v>2019</v>
      </c>
      <c r="E975">
        <v>1</v>
      </c>
      <c r="F975">
        <v>40</v>
      </c>
      <c r="G975">
        <v>3</v>
      </c>
      <c r="H975">
        <v>7</v>
      </c>
      <c r="I975">
        <v>63</v>
      </c>
      <c r="J975">
        <v>0</v>
      </c>
      <c r="K975" t="s">
        <v>729</v>
      </c>
      <c r="L975" t="s">
        <v>1603</v>
      </c>
    </row>
    <row r="976" spans="1:12">
      <c r="A976">
        <v>974</v>
      </c>
      <c r="B976" t="s">
        <v>3</v>
      </c>
      <c r="C976" t="s">
        <v>730</v>
      </c>
      <c r="D976">
        <v>2019</v>
      </c>
      <c r="E976">
        <v>1</v>
      </c>
      <c r="F976">
        <v>41</v>
      </c>
      <c r="G976">
        <v>3</v>
      </c>
      <c r="H976">
        <v>7</v>
      </c>
      <c r="I976">
        <v>5</v>
      </c>
      <c r="J976">
        <v>0</v>
      </c>
      <c r="K976" t="s">
        <v>729</v>
      </c>
      <c r="L976" t="s">
        <v>1605</v>
      </c>
    </row>
    <row r="977" spans="1:12">
      <c r="A977">
        <v>975</v>
      </c>
      <c r="B977" t="s">
        <v>3</v>
      </c>
      <c r="C977" t="s">
        <v>730</v>
      </c>
      <c r="D977">
        <v>2019</v>
      </c>
      <c r="E977">
        <v>2</v>
      </c>
      <c r="F977">
        <v>28</v>
      </c>
      <c r="G977">
        <v>3</v>
      </c>
      <c r="H977">
        <v>11</v>
      </c>
      <c r="I977">
        <v>0</v>
      </c>
      <c r="J977">
        <v>100</v>
      </c>
      <c r="K977" t="s">
        <v>729</v>
      </c>
      <c r="L977" t="s">
        <v>1643</v>
      </c>
    </row>
    <row r="978" spans="1:12">
      <c r="A978">
        <v>976</v>
      </c>
      <c r="B978" t="s">
        <v>3</v>
      </c>
      <c r="C978" t="s">
        <v>730</v>
      </c>
      <c r="D978">
        <v>2019</v>
      </c>
      <c r="E978">
        <v>2</v>
      </c>
      <c r="F978">
        <v>28</v>
      </c>
      <c r="G978">
        <v>3</v>
      </c>
      <c r="H978">
        <v>11</v>
      </c>
      <c r="I978">
        <v>0</v>
      </c>
      <c r="J978">
        <v>50</v>
      </c>
      <c r="K978" t="s">
        <v>729</v>
      </c>
      <c r="L978" t="s">
        <v>1634</v>
      </c>
    </row>
    <row r="979" spans="1:12">
      <c r="A979">
        <v>977</v>
      </c>
      <c r="B979" t="s">
        <v>3</v>
      </c>
      <c r="C979" t="s">
        <v>730</v>
      </c>
      <c r="D979">
        <v>2019</v>
      </c>
      <c r="E979">
        <v>2</v>
      </c>
      <c r="F979">
        <v>40</v>
      </c>
      <c r="G979">
        <v>3</v>
      </c>
      <c r="H979">
        <v>11</v>
      </c>
      <c r="I979">
        <v>0</v>
      </c>
      <c r="J979">
        <v>5.0600000000000005</v>
      </c>
      <c r="K979" t="s">
        <v>729</v>
      </c>
      <c r="L979" t="s">
        <v>1603</v>
      </c>
    </row>
    <row r="980" spans="1:12">
      <c r="A980">
        <v>978</v>
      </c>
      <c r="B980" t="s">
        <v>3</v>
      </c>
      <c r="C980" t="s">
        <v>730</v>
      </c>
      <c r="D980">
        <v>2019</v>
      </c>
      <c r="E980">
        <v>2</v>
      </c>
      <c r="F980">
        <v>40</v>
      </c>
      <c r="G980">
        <v>3</v>
      </c>
      <c r="H980">
        <v>11</v>
      </c>
      <c r="I980">
        <v>0</v>
      </c>
      <c r="J980">
        <v>5.08</v>
      </c>
      <c r="K980" t="s">
        <v>729</v>
      </c>
      <c r="L980" t="s">
        <v>1604</v>
      </c>
    </row>
    <row r="981" spans="1:12">
      <c r="A981">
        <v>979</v>
      </c>
      <c r="B981" t="s">
        <v>3</v>
      </c>
      <c r="C981" t="s">
        <v>730</v>
      </c>
      <c r="D981">
        <v>2019</v>
      </c>
      <c r="E981">
        <v>2</v>
      </c>
      <c r="F981">
        <v>41</v>
      </c>
      <c r="G981">
        <v>3</v>
      </c>
      <c r="H981">
        <v>11</v>
      </c>
      <c r="I981">
        <v>0</v>
      </c>
      <c r="J981">
        <v>0.94</v>
      </c>
      <c r="K981" t="s">
        <v>729</v>
      </c>
      <c r="L981" t="s">
        <v>1605</v>
      </c>
    </row>
    <row r="982" spans="1:12">
      <c r="A982">
        <v>980</v>
      </c>
      <c r="B982" t="s">
        <v>3</v>
      </c>
      <c r="C982" t="s">
        <v>730</v>
      </c>
      <c r="D982">
        <v>2019</v>
      </c>
      <c r="E982">
        <v>3</v>
      </c>
      <c r="F982">
        <v>8</v>
      </c>
      <c r="G982">
        <v>3</v>
      </c>
      <c r="H982">
        <v>15</v>
      </c>
      <c r="I982">
        <v>0</v>
      </c>
      <c r="J982">
        <v>-532</v>
      </c>
      <c r="K982" t="s">
        <v>729</v>
      </c>
      <c r="L982" t="s">
        <v>1599</v>
      </c>
    </row>
    <row r="983" spans="1:12">
      <c r="A983">
        <v>981</v>
      </c>
      <c r="B983" t="s">
        <v>3</v>
      </c>
      <c r="C983" t="s">
        <v>730</v>
      </c>
      <c r="D983">
        <v>2019</v>
      </c>
      <c r="E983">
        <v>4</v>
      </c>
      <c r="F983">
        <v>28</v>
      </c>
      <c r="G983">
        <v>3</v>
      </c>
      <c r="H983">
        <v>19</v>
      </c>
      <c r="I983">
        <v>0</v>
      </c>
      <c r="J983">
        <v>-100</v>
      </c>
      <c r="K983" t="s">
        <v>729</v>
      </c>
      <c r="L983" t="s">
        <v>1643</v>
      </c>
    </row>
    <row r="984" spans="1:12">
      <c r="A984">
        <v>982</v>
      </c>
      <c r="B984" t="s">
        <v>3</v>
      </c>
      <c r="C984" t="s">
        <v>730</v>
      </c>
      <c r="D984">
        <v>2019</v>
      </c>
      <c r="E984">
        <v>4</v>
      </c>
      <c r="F984">
        <v>40</v>
      </c>
      <c r="G984">
        <v>3</v>
      </c>
      <c r="H984">
        <v>19</v>
      </c>
      <c r="I984">
        <v>0</v>
      </c>
      <c r="J984">
        <v>-3.38</v>
      </c>
      <c r="K984" t="s">
        <v>729</v>
      </c>
      <c r="L984" t="s">
        <v>1603</v>
      </c>
    </row>
    <row r="985" spans="1:12">
      <c r="A985">
        <v>983</v>
      </c>
      <c r="B985" t="s">
        <v>3</v>
      </c>
      <c r="C985" t="s">
        <v>730</v>
      </c>
      <c r="D985">
        <v>2019</v>
      </c>
      <c r="E985">
        <v>4</v>
      </c>
      <c r="F985">
        <v>40</v>
      </c>
      <c r="G985">
        <v>3</v>
      </c>
      <c r="H985">
        <v>19</v>
      </c>
      <c r="I985">
        <v>0</v>
      </c>
      <c r="J985">
        <v>-3.38</v>
      </c>
      <c r="K985" t="s">
        <v>729</v>
      </c>
      <c r="L985" t="s">
        <v>1604</v>
      </c>
    </row>
    <row r="986" spans="1:12">
      <c r="A986">
        <v>984</v>
      </c>
      <c r="B986" t="s">
        <v>3</v>
      </c>
      <c r="C986" t="s">
        <v>730</v>
      </c>
      <c r="D986">
        <v>2019</v>
      </c>
      <c r="E986">
        <v>4</v>
      </c>
      <c r="F986">
        <v>41</v>
      </c>
      <c r="G986">
        <v>3</v>
      </c>
      <c r="H986">
        <v>19</v>
      </c>
      <c r="I986">
        <v>0</v>
      </c>
      <c r="J986">
        <v>-0.62</v>
      </c>
      <c r="K986" t="s">
        <v>729</v>
      </c>
      <c r="L986" t="s">
        <v>1605</v>
      </c>
    </row>
    <row r="987" spans="1:12">
      <c r="A987">
        <v>985</v>
      </c>
      <c r="B987" t="s">
        <v>3</v>
      </c>
      <c r="C987" t="s">
        <v>730</v>
      </c>
      <c r="D987">
        <v>2019</v>
      </c>
      <c r="E987">
        <v>4</v>
      </c>
      <c r="F987">
        <v>45</v>
      </c>
      <c r="G987">
        <v>3</v>
      </c>
      <c r="H987">
        <v>19</v>
      </c>
      <c r="I987">
        <v>0</v>
      </c>
      <c r="J987">
        <v>1009.3</v>
      </c>
      <c r="K987" t="s">
        <v>729</v>
      </c>
      <c r="L987" t="s">
        <v>1606</v>
      </c>
    </row>
    <row r="988" spans="1:12">
      <c r="A988">
        <v>986</v>
      </c>
      <c r="B988" t="s">
        <v>3</v>
      </c>
      <c r="C988" t="s">
        <v>730</v>
      </c>
      <c r="D988">
        <v>2020</v>
      </c>
      <c r="E988">
        <v>1</v>
      </c>
      <c r="F988">
        <v>8</v>
      </c>
      <c r="G988">
        <v>2</v>
      </c>
      <c r="H988">
        <v>6</v>
      </c>
      <c r="I988">
        <v>-538</v>
      </c>
      <c r="J988">
        <v>0</v>
      </c>
      <c r="K988" t="s">
        <v>729</v>
      </c>
      <c r="L988" t="s">
        <v>1599</v>
      </c>
    </row>
    <row r="989" spans="1:12">
      <c r="A989">
        <v>987</v>
      </c>
      <c r="B989" t="s">
        <v>3</v>
      </c>
      <c r="C989" t="s">
        <v>730</v>
      </c>
      <c r="D989">
        <v>2020</v>
      </c>
      <c r="E989">
        <v>1</v>
      </c>
      <c r="F989">
        <v>8</v>
      </c>
      <c r="G989">
        <v>2</v>
      </c>
      <c r="H989">
        <v>6</v>
      </c>
      <c r="I989">
        <v>0</v>
      </c>
      <c r="J989">
        <v>-269</v>
      </c>
      <c r="K989" t="s">
        <v>729</v>
      </c>
      <c r="L989" t="s">
        <v>1611</v>
      </c>
    </row>
    <row r="990" spans="1:12">
      <c r="A990">
        <v>988</v>
      </c>
      <c r="B990" t="s">
        <v>3</v>
      </c>
      <c r="C990" t="s">
        <v>730</v>
      </c>
      <c r="D990">
        <v>2020</v>
      </c>
      <c r="E990">
        <v>1</v>
      </c>
      <c r="F990">
        <v>23</v>
      </c>
      <c r="G990">
        <v>2</v>
      </c>
      <c r="H990">
        <v>6</v>
      </c>
      <c r="I990">
        <v>500</v>
      </c>
      <c r="J990">
        <v>0</v>
      </c>
      <c r="K990" t="s">
        <v>729</v>
      </c>
      <c r="L990" t="s">
        <v>1602</v>
      </c>
    </row>
    <row r="991" spans="1:12">
      <c r="A991">
        <v>989</v>
      </c>
      <c r="B991" t="s">
        <v>3</v>
      </c>
      <c r="C991" t="s">
        <v>730</v>
      </c>
      <c r="D991">
        <v>2020</v>
      </c>
      <c r="E991">
        <v>1</v>
      </c>
      <c r="F991">
        <v>40</v>
      </c>
      <c r="G991">
        <v>2</v>
      </c>
      <c r="H991">
        <v>6</v>
      </c>
      <c r="I991">
        <v>35</v>
      </c>
      <c r="J991">
        <v>0</v>
      </c>
      <c r="K991" t="s">
        <v>729</v>
      </c>
      <c r="L991" t="s">
        <v>1603</v>
      </c>
    </row>
    <row r="992" spans="1:12">
      <c r="A992">
        <v>990</v>
      </c>
      <c r="B992" t="s">
        <v>3</v>
      </c>
      <c r="C992" t="s">
        <v>730</v>
      </c>
      <c r="D992">
        <v>2020</v>
      </c>
      <c r="E992">
        <v>1</v>
      </c>
      <c r="F992">
        <v>41</v>
      </c>
      <c r="G992">
        <v>2</v>
      </c>
      <c r="H992">
        <v>6</v>
      </c>
      <c r="I992">
        <v>3</v>
      </c>
      <c r="J992">
        <v>0</v>
      </c>
      <c r="K992" t="s">
        <v>729</v>
      </c>
      <c r="L992" t="s">
        <v>1605</v>
      </c>
    </row>
    <row r="993" spans="1:12">
      <c r="A993">
        <v>991</v>
      </c>
      <c r="B993" t="s">
        <v>3</v>
      </c>
      <c r="C993" t="s">
        <v>730</v>
      </c>
      <c r="D993">
        <v>2020</v>
      </c>
      <c r="E993">
        <v>3</v>
      </c>
      <c r="F993">
        <v>8</v>
      </c>
      <c r="G993">
        <v>2</v>
      </c>
      <c r="H993">
        <v>14</v>
      </c>
      <c r="I993">
        <v>0</v>
      </c>
      <c r="J993">
        <v>-269</v>
      </c>
      <c r="K993" t="s">
        <v>729</v>
      </c>
      <c r="L993" t="s">
        <v>1611</v>
      </c>
    </row>
    <row r="994" spans="1:12">
      <c r="A994">
        <v>992</v>
      </c>
      <c r="B994" t="s">
        <v>3</v>
      </c>
      <c r="C994" t="s">
        <v>730</v>
      </c>
      <c r="D994">
        <v>2020</v>
      </c>
      <c r="E994">
        <v>4</v>
      </c>
      <c r="F994">
        <v>45</v>
      </c>
      <c r="G994">
        <v>2</v>
      </c>
      <c r="H994">
        <v>18</v>
      </c>
      <c r="I994">
        <v>0</v>
      </c>
      <c r="J994">
        <v>538</v>
      </c>
      <c r="K994" t="s">
        <v>729</v>
      </c>
      <c r="L994" t="s">
        <v>1606</v>
      </c>
    </row>
    <row r="995" spans="1:12">
      <c r="A995">
        <v>993</v>
      </c>
      <c r="B995" t="s">
        <v>3</v>
      </c>
      <c r="C995" t="s">
        <v>736</v>
      </c>
      <c r="D995">
        <v>2017</v>
      </c>
      <c r="E995">
        <v>1</v>
      </c>
      <c r="F995">
        <v>8</v>
      </c>
      <c r="G995">
        <v>5</v>
      </c>
      <c r="H995">
        <v>9</v>
      </c>
      <c r="I995">
        <v>-51438</v>
      </c>
      <c r="J995">
        <v>-25719</v>
      </c>
      <c r="K995" t="s">
        <v>735</v>
      </c>
      <c r="L995" t="s">
        <v>1599</v>
      </c>
    </row>
    <row r="996" spans="1:12">
      <c r="A996">
        <v>994</v>
      </c>
      <c r="B996" t="s">
        <v>3</v>
      </c>
      <c r="C996" t="s">
        <v>736</v>
      </c>
      <c r="D996">
        <v>2017</v>
      </c>
      <c r="E996">
        <v>1</v>
      </c>
      <c r="F996">
        <v>9</v>
      </c>
      <c r="G996">
        <v>5</v>
      </c>
      <c r="H996">
        <v>9</v>
      </c>
      <c r="I996">
        <v>0</v>
      </c>
      <c r="J996">
        <v>-5375</v>
      </c>
      <c r="K996" t="s">
        <v>735</v>
      </c>
      <c r="L996" t="s">
        <v>1667</v>
      </c>
    </row>
    <row r="997" spans="1:12">
      <c r="A997">
        <v>995</v>
      </c>
      <c r="B997" t="s">
        <v>3</v>
      </c>
      <c r="C997" t="s">
        <v>736</v>
      </c>
      <c r="D997">
        <v>2017</v>
      </c>
      <c r="E997">
        <v>1</v>
      </c>
      <c r="F997">
        <v>23</v>
      </c>
      <c r="G997">
        <v>5</v>
      </c>
      <c r="H997">
        <v>9</v>
      </c>
      <c r="I997">
        <v>48281</v>
      </c>
      <c r="J997">
        <v>0</v>
      </c>
      <c r="K997" t="s">
        <v>735</v>
      </c>
      <c r="L997" t="s">
        <v>1602</v>
      </c>
    </row>
    <row r="998" spans="1:12">
      <c r="A998">
        <v>996</v>
      </c>
      <c r="B998" t="s">
        <v>3</v>
      </c>
      <c r="C998" t="s">
        <v>736</v>
      </c>
      <c r="D998">
        <v>2017</v>
      </c>
      <c r="E998">
        <v>1</v>
      </c>
      <c r="F998">
        <v>25</v>
      </c>
      <c r="G998">
        <v>5</v>
      </c>
      <c r="H998">
        <v>9</v>
      </c>
      <c r="I998">
        <v>0</v>
      </c>
      <c r="J998">
        <v>305.17</v>
      </c>
      <c r="K998" t="s">
        <v>735</v>
      </c>
      <c r="L998" t="s">
        <v>1632</v>
      </c>
    </row>
    <row r="999" spans="1:12">
      <c r="A999">
        <v>997</v>
      </c>
      <c r="B999" t="s">
        <v>3</v>
      </c>
      <c r="C999" t="s">
        <v>736</v>
      </c>
      <c r="D999">
        <v>2017</v>
      </c>
      <c r="E999">
        <v>1</v>
      </c>
      <c r="F999">
        <v>25</v>
      </c>
      <c r="G999">
        <v>5</v>
      </c>
      <c r="H999">
        <v>9</v>
      </c>
      <c r="I999">
        <v>0</v>
      </c>
      <c r="J999">
        <v>150.19999999999999</v>
      </c>
      <c r="K999" t="s">
        <v>735</v>
      </c>
      <c r="L999" t="s">
        <v>1668</v>
      </c>
    </row>
    <row r="1000" spans="1:12">
      <c r="A1000">
        <v>998</v>
      </c>
      <c r="B1000" t="s">
        <v>3</v>
      </c>
      <c r="C1000" t="s">
        <v>736</v>
      </c>
      <c r="D1000">
        <v>2017</v>
      </c>
      <c r="E1000">
        <v>1</v>
      </c>
      <c r="F1000">
        <v>25</v>
      </c>
      <c r="G1000">
        <v>5</v>
      </c>
      <c r="H1000">
        <v>9</v>
      </c>
      <c r="I1000">
        <v>0</v>
      </c>
      <c r="J1000">
        <v>40.840000000000003</v>
      </c>
      <c r="K1000" t="s">
        <v>735</v>
      </c>
      <c r="L1000" t="s">
        <v>1669</v>
      </c>
    </row>
    <row r="1001" spans="1:12">
      <c r="A1001">
        <v>999</v>
      </c>
      <c r="B1001" t="s">
        <v>3</v>
      </c>
      <c r="C1001" t="s">
        <v>736</v>
      </c>
      <c r="D1001">
        <v>2017</v>
      </c>
      <c r="E1001">
        <v>1</v>
      </c>
      <c r="F1001">
        <v>25</v>
      </c>
      <c r="G1001">
        <v>5</v>
      </c>
      <c r="H1001">
        <v>9</v>
      </c>
      <c r="I1001">
        <v>0</v>
      </c>
      <c r="J1001">
        <v>184.99</v>
      </c>
      <c r="K1001" t="s">
        <v>735</v>
      </c>
      <c r="L1001" t="s">
        <v>1670</v>
      </c>
    </row>
    <row r="1002" spans="1:12">
      <c r="A1002">
        <v>1000</v>
      </c>
      <c r="B1002" t="s">
        <v>3</v>
      </c>
      <c r="C1002" t="s">
        <v>736</v>
      </c>
      <c r="D1002">
        <v>2017</v>
      </c>
      <c r="E1002">
        <v>1</v>
      </c>
      <c r="F1002">
        <v>26</v>
      </c>
      <c r="G1002">
        <v>5</v>
      </c>
      <c r="H1002">
        <v>9</v>
      </c>
      <c r="I1002">
        <v>0</v>
      </c>
      <c r="J1002">
        <v>49.2</v>
      </c>
      <c r="K1002" t="s">
        <v>735</v>
      </c>
      <c r="L1002" t="s">
        <v>1622</v>
      </c>
    </row>
    <row r="1003" spans="1:12">
      <c r="A1003">
        <v>1001</v>
      </c>
      <c r="B1003" t="s">
        <v>3</v>
      </c>
      <c r="C1003" t="s">
        <v>736</v>
      </c>
      <c r="D1003">
        <v>2017</v>
      </c>
      <c r="E1003">
        <v>1</v>
      </c>
      <c r="F1003">
        <v>26</v>
      </c>
      <c r="G1003">
        <v>5</v>
      </c>
      <c r="H1003">
        <v>9</v>
      </c>
      <c r="I1003">
        <v>0</v>
      </c>
      <c r="J1003">
        <v>22.08</v>
      </c>
      <c r="K1003" t="s">
        <v>735</v>
      </c>
      <c r="L1003" t="s">
        <v>1618</v>
      </c>
    </row>
    <row r="1004" spans="1:12">
      <c r="A1004">
        <v>1002</v>
      </c>
      <c r="B1004" t="s">
        <v>3</v>
      </c>
      <c r="C1004" t="s">
        <v>736</v>
      </c>
      <c r="D1004">
        <v>2017</v>
      </c>
      <c r="E1004">
        <v>1</v>
      </c>
      <c r="F1004">
        <v>26</v>
      </c>
      <c r="G1004">
        <v>5</v>
      </c>
      <c r="H1004">
        <v>9</v>
      </c>
      <c r="I1004">
        <v>0</v>
      </c>
      <c r="J1004">
        <v>52</v>
      </c>
      <c r="K1004" t="s">
        <v>735</v>
      </c>
      <c r="L1004" t="s">
        <v>1657</v>
      </c>
    </row>
    <row r="1005" spans="1:12">
      <c r="A1005">
        <v>1003</v>
      </c>
      <c r="B1005" t="s">
        <v>3</v>
      </c>
      <c r="C1005" t="s">
        <v>736</v>
      </c>
      <c r="D1005">
        <v>2017</v>
      </c>
      <c r="E1005">
        <v>1</v>
      </c>
      <c r="F1005">
        <v>28</v>
      </c>
      <c r="G1005">
        <v>5</v>
      </c>
      <c r="H1005">
        <v>9</v>
      </c>
      <c r="I1005">
        <v>0</v>
      </c>
      <c r="J1005">
        <v>219.45999999999998</v>
      </c>
      <c r="K1005" t="s">
        <v>735</v>
      </c>
      <c r="L1005" t="s">
        <v>1636</v>
      </c>
    </row>
    <row r="1006" spans="1:12">
      <c r="A1006">
        <v>1004</v>
      </c>
      <c r="B1006" t="s">
        <v>3</v>
      </c>
      <c r="C1006" t="s">
        <v>736</v>
      </c>
      <c r="D1006">
        <v>2017</v>
      </c>
      <c r="E1006">
        <v>1</v>
      </c>
      <c r="F1006">
        <v>28</v>
      </c>
      <c r="G1006">
        <v>5</v>
      </c>
      <c r="H1006">
        <v>9</v>
      </c>
      <c r="I1006">
        <v>0</v>
      </c>
      <c r="J1006">
        <v>860.56000000000006</v>
      </c>
      <c r="K1006" t="s">
        <v>735</v>
      </c>
      <c r="L1006" t="s">
        <v>1671</v>
      </c>
    </row>
    <row r="1007" spans="1:12">
      <c r="A1007">
        <v>1005</v>
      </c>
      <c r="B1007" t="s">
        <v>3</v>
      </c>
      <c r="C1007" t="s">
        <v>736</v>
      </c>
      <c r="D1007">
        <v>2017</v>
      </c>
      <c r="E1007">
        <v>1</v>
      </c>
      <c r="F1007">
        <v>29</v>
      </c>
      <c r="G1007">
        <v>5</v>
      </c>
      <c r="H1007">
        <v>9</v>
      </c>
      <c r="I1007">
        <v>0</v>
      </c>
      <c r="J1007">
        <v>0</v>
      </c>
      <c r="K1007" t="s">
        <v>735</v>
      </c>
      <c r="L1007" t="s">
        <v>1672</v>
      </c>
    </row>
    <row r="1008" spans="1:12">
      <c r="A1008">
        <v>1006</v>
      </c>
      <c r="B1008" t="s">
        <v>3</v>
      </c>
      <c r="C1008" t="s">
        <v>736</v>
      </c>
      <c r="D1008">
        <v>2017</v>
      </c>
      <c r="E1008">
        <v>1</v>
      </c>
      <c r="F1008">
        <v>29</v>
      </c>
      <c r="G1008">
        <v>5</v>
      </c>
      <c r="H1008">
        <v>9</v>
      </c>
      <c r="I1008">
        <v>0</v>
      </c>
      <c r="J1008">
        <v>71.900000000000006</v>
      </c>
      <c r="K1008" t="s">
        <v>735</v>
      </c>
      <c r="L1008" t="s">
        <v>1673</v>
      </c>
    </row>
    <row r="1009" spans="1:12">
      <c r="A1009">
        <v>1007</v>
      </c>
      <c r="B1009" t="s">
        <v>3</v>
      </c>
      <c r="C1009" t="s">
        <v>736</v>
      </c>
      <c r="D1009">
        <v>2017</v>
      </c>
      <c r="E1009">
        <v>1</v>
      </c>
      <c r="F1009">
        <v>29</v>
      </c>
      <c r="G1009">
        <v>5</v>
      </c>
      <c r="H1009">
        <v>9</v>
      </c>
      <c r="I1009">
        <v>0</v>
      </c>
      <c r="J1009">
        <v>189</v>
      </c>
      <c r="K1009" t="s">
        <v>735</v>
      </c>
      <c r="L1009" t="s">
        <v>1620</v>
      </c>
    </row>
    <row r="1010" spans="1:12">
      <c r="A1010">
        <v>1008</v>
      </c>
      <c r="B1010" t="s">
        <v>3</v>
      </c>
      <c r="C1010" t="s">
        <v>736</v>
      </c>
      <c r="D1010">
        <v>2017</v>
      </c>
      <c r="E1010">
        <v>1</v>
      </c>
      <c r="F1010">
        <v>29</v>
      </c>
      <c r="G1010">
        <v>5</v>
      </c>
      <c r="H1010">
        <v>9</v>
      </c>
      <c r="I1010">
        <v>0</v>
      </c>
      <c r="J1010">
        <v>5230.1000000000004</v>
      </c>
      <c r="K1010" t="s">
        <v>735</v>
      </c>
      <c r="L1010" t="s">
        <v>1608</v>
      </c>
    </row>
    <row r="1011" spans="1:12">
      <c r="A1011">
        <v>1009</v>
      </c>
      <c r="B1011" t="s">
        <v>3</v>
      </c>
      <c r="C1011" t="s">
        <v>736</v>
      </c>
      <c r="D1011">
        <v>2017</v>
      </c>
      <c r="E1011">
        <v>1</v>
      </c>
      <c r="F1011">
        <v>29</v>
      </c>
      <c r="G1011">
        <v>5</v>
      </c>
      <c r="H1011">
        <v>9</v>
      </c>
      <c r="I1011">
        <v>0</v>
      </c>
      <c r="J1011">
        <v>-75</v>
      </c>
      <c r="K1011" t="s">
        <v>735</v>
      </c>
      <c r="L1011" t="s">
        <v>1635</v>
      </c>
    </row>
    <row r="1012" spans="1:12">
      <c r="A1012">
        <v>1010</v>
      </c>
      <c r="B1012" t="s">
        <v>3</v>
      </c>
      <c r="C1012" t="s">
        <v>736</v>
      </c>
      <c r="D1012">
        <v>2017</v>
      </c>
      <c r="E1012">
        <v>1</v>
      </c>
      <c r="F1012">
        <v>29</v>
      </c>
      <c r="G1012">
        <v>5</v>
      </c>
      <c r="H1012">
        <v>9</v>
      </c>
      <c r="I1012">
        <v>0</v>
      </c>
      <c r="J1012">
        <v>330</v>
      </c>
      <c r="K1012" t="s">
        <v>735</v>
      </c>
      <c r="L1012" t="s">
        <v>1621</v>
      </c>
    </row>
    <row r="1013" spans="1:12">
      <c r="A1013">
        <v>1011</v>
      </c>
      <c r="B1013" t="s">
        <v>3</v>
      </c>
      <c r="C1013" t="s">
        <v>736</v>
      </c>
      <c r="D1013">
        <v>2017</v>
      </c>
      <c r="E1013">
        <v>1</v>
      </c>
      <c r="F1013">
        <v>40</v>
      </c>
      <c r="G1013">
        <v>5</v>
      </c>
      <c r="H1013">
        <v>9</v>
      </c>
      <c r="I1013">
        <v>2916</v>
      </c>
      <c r="J1013">
        <v>230.44</v>
      </c>
      <c r="K1013" t="s">
        <v>735</v>
      </c>
      <c r="L1013" t="s">
        <v>1603</v>
      </c>
    </row>
    <row r="1014" spans="1:12">
      <c r="A1014">
        <v>1012</v>
      </c>
      <c r="B1014" t="s">
        <v>3</v>
      </c>
      <c r="C1014" t="s">
        <v>736</v>
      </c>
      <c r="D1014">
        <v>2017</v>
      </c>
      <c r="E1014">
        <v>1</v>
      </c>
      <c r="F1014">
        <v>40</v>
      </c>
      <c r="G1014">
        <v>5</v>
      </c>
      <c r="H1014">
        <v>9</v>
      </c>
      <c r="I1014">
        <v>0</v>
      </c>
      <c r="J1014">
        <v>230.44</v>
      </c>
      <c r="K1014" t="s">
        <v>735</v>
      </c>
      <c r="L1014" t="s">
        <v>1604</v>
      </c>
    </row>
    <row r="1015" spans="1:12">
      <c r="A1015">
        <v>1013</v>
      </c>
      <c r="B1015" t="s">
        <v>3</v>
      </c>
      <c r="C1015" t="s">
        <v>736</v>
      </c>
      <c r="D1015">
        <v>2017</v>
      </c>
      <c r="E1015">
        <v>1</v>
      </c>
      <c r="F1015">
        <v>41</v>
      </c>
      <c r="G1015">
        <v>5</v>
      </c>
      <c r="H1015">
        <v>9</v>
      </c>
      <c r="I1015">
        <v>241</v>
      </c>
      <c r="J1015">
        <v>38.159999999999997</v>
      </c>
      <c r="K1015" t="s">
        <v>735</v>
      </c>
      <c r="L1015" t="s">
        <v>1605</v>
      </c>
    </row>
    <row r="1016" spans="1:12">
      <c r="A1016">
        <v>1014</v>
      </c>
      <c r="B1016" t="s">
        <v>3</v>
      </c>
      <c r="C1016" t="s">
        <v>736</v>
      </c>
      <c r="D1016">
        <v>2017</v>
      </c>
      <c r="E1016">
        <v>2</v>
      </c>
      <c r="F1016">
        <v>8</v>
      </c>
      <c r="G1016">
        <v>5</v>
      </c>
      <c r="H1016">
        <v>13</v>
      </c>
      <c r="I1016">
        <v>29007</v>
      </c>
      <c r="J1016">
        <v>0</v>
      </c>
      <c r="K1016" t="s">
        <v>735</v>
      </c>
      <c r="L1016" t="s">
        <v>1599</v>
      </c>
    </row>
    <row r="1017" spans="1:12">
      <c r="A1017">
        <v>1015</v>
      </c>
      <c r="B1017" t="s">
        <v>3</v>
      </c>
      <c r="C1017" t="s">
        <v>736</v>
      </c>
      <c r="D1017">
        <v>2017</v>
      </c>
      <c r="E1017">
        <v>2</v>
      </c>
      <c r="F1017">
        <v>23</v>
      </c>
      <c r="G1017">
        <v>5</v>
      </c>
      <c r="H1017">
        <v>13</v>
      </c>
      <c r="I1017">
        <v>-27226</v>
      </c>
      <c r="J1017">
        <v>0</v>
      </c>
      <c r="K1017" t="s">
        <v>735</v>
      </c>
      <c r="L1017" t="s">
        <v>1602</v>
      </c>
    </row>
    <row r="1018" spans="1:12">
      <c r="A1018">
        <v>1016</v>
      </c>
      <c r="B1018" t="s">
        <v>3</v>
      </c>
      <c r="C1018" t="s">
        <v>736</v>
      </c>
      <c r="D1018">
        <v>2017</v>
      </c>
      <c r="E1018">
        <v>2</v>
      </c>
      <c r="F1018">
        <v>25</v>
      </c>
      <c r="G1018">
        <v>5</v>
      </c>
      <c r="H1018">
        <v>13</v>
      </c>
      <c r="I1018">
        <v>0</v>
      </c>
      <c r="J1018">
        <v>201.69</v>
      </c>
      <c r="K1018" t="s">
        <v>735</v>
      </c>
      <c r="L1018" t="s">
        <v>1632</v>
      </c>
    </row>
    <row r="1019" spans="1:12">
      <c r="A1019">
        <v>1017</v>
      </c>
      <c r="B1019" t="s">
        <v>3</v>
      </c>
      <c r="C1019" t="s">
        <v>736</v>
      </c>
      <c r="D1019">
        <v>2017</v>
      </c>
      <c r="E1019">
        <v>2</v>
      </c>
      <c r="F1019">
        <v>25</v>
      </c>
      <c r="G1019">
        <v>5</v>
      </c>
      <c r="H1019">
        <v>13</v>
      </c>
      <c r="I1019">
        <v>0</v>
      </c>
      <c r="J1019">
        <v>151.5</v>
      </c>
      <c r="K1019" t="s">
        <v>735</v>
      </c>
      <c r="L1019" t="s">
        <v>1668</v>
      </c>
    </row>
    <row r="1020" spans="1:12">
      <c r="A1020">
        <v>1018</v>
      </c>
      <c r="B1020" t="s">
        <v>3</v>
      </c>
      <c r="C1020" t="s">
        <v>736</v>
      </c>
      <c r="D1020">
        <v>2017</v>
      </c>
      <c r="E1020">
        <v>2</v>
      </c>
      <c r="F1020">
        <v>25</v>
      </c>
      <c r="G1020">
        <v>5</v>
      </c>
      <c r="H1020">
        <v>13</v>
      </c>
      <c r="I1020">
        <v>0</v>
      </c>
      <c r="J1020">
        <v>18</v>
      </c>
      <c r="K1020" t="s">
        <v>735</v>
      </c>
      <c r="L1020" t="s">
        <v>1637</v>
      </c>
    </row>
    <row r="1021" spans="1:12">
      <c r="A1021">
        <v>1019</v>
      </c>
      <c r="B1021" t="s">
        <v>3</v>
      </c>
      <c r="C1021" t="s">
        <v>736</v>
      </c>
      <c r="D1021">
        <v>2017</v>
      </c>
      <c r="E1021">
        <v>2</v>
      </c>
      <c r="F1021">
        <v>25</v>
      </c>
      <c r="G1021">
        <v>5</v>
      </c>
      <c r="H1021">
        <v>13</v>
      </c>
      <c r="I1021">
        <v>0</v>
      </c>
      <c r="J1021">
        <v>134.87</v>
      </c>
      <c r="K1021" t="s">
        <v>735</v>
      </c>
      <c r="L1021" t="s">
        <v>1641</v>
      </c>
    </row>
    <row r="1022" spans="1:12">
      <c r="A1022">
        <v>1020</v>
      </c>
      <c r="B1022" t="s">
        <v>3</v>
      </c>
      <c r="C1022" t="s">
        <v>736</v>
      </c>
      <c r="D1022">
        <v>2017</v>
      </c>
      <c r="E1022">
        <v>2</v>
      </c>
      <c r="F1022">
        <v>26</v>
      </c>
      <c r="G1022">
        <v>5</v>
      </c>
      <c r="H1022">
        <v>13</v>
      </c>
      <c r="I1022">
        <v>0</v>
      </c>
      <c r="J1022">
        <v>446.02</v>
      </c>
      <c r="K1022" t="s">
        <v>735</v>
      </c>
      <c r="L1022" t="s">
        <v>1622</v>
      </c>
    </row>
    <row r="1023" spans="1:12">
      <c r="A1023">
        <v>1021</v>
      </c>
      <c r="B1023" t="s">
        <v>3</v>
      </c>
      <c r="C1023" t="s">
        <v>736</v>
      </c>
      <c r="D1023">
        <v>2017</v>
      </c>
      <c r="E1023">
        <v>2</v>
      </c>
      <c r="F1023">
        <v>26</v>
      </c>
      <c r="G1023">
        <v>5</v>
      </c>
      <c r="H1023">
        <v>13</v>
      </c>
      <c r="I1023">
        <v>0</v>
      </c>
      <c r="J1023">
        <v>2011.0700000000002</v>
      </c>
      <c r="K1023" t="s">
        <v>735</v>
      </c>
      <c r="L1023" t="s">
        <v>1618</v>
      </c>
    </row>
    <row r="1024" spans="1:12">
      <c r="A1024">
        <v>1022</v>
      </c>
      <c r="B1024" t="s">
        <v>3</v>
      </c>
      <c r="C1024" t="s">
        <v>736</v>
      </c>
      <c r="D1024">
        <v>2017</v>
      </c>
      <c r="E1024">
        <v>2</v>
      </c>
      <c r="F1024">
        <v>26</v>
      </c>
      <c r="G1024">
        <v>5</v>
      </c>
      <c r="H1024">
        <v>13</v>
      </c>
      <c r="I1024">
        <v>0</v>
      </c>
      <c r="J1024">
        <v>151.46</v>
      </c>
      <c r="K1024" t="s">
        <v>735</v>
      </c>
      <c r="L1024" t="s">
        <v>1619</v>
      </c>
    </row>
    <row r="1025" spans="1:12">
      <c r="A1025">
        <v>1023</v>
      </c>
      <c r="B1025" t="s">
        <v>3</v>
      </c>
      <c r="C1025" t="s">
        <v>736</v>
      </c>
      <c r="D1025">
        <v>2017</v>
      </c>
      <c r="E1025">
        <v>2</v>
      </c>
      <c r="F1025">
        <v>26</v>
      </c>
      <c r="G1025">
        <v>5</v>
      </c>
      <c r="H1025">
        <v>13</v>
      </c>
      <c r="I1025">
        <v>0</v>
      </c>
      <c r="J1025">
        <v>35</v>
      </c>
      <c r="K1025" t="s">
        <v>735</v>
      </c>
      <c r="L1025" t="s">
        <v>1657</v>
      </c>
    </row>
    <row r="1026" spans="1:12">
      <c r="A1026">
        <v>1024</v>
      </c>
      <c r="B1026" t="s">
        <v>3</v>
      </c>
      <c r="C1026" t="s">
        <v>736</v>
      </c>
      <c r="D1026">
        <v>2017</v>
      </c>
      <c r="E1026">
        <v>2</v>
      </c>
      <c r="F1026">
        <v>28</v>
      </c>
      <c r="G1026">
        <v>5</v>
      </c>
      <c r="H1026">
        <v>13</v>
      </c>
      <c r="I1026">
        <v>0</v>
      </c>
      <c r="J1026">
        <v>1196.9599999999998</v>
      </c>
      <c r="K1026" t="s">
        <v>735</v>
      </c>
      <c r="L1026" t="s">
        <v>1636</v>
      </c>
    </row>
    <row r="1027" spans="1:12">
      <c r="A1027">
        <v>1025</v>
      </c>
      <c r="B1027" t="s">
        <v>3</v>
      </c>
      <c r="C1027" t="s">
        <v>736</v>
      </c>
      <c r="D1027">
        <v>2017</v>
      </c>
      <c r="E1027">
        <v>2</v>
      </c>
      <c r="F1027">
        <v>28</v>
      </c>
      <c r="G1027">
        <v>5</v>
      </c>
      <c r="H1027">
        <v>13</v>
      </c>
      <c r="I1027">
        <v>0</v>
      </c>
      <c r="J1027">
        <v>841.69</v>
      </c>
      <c r="K1027" t="s">
        <v>735</v>
      </c>
      <c r="L1027" t="s">
        <v>1671</v>
      </c>
    </row>
    <row r="1028" spans="1:12">
      <c r="A1028">
        <v>1026</v>
      </c>
      <c r="B1028" t="s">
        <v>3</v>
      </c>
      <c r="C1028" t="s">
        <v>736</v>
      </c>
      <c r="D1028">
        <v>2017</v>
      </c>
      <c r="E1028">
        <v>2</v>
      </c>
      <c r="F1028">
        <v>29</v>
      </c>
      <c r="G1028">
        <v>5</v>
      </c>
      <c r="H1028">
        <v>13</v>
      </c>
      <c r="I1028">
        <v>0</v>
      </c>
      <c r="J1028">
        <v>380</v>
      </c>
      <c r="K1028" t="s">
        <v>735</v>
      </c>
      <c r="L1028" t="s">
        <v>1630</v>
      </c>
    </row>
    <row r="1029" spans="1:12">
      <c r="A1029">
        <v>1027</v>
      </c>
      <c r="B1029" t="s">
        <v>3</v>
      </c>
      <c r="C1029" t="s">
        <v>736</v>
      </c>
      <c r="D1029">
        <v>2017</v>
      </c>
      <c r="E1029">
        <v>2</v>
      </c>
      <c r="F1029">
        <v>29</v>
      </c>
      <c r="G1029">
        <v>5</v>
      </c>
      <c r="H1029">
        <v>13</v>
      </c>
      <c r="I1029">
        <v>0</v>
      </c>
      <c r="J1029">
        <v>543.32000000000005</v>
      </c>
      <c r="K1029" t="s">
        <v>735</v>
      </c>
      <c r="L1029" t="s">
        <v>1620</v>
      </c>
    </row>
    <row r="1030" spans="1:12">
      <c r="A1030">
        <v>1028</v>
      </c>
      <c r="B1030" t="s">
        <v>3</v>
      </c>
      <c r="C1030" t="s">
        <v>736</v>
      </c>
      <c r="D1030">
        <v>2017</v>
      </c>
      <c r="E1030">
        <v>2</v>
      </c>
      <c r="F1030">
        <v>29</v>
      </c>
      <c r="G1030">
        <v>5</v>
      </c>
      <c r="H1030">
        <v>13</v>
      </c>
      <c r="I1030">
        <v>0</v>
      </c>
      <c r="J1030">
        <v>1271.1600000000001</v>
      </c>
      <c r="K1030" t="s">
        <v>735</v>
      </c>
      <c r="L1030" t="s">
        <v>1608</v>
      </c>
    </row>
    <row r="1031" spans="1:12">
      <c r="A1031">
        <v>1029</v>
      </c>
      <c r="B1031" t="s">
        <v>3</v>
      </c>
      <c r="C1031" t="s">
        <v>736</v>
      </c>
      <c r="D1031">
        <v>2017</v>
      </c>
      <c r="E1031">
        <v>2</v>
      </c>
      <c r="F1031">
        <v>29</v>
      </c>
      <c r="G1031">
        <v>5</v>
      </c>
      <c r="H1031">
        <v>13</v>
      </c>
      <c r="I1031">
        <v>0</v>
      </c>
      <c r="J1031">
        <v>75</v>
      </c>
      <c r="K1031" t="s">
        <v>735</v>
      </c>
      <c r="L1031" t="s">
        <v>1635</v>
      </c>
    </row>
    <row r="1032" spans="1:12">
      <c r="A1032">
        <v>1030</v>
      </c>
      <c r="B1032" t="s">
        <v>3</v>
      </c>
      <c r="C1032" t="s">
        <v>736</v>
      </c>
      <c r="D1032">
        <v>2017</v>
      </c>
      <c r="E1032">
        <v>2</v>
      </c>
      <c r="F1032">
        <v>40</v>
      </c>
      <c r="G1032">
        <v>5</v>
      </c>
      <c r="H1032">
        <v>13</v>
      </c>
      <c r="I1032">
        <v>-1645</v>
      </c>
      <c r="J1032">
        <v>225.21000000000004</v>
      </c>
      <c r="K1032" t="s">
        <v>735</v>
      </c>
      <c r="L1032" t="s">
        <v>1603</v>
      </c>
    </row>
    <row r="1033" spans="1:12">
      <c r="A1033">
        <v>1031</v>
      </c>
      <c r="B1033" t="s">
        <v>3</v>
      </c>
      <c r="C1033" t="s">
        <v>736</v>
      </c>
      <c r="D1033">
        <v>2017</v>
      </c>
      <c r="E1033">
        <v>2</v>
      </c>
      <c r="F1033">
        <v>40</v>
      </c>
      <c r="G1033">
        <v>5</v>
      </c>
      <c r="H1033">
        <v>13</v>
      </c>
      <c r="I1033">
        <v>0</v>
      </c>
      <c r="J1033">
        <v>225.23</v>
      </c>
      <c r="K1033" t="s">
        <v>735</v>
      </c>
      <c r="L1033" t="s">
        <v>1604</v>
      </c>
    </row>
    <row r="1034" spans="1:12">
      <c r="A1034">
        <v>1032</v>
      </c>
      <c r="B1034" t="s">
        <v>3</v>
      </c>
      <c r="C1034" t="s">
        <v>736</v>
      </c>
      <c r="D1034">
        <v>2017</v>
      </c>
      <c r="E1034">
        <v>2</v>
      </c>
      <c r="F1034">
        <v>41</v>
      </c>
      <c r="G1034">
        <v>5</v>
      </c>
      <c r="H1034">
        <v>13</v>
      </c>
      <c r="I1034">
        <v>-136</v>
      </c>
      <c r="J1034">
        <v>37.29</v>
      </c>
      <c r="K1034" t="s">
        <v>735</v>
      </c>
      <c r="L1034" t="s">
        <v>1605</v>
      </c>
    </row>
    <row r="1035" spans="1:12">
      <c r="A1035">
        <v>1033</v>
      </c>
      <c r="B1035" t="s">
        <v>3</v>
      </c>
      <c r="C1035" t="s">
        <v>736</v>
      </c>
      <c r="D1035">
        <v>2017</v>
      </c>
      <c r="E1035">
        <v>3</v>
      </c>
      <c r="F1035">
        <v>8</v>
      </c>
      <c r="G1035">
        <v>5</v>
      </c>
      <c r="H1035">
        <v>17</v>
      </c>
      <c r="I1035">
        <v>0</v>
      </c>
      <c r="J1035">
        <v>-25719</v>
      </c>
      <c r="K1035" t="s">
        <v>735</v>
      </c>
      <c r="L1035" t="s">
        <v>1599</v>
      </c>
    </row>
    <row r="1036" spans="1:12">
      <c r="A1036">
        <v>1034</v>
      </c>
      <c r="B1036" t="s">
        <v>3</v>
      </c>
      <c r="C1036" t="s">
        <v>736</v>
      </c>
      <c r="D1036">
        <v>2017</v>
      </c>
      <c r="E1036">
        <v>3</v>
      </c>
      <c r="F1036">
        <v>25</v>
      </c>
      <c r="G1036">
        <v>5</v>
      </c>
      <c r="H1036">
        <v>17</v>
      </c>
      <c r="I1036">
        <v>0</v>
      </c>
      <c r="J1036">
        <v>725.42000000000007</v>
      </c>
      <c r="K1036" t="s">
        <v>735</v>
      </c>
      <c r="L1036" t="s">
        <v>1632</v>
      </c>
    </row>
    <row r="1037" spans="1:12">
      <c r="A1037">
        <v>1035</v>
      </c>
      <c r="B1037" t="s">
        <v>3</v>
      </c>
      <c r="C1037" t="s">
        <v>736</v>
      </c>
      <c r="D1037">
        <v>2017</v>
      </c>
      <c r="E1037">
        <v>3</v>
      </c>
      <c r="F1037">
        <v>25</v>
      </c>
      <c r="G1037">
        <v>5</v>
      </c>
      <c r="H1037">
        <v>17</v>
      </c>
      <c r="I1037">
        <v>0</v>
      </c>
      <c r="J1037">
        <v>173.1</v>
      </c>
      <c r="K1037" t="s">
        <v>735</v>
      </c>
      <c r="L1037" t="s">
        <v>1668</v>
      </c>
    </row>
    <row r="1038" spans="1:12">
      <c r="A1038">
        <v>1036</v>
      </c>
      <c r="B1038" t="s">
        <v>3</v>
      </c>
      <c r="C1038" t="s">
        <v>736</v>
      </c>
      <c r="D1038">
        <v>2017</v>
      </c>
      <c r="E1038">
        <v>3</v>
      </c>
      <c r="F1038">
        <v>25</v>
      </c>
      <c r="G1038">
        <v>5</v>
      </c>
      <c r="H1038">
        <v>17</v>
      </c>
      <c r="I1038">
        <v>0</v>
      </c>
      <c r="J1038">
        <v>37.99</v>
      </c>
      <c r="K1038" t="s">
        <v>735</v>
      </c>
      <c r="L1038" t="s">
        <v>1669</v>
      </c>
    </row>
    <row r="1039" spans="1:12">
      <c r="A1039">
        <v>1037</v>
      </c>
      <c r="B1039" t="s">
        <v>3</v>
      </c>
      <c r="C1039" t="s">
        <v>736</v>
      </c>
      <c r="D1039">
        <v>2017</v>
      </c>
      <c r="E1039">
        <v>3</v>
      </c>
      <c r="F1039">
        <v>25</v>
      </c>
      <c r="G1039">
        <v>5</v>
      </c>
      <c r="H1039">
        <v>17</v>
      </c>
      <c r="I1039">
        <v>0</v>
      </c>
      <c r="J1039">
        <v>19.600000000000001</v>
      </c>
      <c r="K1039" t="s">
        <v>735</v>
      </c>
      <c r="L1039" t="s">
        <v>1674</v>
      </c>
    </row>
    <row r="1040" spans="1:12">
      <c r="A1040">
        <v>1038</v>
      </c>
      <c r="B1040" t="s">
        <v>3</v>
      </c>
      <c r="C1040" t="s">
        <v>736</v>
      </c>
      <c r="D1040">
        <v>2017</v>
      </c>
      <c r="E1040">
        <v>3</v>
      </c>
      <c r="F1040">
        <v>25</v>
      </c>
      <c r="G1040">
        <v>5</v>
      </c>
      <c r="H1040">
        <v>17</v>
      </c>
      <c r="I1040">
        <v>0</v>
      </c>
      <c r="J1040">
        <v>8.99</v>
      </c>
      <c r="K1040" t="s">
        <v>735</v>
      </c>
      <c r="L1040" t="s">
        <v>1675</v>
      </c>
    </row>
    <row r="1041" spans="1:12">
      <c r="A1041">
        <v>1039</v>
      </c>
      <c r="B1041" t="s">
        <v>3</v>
      </c>
      <c r="C1041" t="s">
        <v>736</v>
      </c>
      <c r="D1041">
        <v>2017</v>
      </c>
      <c r="E1041">
        <v>3</v>
      </c>
      <c r="F1041">
        <v>26</v>
      </c>
      <c r="G1041">
        <v>5</v>
      </c>
      <c r="H1041">
        <v>17</v>
      </c>
      <c r="I1041">
        <v>0</v>
      </c>
      <c r="J1041">
        <v>369.25</v>
      </c>
      <c r="K1041" t="s">
        <v>735</v>
      </c>
      <c r="L1041" t="s">
        <v>1622</v>
      </c>
    </row>
    <row r="1042" spans="1:12">
      <c r="A1042">
        <v>1040</v>
      </c>
      <c r="B1042" t="s">
        <v>3</v>
      </c>
      <c r="C1042" t="s">
        <v>736</v>
      </c>
      <c r="D1042">
        <v>2017</v>
      </c>
      <c r="E1042">
        <v>3</v>
      </c>
      <c r="F1042">
        <v>26</v>
      </c>
      <c r="G1042">
        <v>5</v>
      </c>
      <c r="H1042">
        <v>17</v>
      </c>
      <c r="I1042">
        <v>0</v>
      </c>
      <c r="J1042">
        <v>947</v>
      </c>
      <c r="K1042" t="s">
        <v>735</v>
      </c>
      <c r="L1042" t="s">
        <v>1618</v>
      </c>
    </row>
    <row r="1043" spans="1:12">
      <c r="A1043">
        <v>1041</v>
      </c>
      <c r="B1043" t="s">
        <v>3</v>
      </c>
      <c r="C1043" t="s">
        <v>736</v>
      </c>
      <c r="D1043">
        <v>2017</v>
      </c>
      <c r="E1043">
        <v>3</v>
      </c>
      <c r="F1043">
        <v>26</v>
      </c>
      <c r="G1043">
        <v>5</v>
      </c>
      <c r="H1043">
        <v>17</v>
      </c>
      <c r="I1043">
        <v>0</v>
      </c>
      <c r="J1043">
        <v>188.23</v>
      </c>
      <c r="K1043" t="s">
        <v>735</v>
      </c>
      <c r="L1043" t="s">
        <v>1619</v>
      </c>
    </row>
    <row r="1044" spans="1:12">
      <c r="A1044">
        <v>1042</v>
      </c>
      <c r="B1044" t="s">
        <v>3</v>
      </c>
      <c r="C1044" t="s">
        <v>736</v>
      </c>
      <c r="D1044">
        <v>2017</v>
      </c>
      <c r="E1044">
        <v>3</v>
      </c>
      <c r="F1044">
        <v>28</v>
      </c>
      <c r="G1044">
        <v>5</v>
      </c>
      <c r="H1044">
        <v>17</v>
      </c>
      <c r="I1044">
        <v>0</v>
      </c>
      <c r="J1044">
        <v>364.68000000000006</v>
      </c>
      <c r="K1044" t="s">
        <v>735</v>
      </c>
      <c r="L1044" t="s">
        <v>1636</v>
      </c>
    </row>
    <row r="1045" spans="1:12">
      <c r="A1045">
        <v>1043</v>
      </c>
      <c r="B1045" t="s">
        <v>3</v>
      </c>
      <c r="C1045" t="s">
        <v>736</v>
      </c>
      <c r="D1045">
        <v>2017</v>
      </c>
      <c r="E1045">
        <v>3</v>
      </c>
      <c r="F1045">
        <v>28</v>
      </c>
      <c r="G1045">
        <v>5</v>
      </c>
      <c r="H1045">
        <v>17</v>
      </c>
      <c r="I1045">
        <v>0</v>
      </c>
      <c r="J1045">
        <v>934.86</v>
      </c>
      <c r="K1045" t="s">
        <v>735</v>
      </c>
      <c r="L1045" t="s">
        <v>1671</v>
      </c>
    </row>
    <row r="1046" spans="1:12">
      <c r="A1046">
        <v>1044</v>
      </c>
      <c r="B1046" t="s">
        <v>3</v>
      </c>
      <c r="C1046" t="s">
        <v>736</v>
      </c>
      <c r="D1046">
        <v>2017</v>
      </c>
      <c r="E1046">
        <v>3</v>
      </c>
      <c r="F1046">
        <v>28</v>
      </c>
      <c r="G1046">
        <v>5</v>
      </c>
      <c r="H1046">
        <v>17</v>
      </c>
      <c r="I1046">
        <v>0</v>
      </c>
      <c r="J1046">
        <v>10</v>
      </c>
      <c r="K1046" t="s">
        <v>735</v>
      </c>
      <c r="L1046" t="s">
        <v>1643</v>
      </c>
    </row>
    <row r="1047" spans="1:12">
      <c r="A1047">
        <v>1045</v>
      </c>
      <c r="B1047" t="s">
        <v>3</v>
      </c>
      <c r="C1047" t="s">
        <v>736</v>
      </c>
      <c r="D1047">
        <v>2017</v>
      </c>
      <c r="E1047">
        <v>3</v>
      </c>
      <c r="F1047">
        <v>28</v>
      </c>
      <c r="G1047">
        <v>5</v>
      </c>
      <c r="H1047">
        <v>17</v>
      </c>
      <c r="I1047">
        <v>0</v>
      </c>
      <c r="J1047">
        <v>864</v>
      </c>
      <c r="K1047" t="s">
        <v>735</v>
      </c>
      <c r="L1047" t="s">
        <v>1634</v>
      </c>
    </row>
    <row r="1048" spans="1:12">
      <c r="A1048">
        <v>1046</v>
      </c>
      <c r="B1048" t="s">
        <v>3</v>
      </c>
      <c r="C1048" t="s">
        <v>736</v>
      </c>
      <c r="D1048">
        <v>2017</v>
      </c>
      <c r="E1048">
        <v>3</v>
      </c>
      <c r="F1048">
        <v>29</v>
      </c>
      <c r="G1048">
        <v>5</v>
      </c>
      <c r="H1048">
        <v>17</v>
      </c>
      <c r="I1048">
        <v>0</v>
      </c>
      <c r="J1048">
        <v>140.99</v>
      </c>
      <c r="K1048" t="s">
        <v>735</v>
      </c>
      <c r="L1048" t="s">
        <v>1608</v>
      </c>
    </row>
    <row r="1049" spans="1:12">
      <c r="A1049">
        <v>1047</v>
      </c>
      <c r="B1049" t="s">
        <v>3</v>
      </c>
      <c r="C1049" t="s">
        <v>736</v>
      </c>
      <c r="D1049">
        <v>2017</v>
      </c>
      <c r="E1049">
        <v>3</v>
      </c>
      <c r="F1049">
        <v>29</v>
      </c>
      <c r="G1049">
        <v>5</v>
      </c>
      <c r="H1049">
        <v>17</v>
      </c>
      <c r="I1049">
        <v>0</v>
      </c>
      <c r="J1049">
        <v>104</v>
      </c>
      <c r="K1049" t="s">
        <v>735</v>
      </c>
      <c r="L1049" t="s">
        <v>1625</v>
      </c>
    </row>
    <row r="1050" spans="1:12">
      <c r="A1050">
        <v>1048</v>
      </c>
      <c r="B1050" t="s">
        <v>3</v>
      </c>
      <c r="C1050" t="s">
        <v>736</v>
      </c>
      <c r="D1050">
        <v>2017</v>
      </c>
      <c r="E1050">
        <v>3</v>
      </c>
      <c r="F1050">
        <v>29</v>
      </c>
      <c r="G1050">
        <v>5</v>
      </c>
      <c r="H1050">
        <v>17</v>
      </c>
      <c r="I1050">
        <v>0</v>
      </c>
      <c r="J1050">
        <v>-330</v>
      </c>
      <c r="K1050" t="s">
        <v>735</v>
      </c>
      <c r="L1050" t="s">
        <v>1621</v>
      </c>
    </row>
    <row r="1051" spans="1:12">
      <c r="A1051">
        <v>1049</v>
      </c>
      <c r="B1051" t="s">
        <v>3</v>
      </c>
      <c r="C1051" t="s">
        <v>736</v>
      </c>
      <c r="D1051">
        <v>2017</v>
      </c>
      <c r="E1051">
        <v>3</v>
      </c>
      <c r="F1051">
        <v>40</v>
      </c>
      <c r="G1051">
        <v>5</v>
      </c>
      <c r="H1051">
        <v>17</v>
      </c>
      <c r="I1051">
        <v>0</v>
      </c>
      <c r="J1051">
        <v>137.65</v>
      </c>
      <c r="K1051" t="s">
        <v>735</v>
      </c>
      <c r="L1051" t="s">
        <v>1603</v>
      </c>
    </row>
    <row r="1052" spans="1:12">
      <c r="A1052">
        <v>1050</v>
      </c>
      <c r="B1052" t="s">
        <v>3</v>
      </c>
      <c r="C1052" t="s">
        <v>736</v>
      </c>
      <c r="D1052">
        <v>2017</v>
      </c>
      <c r="E1052">
        <v>3</v>
      </c>
      <c r="F1052">
        <v>40</v>
      </c>
      <c r="G1052">
        <v>5</v>
      </c>
      <c r="H1052">
        <v>17</v>
      </c>
      <c r="I1052">
        <v>0</v>
      </c>
      <c r="J1052">
        <v>137.66</v>
      </c>
      <c r="K1052" t="s">
        <v>735</v>
      </c>
      <c r="L1052" t="s">
        <v>1604</v>
      </c>
    </row>
    <row r="1053" spans="1:12">
      <c r="A1053">
        <v>1051</v>
      </c>
      <c r="B1053" t="s">
        <v>3</v>
      </c>
      <c r="C1053" t="s">
        <v>736</v>
      </c>
      <c r="D1053">
        <v>2017</v>
      </c>
      <c r="E1053">
        <v>3</v>
      </c>
      <c r="F1053">
        <v>41</v>
      </c>
      <c r="G1053">
        <v>5</v>
      </c>
      <c r="H1053">
        <v>17</v>
      </c>
      <c r="I1053">
        <v>0</v>
      </c>
      <c r="J1053">
        <v>22.79</v>
      </c>
      <c r="K1053" t="s">
        <v>735</v>
      </c>
      <c r="L1053" t="s">
        <v>1605</v>
      </c>
    </row>
    <row r="1054" spans="1:12">
      <c r="A1054">
        <v>1052</v>
      </c>
      <c r="B1054" t="s">
        <v>3</v>
      </c>
      <c r="C1054" t="s">
        <v>736</v>
      </c>
      <c r="D1054">
        <v>2017</v>
      </c>
      <c r="E1054">
        <v>4</v>
      </c>
      <c r="F1054">
        <v>9</v>
      </c>
      <c r="G1054">
        <v>5</v>
      </c>
      <c r="H1054">
        <v>21</v>
      </c>
      <c r="I1054">
        <v>0</v>
      </c>
      <c r="J1054">
        <v>5375</v>
      </c>
      <c r="K1054" t="s">
        <v>735</v>
      </c>
      <c r="L1054" t="s">
        <v>1667</v>
      </c>
    </row>
    <row r="1055" spans="1:12">
      <c r="A1055">
        <v>1053</v>
      </c>
      <c r="B1055" t="s">
        <v>3</v>
      </c>
      <c r="C1055" t="s">
        <v>736</v>
      </c>
      <c r="D1055">
        <v>2017</v>
      </c>
      <c r="E1055">
        <v>4</v>
      </c>
      <c r="F1055">
        <v>11</v>
      </c>
      <c r="G1055">
        <v>5</v>
      </c>
      <c r="H1055">
        <v>21</v>
      </c>
      <c r="I1055">
        <v>0</v>
      </c>
      <c r="J1055">
        <v>-3000</v>
      </c>
      <c r="K1055" t="s">
        <v>735</v>
      </c>
      <c r="L1055" t="s">
        <v>1607</v>
      </c>
    </row>
    <row r="1056" spans="1:12">
      <c r="A1056">
        <v>1054</v>
      </c>
      <c r="B1056" t="s">
        <v>3</v>
      </c>
      <c r="C1056" t="s">
        <v>736</v>
      </c>
      <c r="D1056">
        <v>2017</v>
      </c>
      <c r="E1056">
        <v>4</v>
      </c>
      <c r="F1056">
        <v>25</v>
      </c>
      <c r="G1056">
        <v>5</v>
      </c>
      <c r="H1056">
        <v>21</v>
      </c>
      <c r="I1056">
        <v>0</v>
      </c>
      <c r="J1056">
        <v>152.45000000000002</v>
      </c>
      <c r="K1056" t="s">
        <v>735</v>
      </c>
      <c r="L1056" t="s">
        <v>1632</v>
      </c>
    </row>
    <row r="1057" spans="1:12">
      <c r="A1057">
        <v>1055</v>
      </c>
      <c r="B1057" t="s">
        <v>3</v>
      </c>
      <c r="C1057" t="s">
        <v>736</v>
      </c>
      <c r="D1057">
        <v>2017</v>
      </c>
      <c r="E1057">
        <v>4</v>
      </c>
      <c r="F1057">
        <v>25</v>
      </c>
      <c r="G1057">
        <v>5</v>
      </c>
      <c r="H1057">
        <v>21</v>
      </c>
      <c r="I1057">
        <v>0</v>
      </c>
      <c r="J1057">
        <v>151.6</v>
      </c>
      <c r="K1057" t="s">
        <v>735</v>
      </c>
      <c r="L1057" t="s">
        <v>1668</v>
      </c>
    </row>
    <row r="1058" spans="1:12">
      <c r="A1058">
        <v>1056</v>
      </c>
      <c r="B1058" t="s">
        <v>3</v>
      </c>
      <c r="C1058" t="s">
        <v>736</v>
      </c>
      <c r="D1058">
        <v>2017</v>
      </c>
      <c r="E1058">
        <v>4</v>
      </c>
      <c r="F1058">
        <v>25</v>
      </c>
      <c r="G1058">
        <v>5</v>
      </c>
      <c r="H1058">
        <v>21</v>
      </c>
      <c r="I1058">
        <v>0</v>
      </c>
      <c r="J1058">
        <v>-18</v>
      </c>
      <c r="K1058" t="s">
        <v>735</v>
      </c>
      <c r="L1058" t="s">
        <v>1637</v>
      </c>
    </row>
    <row r="1059" spans="1:12">
      <c r="A1059">
        <v>1057</v>
      </c>
      <c r="B1059" t="s">
        <v>3</v>
      </c>
      <c r="C1059" t="s">
        <v>736</v>
      </c>
      <c r="D1059">
        <v>2017</v>
      </c>
      <c r="E1059">
        <v>4</v>
      </c>
      <c r="F1059">
        <v>25</v>
      </c>
      <c r="G1059">
        <v>5</v>
      </c>
      <c r="H1059">
        <v>21</v>
      </c>
      <c r="I1059">
        <v>0</v>
      </c>
      <c r="J1059">
        <v>118.37</v>
      </c>
      <c r="K1059" t="s">
        <v>735</v>
      </c>
      <c r="L1059" t="s">
        <v>1669</v>
      </c>
    </row>
    <row r="1060" spans="1:12">
      <c r="A1060">
        <v>1058</v>
      </c>
      <c r="B1060" t="s">
        <v>3</v>
      </c>
      <c r="C1060" t="s">
        <v>736</v>
      </c>
      <c r="D1060">
        <v>2017</v>
      </c>
      <c r="E1060">
        <v>4</v>
      </c>
      <c r="F1060">
        <v>25</v>
      </c>
      <c r="G1060">
        <v>5</v>
      </c>
      <c r="H1060">
        <v>21</v>
      </c>
      <c r="I1060">
        <v>0</v>
      </c>
      <c r="J1060">
        <v>25.98</v>
      </c>
      <c r="K1060" t="s">
        <v>735</v>
      </c>
      <c r="L1060" t="s">
        <v>1675</v>
      </c>
    </row>
    <row r="1061" spans="1:12">
      <c r="A1061">
        <v>1059</v>
      </c>
      <c r="B1061" t="s">
        <v>3</v>
      </c>
      <c r="C1061" t="s">
        <v>736</v>
      </c>
      <c r="D1061">
        <v>2017</v>
      </c>
      <c r="E1061">
        <v>4</v>
      </c>
      <c r="F1061">
        <v>26</v>
      </c>
      <c r="G1061">
        <v>5</v>
      </c>
      <c r="H1061">
        <v>21</v>
      </c>
      <c r="I1061">
        <v>0</v>
      </c>
      <c r="J1061">
        <v>163</v>
      </c>
      <c r="K1061" t="s">
        <v>735</v>
      </c>
      <c r="L1061" t="s">
        <v>1622</v>
      </c>
    </row>
    <row r="1062" spans="1:12">
      <c r="A1062">
        <v>1060</v>
      </c>
      <c r="B1062" t="s">
        <v>3</v>
      </c>
      <c r="C1062" t="s">
        <v>736</v>
      </c>
      <c r="D1062">
        <v>2017</v>
      </c>
      <c r="E1062">
        <v>4</v>
      </c>
      <c r="F1062">
        <v>26</v>
      </c>
      <c r="G1062">
        <v>5</v>
      </c>
      <c r="H1062">
        <v>21</v>
      </c>
      <c r="I1062">
        <v>0</v>
      </c>
      <c r="J1062">
        <v>0</v>
      </c>
      <c r="K1062" t="s">
        <v>735</v>
      </c>
      <c r="L1062" t="s">
        <v>1647</v>
      </c>
    </row>
    <row r="1063" spans="1:12">
      <c r="A1063">
        <v>1061</v>
      </c>
      <c r="B1063" t="s">
        <v>3</v>
      </c>
      <c r="C1063" t="s">
        <v>736</v>
      </c>
      <c r="D1063">
        <v>2017</v>
      </c>
      <c r="E1063">
        <v>4</v>
      </c>
      <c r="F1063">
        <v>26</v>
      </c>
      <c r="G1063">
        <v>5</v>
      </c>
      <c r="H1063">
        <v>21</v>
      </c>
      <c r="I1063">
        <v>0</v>
      </c>
      <c r="J1063">
        <v>4644.57</v>
      </c>
      <c r="K1063" t="s">
        <v>735</v>
      </c>
      <c r="L1063" t="s">
        <v>1618</v>
      </c>
    </row>
    <row r="1064" spans="1:12">
      <c r="A1064">
        <v>1062</v>
      </c>
      <c r="B1064" t="s">
        <v>3</v>
      </c>
      <c r="C1064" t="s">
        <v>736</v>
      </c>
      <c r="D1064">
        <v>2017</v>
      </c>
      <c r="E1064">
        <v>4</v>
      </c>
      <c r="F1064">
        <v>26</v>
      </c>
      <c r="G1064">
        <v>5</v>
      </c>
      <c r="H1064">
        <v>21</v>
      </c>
      <c r="I1064">
        <v>0</v>
      </c>
      <c r="J1064">
        <v>-86.85</v>
      </c>
      <c r="K1064" t="s">
        <v>735</v>
      </c>
      <c r="L1064" t="s">
        <v>1619</v>
      </c>
    </row>
    <row r="1065" spans="1:12">
      <c r="A1065">
        <v>1063</v>
      </c>
      <c r="B1065" t="s">
        <v>3</v>
      </c>
      <c r="C1065" t="s">
        <v>736</v>
      </c>
      <c r="D1065">
        <v>2017</v>
      </c>
      <c r="E1065">
        <v>4</v>
      </c>
      <c r="F1065">
        <v>28</v>
      </c>
      <c r="G1065">
        <v>5</v>
      </c>
      <c r="H1065">
        <v>21</v>
      </c>
      <c r="I1065">
        <v>0</v>
      </c>
      <c r="J1065">
        <v>386.4</v>
      </c>
      <c r="K1065" t="s">
        <v>735</v>
      </c>
      <c r="L1065" t="s">
        <v>1636</v>
      </c>
    </row>
    <row r="1066" spans="1:12">
      <c r="A1066">
        <v>1064</v>
      </c>
      <c r="B1066" t="s">
        <v>3</v>
      </c>
      <c r="C1066" t="s">
        <v>736</v>
      </c>
      <c r="D1066">
        <v>2017</v>
      </c>
      <c r="E1066">
        <v>4</v>
      </c>
      <c r="F1066">
        <v>28</v>
      </c>
      <c r="G1066">
        <v>5</v>
      </c>
      <c r="H1066">
        <v>21</v>
      </c>
      <c r="I1066">
        <v>0</v>
      </c>
      <c r="J1066">
        <v>822.71</v>
      </c>
      <c r="K1066" t="s">
        <v>735</v>
      </c>
      <c r="L1066" t="s">
        <v>1671</v>
      </c>
    </row>
    <row r="1067" spans="1:12">
      <c r="A1067">
        <v>1065</v>
      </c>
      <c r="B1067" t="s">
        <v>3</v>
      </c>
      <c r="C1067" t="s">
        <v>736</v>
      </c>
      <c r="D1067">
        <v>2017</v>
      </c>
      <c r="E1067">
        <v>4</v>
      </c>
      <c r="F1067">
        <v>28</v>
      </c>
      <c r="G1067">
        <v>5</v>
      </c>
      <c r="H1067">
        <v>21</v>
      </c>
      <c r="I1067">
        <v>0</v>
      </c>
      <c r="J1067">
        <v>-10</v>
      </c>
      <c r="K1067" t="s">
        <v>735</v>
      </c>
      <c r="L1067" t="s">
        <v>1643</v>
      </c>
    </row>
    <row r="1068" spans="1:12">
      <c r="A1068">
        <v>1066</v>
      </c>
      <c r="B1068" t="s">
        <v>3</v>
      </c>
      <c r="C1068" t="s">
        <v>736</v>
      </c>
      <c r="D1068">
        <v>2017</v>
      </c>
      <c r="E1068">
        <v>4</v>
      </c>
      <c r="F1068">
        <v>28</v>
      </c>
      <c r="G1068">
        <v>5</v>
      </c>
      <c r="H1068">
        <v>21</v>
      </c>
      <c r="I1068">
        <v>0</v>
      </c>
      <c r="J1068">
        <v>-464</v>
      </c>
      <c r="K1068" t="s">
        <v>735</v>
      </c>
      <c r="L1068" t="s">
        <v>1634</v>
      </c>
    </row>
    <row r="1069" spans="1:12">
      <c r="A1069">
        <v>1067</v>
      </c>
      <c r="B1069" t="s">
        <v>3</v>
      </c>
      <c r="C1069" t="s">
        <v>736</v>
      </c>
      <c r="D1069">
        <v>2017</v>
      </c>
      <c r="E1069">
        <v>4</v>
      </c>
      <c r="F1069">
        <v>28</v>
      </c>
      <c r="G1069">
        <v>5</v>
      </c>
      <c r="H1069">
        <v>21</v>
      </c>
      <c r="I1069">
        <v>0</v>
      </c>
      <c r="J1069">
        <v>19.5</v>
      </c>
      <c r="K1069" t="s">
        <v>735</v>
      </c>
      <c r="L1069" t="s">
        <v>1644</v>
      </c>
    </row>
    <row r="1070" spans="1:12">
      <c r="A1070">
        <v>1068</v>
      </c>
      <c r="B1070" t="s">
        <v>3</v>
      </c>
      <c r="C1070" t="s">
        <v>736</v>
      </c>
      <c r="D1070">
        <v>2017</v>
      </c>
      <c r="E1070">
        <v>4</v>
      </c>
      <c r="F1070">
        <v>29</v>
      </c>
      <c r="G1070">
        <v>5</v>
      </c>
      <c r="H1070">
        <v>21</v>
      </c>
      <c r="I1070">
        <v>0</v>
      </c>
      <c r="J1070">
        <v>41</v>
      </c>
      <c r="K1070" t="s">
        <v>735</v>
      </c>
      <c r="L1070" t="s">
        <v>1676</v>
      </c>
    </row>
    <row r="1071" spans="1:12">
      <c r="A1071">
        <v>1069</v>
      </c>
      <c r="B1071" t="s">
        <v>3</v>
      </c>
      <c r="C1071" t="s">
        <v>736</v>
      </c>
      <c r="D1071">
        <v>2017</v>
      </c>
      <c r="E1071">
        <v>4</v>
      </c>
      <c r="F1071">
        <v>29</v>
      </c>
      <c r="G1071">
        <v>5</v>
      </c>
      <c r="H1071">
        <v>21</v>
      </c>
      <c r="I1071">
        <v>0</v>
      </c>
      <c r="J1071">
        <v>-2252.5999999999995</v>
      </c>
      <c r="K1071" t="s">
        <v>735</v>
      </c>
      <c r="L1071" t="s">
        <v>1608</v>
      </c>
    </row>
    <row r="1072" spans="1:12">
      <c r="A1072">
        <v>1070</v>
      </c>
      <c r="B1072" t="s">
        <v>3</v>
      </c>
      <c r="C1072" t="s">
        <v>736</v>
      </c>
      <c r="D1072">
        <v>2017</v>
      </c>
      <c r="E1072">
        <v>4</v>
      </c>
      <c r="F1072">
        <v>32</v>
      </c>
      <c r="G1072">
        <v>5</v>
      </c>
      <c r="H1072">
        <v>21</v>
      </c>
      <c r="I1072">
        <v>0</v>
      </c>
      <c r="J1072">
        <v>72.959999999999994</v>
      </c>
      <c r="K1072" t="s">
        <v>735</v>
      </c>
      <c r="L1072" t="s">
        <v>1623</v>
      </c>
    </row>
    <row r="1073" spans="1:12">
      <c r="A1073">
        <v>1071</v>
      </c>
      <c r="B1073" t="s">
        <v>3</v>
      </c>
      <c r="C1073" t="s">
        <v>736</v>
      </c>
      <c r="D1073">
        <v>2017</v>
      </c>
      <c r="E1073">
        <v>4</v>
      </c>
      <c r="F1073">
        <v>40</v>
      </c>
      <c r="G1073">
        <v>5</v>
      </c>
      <c r="H1073">
        <v>21</v>
      </c>
      <c r="I1073">
        <v>0</v>
      </c>
      <c r="J1073">
        <v>113.76</v>
      </c>
      <c r="K1073" t="s">
        <v>735</v>
      </c>
      <c r="L1073" t="s">
        <v>1603</v>
      </c>
    </row>
    <row r="1074" spans="1:12">
      <c r="A1074">
        <v>1072</v>
      </c>
      <c r="B1074" t="s">
        <v>3</v>
      </c>
      <c r="C1074" t="s">
        <v>736</v>
      </c>
      <c r="D1074">
        <v>2017</v>
      </c>
      <c r="E1074">
        <v>4</v>
      </c>
      <c r="F1074">
        <v>40</v>
      </c>
      <c r="G1074">
        <v>5</v>
      </c>
      <c r="H1074">
        <v>21</v>
      </c>
      <c r="I1074">
        <v>0</v>
      </c>
      <c r="J1074">
        <v>113.77</v>
      </c>
      <c r="K1074" t="s">
        <v>735</v>
      </c>
      <c r="L1074" t="s">
        <v>1604</v>
      </c>
    </row>
    <row r="1075" spans="1:12">
      <c r="A1075">
        <v>1073</v>
      </c>
      <c r="B1075" t="s">
        <v>3</v>
      </c>
      <c r="C1075" t="s">
        <v>736</v>
      </c>
      <c r="D1075">
        <v>2017</v>
      </c>
      <c r="E1075">
        <v>4</v>
      </c>
      <c r="F1075">
        <v>41</v>
      </c>
      <c r="G1075">
        <v>5</v>
      </c>
      <c r="H1075">
        <v>21</v>
      </c>
      <c r="I1075">
        <v>0</v>
      </c>
      <c r="J1075">
        <v>18.829999999999998</v>
      </c>
      <c r="K1075" t="s">
        <v>735</v>
      </c>
      <c r="L1075" t="s">
        <v>1605</v>
      </c>
    </row>
    <row r="1076" spans="1:12">
      <c r="A1076">
        <v>1074</v>
      </c>
      <c r="B1076" t="s">
        <v>3</v>
      </c>
      <c r="C1076" t="s">
        <v>736</v>
      </c>
      <c r="D1076">
        <v>2017</v>
      </c>
      <c r="E1076">
        <v>4</v>
      </c>
      <c r="F1076">
        <v>45</v>
      </c>
      <c r="G1076">
        <v>5</v>
      </c>
      <c r="H1076">
        <v>21</v>
      </c>
      <c r="I1076">
        <v>0</v>
      </c>
      <c r="J1076">
        <v>29493.33</v>
      </c>
      <c r="K1076" t="s">
        <v>735</v>
      </c>
      <c r="L1076" t="s">
        <v>1606</v>
      </c>
    </row>
    <row r="1077" spans="1:12">
      <c r="A1077">
        <v>1075</v>
      </c>
      <c r="B1077" t="s">
        <v>3</v>
      </c>
      <c r="C1077" t="s">
        <v>736</v>
      </c>
      <c r="D1077">
        <v>2018</v>
      </c>
      <c r="E1077">
        <v>1</v>
      </c>
      <c r="F1077">
        <v>8</v>
      </c>
      <c r="G1077">
        <v>4</v>
      </c>
      <c r="H1077">
        <v>8</v>
      </c>
      <c r="I1077">
        <v>-22431</v>
      </c>
      <c r="J1077">
        <v>-11215</v>
      </c>
      <c r="K1077" t="s">
        <v>735</v>
      </c>
      <c r="L1077" t="s">
        <v>1599</v>
      </c>
    </row>
    <row r="1078" spans="1:12">
      <c r="A1078">
        <v>1076</v>
      </c>
      <c r="B1078" t="s">
        <v>3</v>
      </c>
      <c r="C1078" t="s">
        <v>736</v>
      </c>
      <c r="D1078">
        <v>2018</v>
      </c>
      <c r="E1078">
        <v>1</v>
      </c>
      <c r="F1078">
        <v>23</v>
      </c>
      <c r="G1078">
        <v>4</v>
      </c>
      <c r="H1078">
        <v>8</v>
      </c>
      <c r="I1078">
        <v>21054</v>
      </c>
      <c r="J1078">
        <v>0</v>
      </c>
      <c r="K1078" t="s">
        <v>735</v>
      </c>
      <c r="L1078" t="s">
        <v>1602</v>
      </c>
    </row>
    <row r="1079" spans="1:12">
      <c r="A1079">
        <v>1077</v>
      </c>
      <c r="B1079" t="s">
        <v>3</v>
      </c>
      <c r="C1079" t="s">
        <v>736</v>
      </c>
      <c r="D1079">
        <v>2018</v>
      </c>
      <c r="E1079">
        <v>1</v>
      </c>
      <c r="F1079">
        <v>25</v>
      </c>
      <c r="G1079">
        <v>4</v>
      </c>
      <c r="H1079">
        <v>8</v>
      </c>
      <c r="I1079">
        <v>0</v>
      </c>
      <c r="J1079">
        <v>125.44999999999997</v>
      </c>
      <c r="K1079" t="s">
        <v>735</v>
      </c>
      <c r="L1079" t="s">
        <v>1632</v>
      </c>
    </row>
    <row r="1080" spans="1:12">
      <c r="A1080">
        <v>1078</v>
      </c>
      <c r="B1080" t="s">
        <v>3</v>
      </c>
      <c r="C1080" t="s">
        <v>736</v>
      </c>
      <c r="D1080">
        <v>2018</v>
      </c>
      <c r="E1080">
        <v>1</v>
      </c>
      <c r="F1080">
        <v>25</v>
      </c>
      <c r="G1080">
        <v>4</v>
      </c>
      <c r="H1080">
        <v>8</v>
      </c>
      <c r="I1080">
        <v>0</v>
      </c>
      <c r="J1080">
        <v>82.199999999999989</v>
      </c>
      <c r="K1080" t="s">
        <v>735</v>
      </c>
      <c r="L1080" t="s">
        <v>1668</v>
      </c>
    </row>
    <row r="1081" spans="1:12">
      <c r="A1081">
        <v>1079</v>
      </c>
      <c r="B1081" t="s">
        <v>3</v>
      </c>
      <c r="C1081" t="s">
        <v>736</v>
      </c>
      <c r="D1081">
        <v>2018</v>
      </c>
      <c r="E1081">
        <v>1</v>
      </c>
      <c r="F1081">
        <v>25</v>
      </c>
      <c r="G1081">
        <v>4</v>
      </c>
      <c r="H1081">
        <v>8</v>
      </c>
      <c r="I1081">
        <v>0</v>
      </c>
      <c r="J1081">
        <v>11.899999999999999</v>
      </c>
      <c r="K1081" t="s">
        <v>735</v>
      </c>
      <c r="L1081" t="s">
        <v>1640</v>
      </c>
    </row>
    <row r="1082" spans="1:12">
      <c r="A1082">
        <v>1080</v>
      </c>
      <c r="B1082" t="s">
        <v>3</v>
      </c>
      <c r="C1082" t="s">
        <v>736</v>
      </c>
      <c r="D1082">
        <v>2018</v>
      </c>
      <c r="E1082">
        <v>1</v>
      </c>
      <c r="F1082">
        <v>25</v>
      </c>
      <c r="G1082">
        <v>4</v>
      </c>
      <c r="H1082">
        <v>8</v>
      </c>
      <c r="I1082">
        <v>0</v>
      </c>
      <c r="J1082">
        <v>227.53</v>
      </c>
      <c r="K1082" t="s">
        <v>735</v>
      </c>
      <c r="L1082" t="s">
        <v>1641</v>
      </c>
    </row>
    <row r="1083" spans="1:12">
      <c r="A1083">
        <v>1081</v>
      </c>
      <c r="B1083" t="s">
        <v>3</v>
      </c>
      <c r="C1083" t="s">
        <v>736</v>
      </c>
      <c r="D1083">
        <v>2018</v>
      </c>
      <c r="E1083">
        <v>1</v>
      </c>
      <c r="F1083">
        <v>25</v>
      </c>
      <c r="G1083">
        <v>4</v>
      </c>
      <c r="H1083">
        <v>8</v>
      </c>
      <c r="I1083">
        <v>0</v>
      </c>
      <c r="J1083">
        <v>298.2</v>
      </c>
      <c r="K1083" t="s">
        <v>735</v>
      </c>
      <c r="L1083" t="s">
        <v>1670</v>
      </c>
    </row>
    <row r="1084" spans="1:12">
      <c r="A1084">
        <v>1082</v>
      </c>
      <c r="B1084" t="s">
        <v>3</v>
      </c>
      <c r="C1084" t="s">
        <v>736</v>
      </c>
      <c r="D1084">
        <v>2018</v>
      </c>
      <c r="E1084">
        <v>1</v>
      </c>
      <c r="F1084">
        <v>27</v>
      </c>
      <c r="G1084">
        <v>4</v>
      </c>
      <c r="H1084">
        <v>8</v>
      </c>
      <c r="I1084">
        <v>0</v>
      </c>
      <c r="J1084">
        <v>75</v>
      </c>
      <c r="K1084" t="s">
        <v>735</v>
      </c>
      <c r="L1084" t="s">
        <v>1626</v>
      </c>
    </row>
    <row r="1085" spans="1:12">
      <c r="A1085">
        <v>1083</v>
      </c>
      <c r="B1085" t="s">
        <v>3</v>
      </c>
      <c r="C1085" t="s">
        <v>736</v>
      </c>
      <c r="D1085">
        <v>2018</v>
      </c>
      <c r="E1085">
        <v>1</v>
      </c>
      <c r="F1085">
        <v>28</v>
      </c>
      <c r="G1085">
        <v>4</v>
      </c>
      <c r="H1085">
        <v>8</v>
      </c>
      <c r="I1085">
        <v>0</v>
      </c>
      <c r="J1085">
        <v>104.03</v>
      </c>
      <c r="K1085" t="s">
        <v>735</v>
      </c>
      <c r="L1085" t="s">
        <v>1636</v>
      </c>
    </row>
    <row r="1086" spans="1:12">
      <c r="A1086">
        <v>1084</v>
      </c>
      <c r="B1086" t="s">
        <v>3</v>
      </c>
      <c r="C1086" t="s">
        <v>736</v>
      </c>
      <c r="D1086">
        <v>2018</v>
      </c>
      <c r="E1086">
        <v>1</v>
      </c>
      <c r="F1086">
        <v>28</v>
      </c>
      <c r="G1086">
        <v>4</v>
      </c>
      <c r="H1086">
        <v>8</v>
      </c>
      <c r="I1086">
        <v>0</v>
      </c>
      <c r="J1086">
        <v>387.97</v>
      </c>
      <c r="K1086" t="s">
        <v>735</v>
      </c>
      <c r="L1086" t="s">
        <v>1671</v>
      </c>
    </row>
    <row r="1087" spans="1:12">
      <c r="A1087">
        <v>1085</v>
      </c>
      <c r="B1087" t="s">
        <v>3</v>
      </c>
      <c r="C1087" t="s">
        <v>736</v>
      </c>
      <c r="D1087">
        <v>2018</v>
      </c>
      <c r="E1087">
        <v>1</v>
      </c>
      <c r="F1087">
        <v>29</v>
      </c>
      <c r="G1087">
        <v>4</v>
      </c>
      <c r="H1087">
        <v>8</v>
      </c>
      <c r="I1087">
        <v>0</v>
      </c>
      <c r="J1087">
        <v>3353.9599999999996</v>
      </c>
      <c r="K1087" t="s">
        <v>735</v>
      </c>
      <c r="L1087" t="s">
        <v>1630</v>
      </c>
    </row>
    <row r="1088" spans="1:12">
      <c r="A1088">
        <v>1086</v>
      </c>
      <c r="B1088" t="s">
        <v>3</v>
      </c>
      <c r="C1088" t="s">
        <v>736</v>
      </c>
      <c r="D1088">
        <v>2018</v>
      </c>
      <c r="E1088">
        <v>1</v>
      </c>
      <c r="F1088">
        <v>29</v>
      </c>
      <c r="G1088">
        <v>4</v>
      </c>
      <c r="H1088">
        <v>8</v>
      </c>
      <c r="I1088">
        <v>0</v>
      </c>
      <c r="J1088">
        <v>15.85</v>
      </c>
      <c r="K1088" t="s">
        <v>735</v>
      </c>
      <c r="L1088" t="s">
        <v>1608</v>
      </c>
    </row>
    <row r="1089" spans="1:12">
      <c r="A1089">
        <v>1087</v>
      </c>
      <c r="B1089" t="s">
        <v>3</v>
      </c>
      <c r="C1089" t="s">
        <v>736</v>
      </c>
      <c r="D1089">
        <v>2018</v>
      </c>
      <c r="E1089">
        <v>1</v>
      </c>
      <c r="F1089">
        <v>40</v>
      </c>
      <c r="G1089">
        <v>4</v>
      </c>
      <c r="H1089">
        <v>8</v>
      </c>
      <c r="I1089">
        <v>1272</v>
      </c>
      <c r="J1089">
        <v>147.26</v>
      </c>
      <c r="K1089" t="s">
        <v>735</v>
      </c>
      <c r="L1089" t="s">
        <v>1603</v>
      </c>
    </row>
    <row r="1090" spans="1:12">
      <c r="A1090">
        <v>1088</v>
      </c>
      <c r="B1090" t="s">
        <v>3</v>
      </c>
      <c r="C1090" t="s">
        <v>736</v>
      </c>
      <c r="D1090">
        <v>2018</v>
      </c>
      <c r="E1090">
        <v>1</v>
      </c>
      <c r="F1090">
        <v>40</v>
      </c>
      <c r="G1090">
        <v>4</v>
      </c>
      <c r="H1090">
        <v>8</v>
      </c>
      <c r="I1090">
        <v>0</v>
      </c>
      <c r="J1090">
        <v>147.25</v>
      </c>
      <c r="K1090" t="s">
        <v>735</v>
      </c>
      <c r="L1090" t="s">
        <v>1604</v>
      </c>
    </row>
    <row r="1091" spans="1:12">
      <c r="A1091">
        <v>1089</v>
      </c>
      <c r="B1091" t="s">
        <v>3</v>
      </c>
      <c r="C1091" t="s">
        <v>736</v>
      </c>
      <c r="D1091">
        <v>2018</v>
      </c>
      <c r="E1091">
        <v>1</v>
      </c>
      <c r="F1091">
        <v>41</v>
      </c>
      <c r="G1091">
        <v>4</v>
      </c>
      <c r="H1091">
        <v>8</v>
      </c>
      <c r="I1091">
        <v>105</v>
      </c>
      <c r="J1091">
        <v>23.88</v>
      </c>
      <c r="K1091" t="s">
        <v>735</v>
      </c>
      <c r="L1091" t="s">
        <v>1605</v>
      </c>
    </row>
    <row r="1092" spans="1:12">
      <c r="A1092">
        <v>1090</v>
      </c>
      <c r="B1092" t="s">
        <v>3</v>
      </c>
      <c r="C1092" t="s">
        <v>736</v>
      </c>
      <c r="D1092">
        <v>2018</v>
      </c>
      <c r="E1092">
        <v>2</v>
      </c>
      <c r="F1092">
        <v>25</v>
      </c>
      <c r="G1092">
        <v>4</v>
      </c>
      <c r="H1092">
        <v>12</v>
      </c>
      <c r="I1092">
        <v>0</v>
      </c>
      <c r="J1092">
        <v>131.45000000000002</v>
      </c>
      <c r="K1092" t="s">
        <v>735</v>
      </c>
      <c r="L1092" t="s">
        <v>1632</v>
      </c>
    </row>
    <row r="1093" spans="1:12">
      <c r="A1093">
        <v>1091</v>
      </c>
      <c r="B1093" t="s">
        <v>3</v>
      </c>
      <c r="C1093" t="s">
        <v>736</v>
      </c>
      <c r="D1093">
        <v>2018</v>
      </c>
      <c r="E1093">
        <v>2</v>
      </c>
      <c r="F1093">
        <v>25</v>
      </c>
      <c r="G1093">
        <v>4</v>
      </c>
      <c r="H1093">
        <v>12</v>
      </c>
      <c r="I1093">
        <v>0</v>
      </c>
      <c r="J1093">
        <v>126.8</v>
      </c>
      <c r="K1093" t="s">
        <v>735</v>
      </c>
      <c r="L1093" t="s">
        <v>1668</v>
      </c>
    </row>
    <row r="1094" spans="1:12">
      <c r="A1094">
        <v>1092</v>
      </c>
      <c r="B1094" t="s">
        <v>3</v>
      </c>
      <c r="C1094" t="s">
        <v>736</v>
      </c>
      <c r="D1094">
        <v>2018</v>
      </c>
      <c r="E1094">
        <v>2</v>
      </c>
      <c r="F1094">
        <v>25</v>
      </c>
      <c r="G1094">
        <v>4</v>
      </c>
      <c r="H1094">
        <v>12</v>
      </c>
      <c r="I1094">
        <v>0</v>
      </c>
      <c r="J1094">
        <v>19.5</v>
      </c>
      <c r="K1094" t="s">
        <v>735</v>
      </c>
      <c r="L1094" t="s">
        <v>1637</v>
      </c>
    </row>
    <row r="1095" spans="1:12">
      <c r="A1095">
        <v>1093</v>
      </c>
      <c r="B1095" t="s">
        <v>3</v>
      </c>
      <c r="C1095" t="s">
        <v>736</v>
      </c>
      <c r="D1095">
        <v>2018</v>
      </c>
      <c r="E1095">
        <v>2</v>
      </c>
      <c r="F1095">
        <v>25</v>
      </c>
      <c r="G1095">
        <v>4</v>
      </c>
      <c r="H1095">
        <v>12</v>
      </c>
      <c r="I1095">
        <v>0</v>
      </c>
      <c r="J1095">
        <v>82</v>
      </c>
      <c r="K1095" t="s">
        <v>735</v>
      </c>
      <c r="L1095" t="s">
        <v>1669</v>
      </c>
    </row>
    <row r="1096" spans="1:12">
      <c r="A1096">
        <v>1094</v>
      </c>
      <c r="B1096" t="s">
        <v>3</v>
      </c>
      <c r="C1096" t="s">
        <v>736</v>
      </c>
      <c r="D1096">
        <v>2018</v>
      </c>
      <c r="E1096">
        <v>2</v>
      </c>
      <c r="F1096">
        <v>25</v>
      </c>
      <c r="G1096">
        <v>4</v>
      </c>
      <c r="H1096">
        <v>12</v>
      </c>
      <c r="I1096">
        <v>0</v>
      </c>
      <c r="J1096">
        <v>5.9</v>
      </c>
      <c r="K1096" t="s">
        <v>735</v>
      </c>
      <c r="L1096" t="s">
        <v>1677</v>
      </c>
    </row>
    <row r="1097" spans="1:12">
      <c r="A1097">
        <v>1095</v>
      </c>
      <c r="B1097" t="s">
        <v>3</v>
      </c>
      <c r="C1097" t="s">
        <v>736</v>
      </c>
      <c r="D1097">
        <v>2018</v>
      </c>
      <c r="E1097">
        <v>2</v>
      </c>
      <c r="F1097">
        <v>25</v>
      </c>
      <c r="G1097">
        <v>4</v>
      </c>
      <c r="H1097">
        <v>12</v>
      </c>
      <c r="I1097">
        <v>0</v>
      </c>
      <c r="J1097">
        <v>125.07</v>
      </c>
      <c r="K1097" t="s">
        <v>735</v>
      </c>
      <c r="L1097" t="s">
        <v>1640</v>
      </c>
    </row>
    <row r="1098" spans="1:12">
      <c r="A1098">
        <v>1096</v>
      </c>
      <c r="B1098" t="s">
        <v>3</v>
      </c>
      <c r="C1098" t="s">
        <v>736</v>
      </c>
      <c r="D1098">
        <v>2018</v>
      </c>
      <c r="E1098">
        <v>2</v>
      </c>
      <c r="F1098">
        <v>25</v>
      </c>
      <c r="G1098">
        <v>4</v>
      </c>
      <c r="H1098">
        <v>12</v>
      </c>
      <c r="I1098">
        <v>0</v>
      </c>
      <c r="J1098">
        <v>108</v>
      </c>
      <c r="K1098" t="s">
        <v>735</v>
      </c>
      <c r="L1098" t="s">
        <v>1678</v>
      </c>
    </row>
    <row r="1099" spans="1:12">
      <c r="A1099">
        <v>1097</v>
      </c>
      <c r="B1099" t="s">
        <v>3</v>
      </c>
      <c r="C1099" t="s">
        <v>736</v>
      </c>
      <c r="D1099">
        <v>2018</v>
      </c>
      <c r="E1099">
        <v>2</v>
      </c>
      <c r="F1099">
        <v>25</v>
      </c>
      <c r="G1099">
        <v>4</v>
      </c>
      <c r="H1099">
        <v>12</v>
      </c>
      <c r="I1099">
        <v>0</v>
      </c>
      <c r="J1099">
        <v>11.56</v>
      </c>
      <c r="K1099" t="s">
        <v>735</v>
      </c>
      <c r="L1099" t="s">
        <v>1679</v>
      </c>
    </row>
    <row r="1100" spans="1:12">
      <c r="A1100">
        <v>1098</v>
      </c>
      <c r="B1100" t="s">
        <v>3</v>
      </c>
      <c r="C1100" t="s">
        <v>736</v>
      </c>
      <c r="D1100">
        <v>2018</v>
      </c>
      <c r="E1100">
        <v>2</v>
      </c>
      <c r="F1100">
        <v>26</v>
      </c>
      <c r="G1100">
        <v>4</v>
      </c>
      <c r="H1100">
        <v>12</v>
      </c>
      <c r="I1100">
        <v>0</v>
      </c>
      <c r="J1100">
        <v>63.25</v>
      </c>
      <c r="K1100" t="s">
        <v>735</v>
      </c>
      <c r="L1100" t="s">
        <v>1622</v>
      </c>
    </row>
    <row r="1101" spans="1:12">
      <c r="A1101">
        <v>1099</v>
      </c>
      <c r="B1101" t="s">
        <v>3</v>
      </c>
      <c r="C1101" t="s">
        <v>736</v>
      </c>
      <c r="D1101">
        <v>2018</v>
      </c>
      <c r="E1101">
        <v>2</v>
      </c>
      <c r="F1101">
        <v>26</v>
      </c>
      <c r="G1101">
        <v>4</v>
      </c>
      <c r="H1101">
        <v>12</v>
      </c>
      <c r="I1101">
        <v>0</v>
      </c>
      <c r="J1101">
        <v>6117.15</v>
      </c>
      <c r="K1101" t="s">
        <v>735</v>
      </c>
      <c r="L1101" t="s">
        <v>1618</v>
      </c>
    </row>
    <row r="1102" spans="1:12">
      <c r="A1102">
        <v>1100</v>
      </c>
      <c r="B1102" t="s">
        <v>3</v>
      </c>
      <c r="C1102" t="s">
        <v>736</v>
      </c>
      <c r="D1102">
        <v>2018</v>
      </c>
      <c r="E1102">
        <v>2</v>
      </c>
      <c r="F1102">
        <v>27</v>
      </c>
      <c r="G1102">
        <v>4</v>
      </c>
      <c r="H1102">
        <v>12</v>
      </c>
      <c r="I1102">
        <v>0</v>
      </c>
      <c r="J1102">
        <v>576.91</v>
      </c>
      <c r="K1102" t="s">
        <v>735</v>
      </c>
      <c r="L1102" t="s">
        <v>1626</v>
      </c>
    </row>
    <row r="1103" spans="1:12">
      <c r="A1103">
        <v>1101</v>
      </c>
      <c r="B1103" t="s">
        <v>3</v>
      </c>
      <c r="C1103" t="s">
        <v>736</v>
      </c>
      <c r="D1103">
        <v>2018</v>
      </c>
      <c r="E1103">
        <v>2</v>
      </c>
      <c r="F1103">
        <v>28</v>
      </c>
      <c r="G1103">
        <v>4</v>
      </c>
      <c r="H1103">
        <v>12</v>
      </c>
      <c r="I1103">
        <v>0</v>
      </c>
      <c r="J1103">
        <v>306.60000000000002</v>
      </c>
      <c r="K1103" t="s">
        <v>735</v>
      </c>
      <c r="L1103" t="s">
        <v>1636</v>
      </c>
    </row>
    <row r="1104" spans="1:12">
      <c r="A1104">
        <v>1102</v>
      </c>
      <c r="B1104" t="s">
        <v>3</v>
      </c>
      <c r="C1104" t="s">
        <v>736</v>
      </c>
      <c r="D1104">
        <v>2018</v>
      </c>
      <c r="E1104">
        <v>2</v>
      </c>
      <c r="F1104">
        <v>28</v>
      </c>
      <c r="G1104">
        <v>4</v>
      </c>
      <c r="H1104">
        <v>12</v>
      </c>
      <c r="I1104">
        <v>0</v>
      </c>
      <c r="J1104">
        <v>953.56000000000006</v>
      </c>
      <c r="K1104" t="s">
        <v>735</v>
      </c>
      <c r="L1104" t="s">
        <v>1671</v>
      </c>
    </row>
    <row r="1105" spans="1:12">
      <c r="A1105">
        <v>1103</v>
      </c>
      <c r="B1105" t="s">
        <v>3</v>
      </c>
      <c r="C1105" t="s">
        <v>736</v>
      </c>
      <c r="D1105">
        <v>2018</v>
      </c>
      <c r="E1105">
        <v>2</v>
      </c>
      <c r="F1105">
        <v>29</v>
      </c>
      <c r="G1105">
        <v>4</v>
      </c>
      <c r="H1105">
        <v>12</v>
      </c>
      <c r="I1105">
        <v>0</v>
      </c>
      <c r="J1105">
        <v>890.75</v>
      </c>
      <c r="K1105" t="s">
        <v>735</v>
      </c>
      <c r="L1105" t="s">
        <v>1620</v>
      </c>
    </row>
    <row r="1106" spans="1:12">
      <c r="A1106">
        <v>1104</v>
      </c>
      <c r="B1106" t="s">
        <v>3</v>
      </c>
      <c r="C1106" t="s">
        <v>736</v>
      </c>
      <c r="D1106">
        <v>2018</v>
      </c>
      <c r="E1106">
        <v>2</v>
      </c>
      <c r="F1106">
        <v>29</v>
      </c>
      <c r="G1106">
        <v>4</v>
      </c>
      <c r="H1106">
        <v>12</v>
      </c>
      <c r="I1106">
        <v>0</v>
      </c>
      <c r="J1106">
        <v>336.68</v>
      </c>
      <c r="K1106" t="s">
        <v>735</v>
      </c>
      <c r="L1106" t="s">
        <v>1608</v>
      </c>
    </row>
    <row r="1107" spans="1:12">
      <c r="A1107">
        <v>1105</v>
      </c>
      <c r="B1107" t="s">
        <v>3</v>
      </c>
      <c r="C1107" t="s">
        <v>736</v>
      </c>
      <c r="D1107">
        <v>2018</v>
      </c>
      <c r="E1107">
        <v>2</v>
      </c>
      <c r="F1107">
        <v>29</v>
      </c>
      <c r="G1107">
        <v>4</v>
      </c>
      <c r="H1107">
        <v>12</v>
      </c>
      <c r="I1107">
        <v>0</v>
      </c>
      <c r="J1107">
        <v>1132.48</v>
      </c>
      <c r="K1107" t="s">
        <v>735</v>
      </c>
      <c r="L1107" t="s">
        <v>1625</v>
      </c>
    </row>
    <row r="1108" spans="1:12">
      <c r="A1108">
        <v>1106</v>
      </c>
      <c r="B1108" t="s">
        <v>3</v>
      </c>
      <c r="C1108" t="s">
        <v>736</v>
      </c>
      <c r="D1108">
        <v>2018</v>
      </c>
      <c r="E1108">
        <v>2</v>
      </c>
      <c r="F1108">
        <v>29</v>
      </c>
      <c r="G1108">
        <v>4</v>
      </c>
      <c r="H1108">
        <v>12</v>
      </c>
      <c r="I1108">
        <v>0</v>
      </c>
      <c r="J1108">
        <v>1299</v>
      </c>
      <c r="K1108" t="s">
        <v>735</v>
      </c>
      <c r="L1108" t="s">
        <v>1629</v>
      </c>
    </row>
    <row r="1109" spans="1:12">
      <c r="A1109">
        <v>1107</v>
      </c>
      <c r="B1109" t="s">
        <v>3</v>
      </c>
      <c r="C1109" t="s">
        <v>736</v>
      </c>
      <c r="D1109">
        <v>2018</v>
      </c>
      <c r="E1109">
        <v>2</v>
      </c>
      <c r="F1109">
        <v>40</v>
      </c>
      <c r="G1109">
        <v>4</v>
      </c>
      <c r="H1109">
        <v>12</v>
      </c>
      <c r="I1109">
        <v>0</v>
      </c>
      <c r="J1109">
        <v>386.40999999999997</v>
      </c>
      <c r="K1109" t="s">
        <v>735</v>
      </c>
      <c r="L1109" t="s">
        <v>1603</v>
      </c>
    </row>
    <row r="1110" spans="1:12">
      <c r="A1110">
        <v>1108</v>
      </c>
      <c r="B1110" t="s">
        <v>3</v>
      </c>
      <c r="C1110" t="s">
        <v>736</v>
      </c>
      <c r="D1110">
        <v>2018</v>
      </c>
      <c r="E1110">
        <v>2</v>
      </c>
      <c r="F1110">
        <v>40</v>
      </c>
      <c r="G1110">
        <v>4</v>
      </c>
      <c r="H1110">
        <v>12</v>
      </c>
      <c r="I1110">
        <v>0</v>
      </c>
      <c r="J1110">
        <v>386.41999999999996</v>
      </c>
      <c r="K1110" t="s">
        <v>735</v>
      </c>
      <c r="L1110" t="s">
        <v>1604</v>
      </c>
    </row>
    <row r="1111" spans="1:12">
      <c r="A1111">
        <v>1109</v>
      </c>
      <c r="B1111" t="s">
        <v>3</v>
      </c>
      <c r="C1111" t="s">
        <v>736</v>
      </c>
      <c r="D1111">
        <v>2018</v>
      </c>
      <c r="E1111">
        <v>2</v>
      </c>
      <c r="F1111">
        <v>41</v>
      </c>
      <c r="G1111">
        <v>4</v>
      </c>
      <c r="H1111">
        <v>12</v>
      </c>
      <c r="I1111">
        <v>0</v>
      </c>
      <c r="J1111">
        <v>62.67</v>
      </c>
      <c r="K1111" t="s">
        <v>735</v>
      </c>
      <c r="L1111" t="s">
        <v>1605</v>
      </c>
    </row>
    <row r="1112" spans="1:12">
      <c r="A1112">
        <v>1110</v>
      </c>
      <c r="B1112" t="s">
        <v>3</v>
      </c>
      <c r="C1112" t="s">
        <v>736</v>
      </c>
      <c r="D1112">
        <v>2018</v>
      </c>
      <c r="E1112">
        <v>3</v>
      </c>
      <c r="F1112">
        <v>8</v>
      </c>
      <c r="G1112">
        <v>4</v>
      </c>
      <c r="H1112">
        <v>16</v>
      </c>
      <c r="I1112">
        <v>0</v>
      </c>
      <c r="J1112">
        <v>-11216</v>
      </c>
      <c r="K1112" t="s">
        <v>735</v>
      </c>
      <c r="L1112" t="s">
        <v>1599</v>
      </c>
    </row>
    <row r="1113" spans="1:12">
      <c r="A1113">
        <v>1111</v>
      </c>
      <c r="B1113" t="s">
        <v>3</v>
      </c>
      <c r="C1113" t="s">
        <v>736</v>
      </c>
      <c r="D1113">
        <v>2018</v>
      </c>
      <c r="E1113">
        <v>3</v>
      </c>
      <c r="F1113">
        <v>25</v>
      </c>
      <c r="G1113">
        <v>4</v>
      </c>
      <c r="H1113">
        <v>16</v>
      </c>
      <c r="I1113">
        <v>0</v>
      </c>
      <c r="J1113">
        <v>139.53</v>
      </c>
      <c r="K1113" t="s">
        <v>735</v>
      </c>
      <c r="L1113" t="s">
        <v>1632</v>
      </c>
    </row>
    <row r="1114" spans="1:12">
      <c r="A1114">
        <v>1112</v>
      </c>
      <c r="B1114" t="s">
        <v>3</v>
      </c>
      <c r="C1114" t="s">
        <v>736</v>
      </c>
      <c r="D1114">
        <v>2018</v>
      </c>
      <c r="E1114">
        <v>3</v>
      </c>
      <c r="F1114">
        <v>25</v>
      </c>
      <c r="G1114">
        <v>4</v>
      </c>
      <c r="H1114">
        <v>16</v>
      </c>
      <c r="I1114">
        <v>0</v>
      </c>
      <c r="J1114">
        <v>115.10000000000002</v>
      </c>
      <c r="K1114" t="s">
        <v>735</v>
      </c>
      <c r="L1114" t="s">
        <v>1668</v>
      </c>
    </row>
    <row r="1115" spans="1:12">
      <c r="A1115">
        <v>1113</v>
      </c>
      <c r="B1115" t="s">
        <v>3</v>
      </c>
      <c r="C1115" t="s">
        <v>736</v>
      </c>
      <c r="D1115">
        <v>2018</v>
      </c>
      <c r="E1115">
        <v>3</v>
      </c>
      <c r="F1115">
        <v>25</v>
      </c>
      <c r="G1115">
        <v>4</v>
      </c>
      <c r="H1115">
        <v>16</v>
      </c>
      <c r="I1115">
        <v>0</v>
      </c>
      <c r="J1115">
        <v>85.44</v>
      </c>
      <c r="K1115" t="s">
        <v>735</v>
      </c>
      <c r="L1115" t="s">
        <v>1669</v>
      </c>
    </row>
    <row r="1116" spans="1:12">
      <c r="A1116">
        <v>1114</v>
      </c>
      <c r="B1116" t="s">
        <v>3</v>
      </c>
      <c r="C1116" t="s">
        <v>736</v>
      </c>
      <c r="D1116">
        <v>2018</v>
      </c>
      <c r="E1116">
        <v>3</v>
      </c>
      <c r="F1116">
        <v>26</v>
      </c>
      <c r="G1116">
        <v>4</v>
      </c>
      <c r="H1116">
        <v>16</v>
      </c>
      <c r="I1116">
        <v>0</v>
      </c>
      <c r="J1116">
        <v>80.95</v>
      </c>
      <c r="K1116" t="s">
        <v>735</v>
      </c>
      <c r="L1116" t="s">
        <v>1680</v>
      </c>
    </row>
    <row r="1117" spans="1:12">
      <c r="A1117">
        <v>1115</v>
      </c>
      <c r="B1117" t="s">
        <v>3</v>
      </c>
      <c r="C1117" t="s">
        <v>736</v>
      </c>
      <c r="D1117">
        <v>2018</v>
      </c>
      <c r="E1117">
        <v>3</v>
      </c>
      <c r="F1117">
        <v>26</v>
      </c>
      <c r="G1117">
        <v>4</v>
      </c>
      <c r="H1117">
        <v>16</v>
      </c>
      <c r="I1117">
        <v>0</v>
      </c>
      <c r="J1117">
        <v>3489.4100000000003</v>
      </c>
      <c r="K1117" t="s">
        <v>735</v>
      </c>
      <c r="L1117" t="s">
        <v>1618</v>
      </c>
    </row>
    <row r="1118" spans="1:12">
      <c r="A1118">
        <v>1116</v>
      </c>
      <c r="B1118" t="s">
        <v>3</v>
      </c>
      <c r="C1118" t="s">
        <v>736</v>
      </c>
      <c r="D1118">
        <v>2018</v>
      </c>
      <c r="E1118">
        <v>3</v>
      </c>
      <c r="F1118">
        <v>28</v>
      </c>
      <c r="G1118">
        <v>4</v>
      </c>
      <c r="H1118">
        <v>16</v>
      </c>
      <c r="I1118">
        <v>0</v>
      </c>
      <c r="J1118">
        <v>7.35</v>
      </c>
      <c r="K1118" t="s">
        <v>735</v>
      </c>
      <c r="L1118" t="s">
        <v>1636</v>
      </c>
    </row>
    <row r="1119" spans="1:12">
      <c r="A1119">
        <v>1117</v>
      </c>
      <c r="B1119" t="s">
        <v>3</v>
      </c>
      <c r="C1119" t="s">
        <v>736</v>
      </c>
      <c r="D1119">
        <v>2018</v>
      </c>
      <c r="E1119">
        <v>3</v>
      </c>
      <c r="F1119">
        <v>28</v>
      </c>
      <c r="G1119">
        <v>4</v>
      </c>
      <c r="H1119">
        <v>16</v>
      </c>
      <c r="I1119">
        <v>0</v>
      </c>
      <c r="J1119">
        <v>835.38000000000011</v>
      </c>
      <c r="K1119" t="s">
        <v>735</v>
      </c>
      <c r="L1119" t="s">
        <v>1671</v>
      </c>
    </row>
    <row r="1120" spans="1:12">
      <c r="A1120">
        <v>1118</v>
      </c>
      <c r="B1120" t="s">
        <v>3</v>
      </c>
      <c r="C1120" t="s">
        <v>736</v>
      </c>
      <c r="D1120">
        <v>2018</v>
      </c>
      <c r="E1120">
        <v>3</v>
      </c>
      <c r="F1120">
        <v>33</v>
      </c>
      <c r="G1120">
        <v>4</v>
      </c>
      <c r="H1120">
        <v>16</v>
      </c>
      <c r="I1120">
        <v>0</v>
      </c>
      <c r="J1120">
        <v>1240</v>
      </c>
      <c r="K1120" t="s">
        <v>735</v>
      </c>
      <c r="L1120" t="s">
        <v>1624</v>
      </c>
    </row>
    <row r="1121" spans="1:12">
      <c r="A1121">
        <v>1119</v>
      </c>
      <c r="B1121" t="s">
        <v>3</v>
      </c>
      <c r="C1121" t="s">
        <v>736</v>
      </c>
      <c r="D1121">
        <v>2018</v>
      </c>
      <c r="E1121">
        <v>3</v>
      </c>
      <c r="F1121">
        <v>40</v>
      </c>
      <c r="G1121">
        <v>4</v>
      </c>
      <c r="H1121">
        <v>16</v>
      </c>
      <c r="I1121">
        <v>0</v>
      </c>
      <c r="J1121">
        <v>188.49999999999997</v>
      </c>
      <c r="K1121" t="s">
        <v>735</v>
      </c>
      <c r="L1121" t="s">
        <v>1603</v>
      </c>
    </row>
    <row r="1122" spans="1:12">
      <c r="A1122">
        <v>1120</v>
      </c>
      <c r="B1122" t="s">
        <v>3</v>
      </c>
      <c r="C1122" t="s">
        <v>736</v>
      </c>
      <c r="D1122">
        <v>2018</v>
      </c>
      <c r="E1122">
        <v>3</v>
      </c>
      <c r="F1122">
        <v>40</v>
      </c>
      <c r="G1122">
        <v>4</v>
      </c>
      <c r="H1122">
        <v>16</v>
      </c>
      <c r="I1122">
        <v>0</v>
      </c>
      <c r="J1122">
        <v>188.48000000000002</v>
      </c>
      <c r="K1122" t="s">
        <v>735</v>
      </c>
      <c r="L1122" t="s">
        <v>1604</v>
      </c>
    </row>
    <row r="1123" spans="1:12">
      <c r="A1123">
        <v>1121</v>
      </c>
      <c r="B1123" t="s">
        <v>3</v>
      </c>
      <c r="C1123" t="s">
        <v>736</v>
      </c>
      <c r="D1123">
        <v>2018</v>
      </c>
      <c r="E1123">
        <v>3</v>
      </c>
      <c r="F1123">
        <v>41</v>
      </c>
      <c r="G1123">
        <v>4</v>
      </c>
      <c r="H1123">
        <v>16</v>
      </c>
      <c r="I1123">
        <v>0</v>
      </c>
      <c r="J1123">
        <v>30.57</v>
      </c>
      <c r="K1123" t="s">
        <v>735</v>
      </c>
      <c r="L1123" t="s">
        <v>1605</v>
      </c>
    </row>
    <row r="1124" spans="1:12">
      <c r="A1124">
        <v>1122</v>
      </c>
      <c r="B1124" t="s">
        <v>3</v>
      </c>
      <c r="C1124" t="s">
        <v>736</v>
      </c>
      <c r="D1124">
        <v>2018</v>
      </c>
      <c r="E1124">
        <v>4</v>
      </c>
      <c r="F1124">
        <v>11</v>
      </c>
      <c r="G1124">
        <v>4</v>
      </c>
      <c r="H1124">
        <v>20</v>
      </c>
      <c r="I1124">
        <v>0</v>
      </c>
      <c r="J1124">
        <v>-4700.7</v>
      </c>
      <c r="K1124" t="s">
        <v>735</v>
      </c>
      <c r="L1124" t="s">
        <v>1607</v>
      </c>
    </row>
    <row r="1125" spans="1:12">
      <c r="A1125">
        <v>1123</v>
      </c>
      <c r="B1125" t="s">
        <v>3</v>
      </c>
      <c r="C1125" t="s">
        <v>736</v>
      </c>
      <c r="D1125">
        <v>2018</v>
      </c>
      <c r="E1125">
        <v>4</v>
      </c>
      <c r="F1125">
        <v>25</v>
      </c>
      <c r="G1125">
        <v>4</v>
      </c>
      <c r="H1125">
        <v>20</v>
      </c>
      <c r="I1125">
        <v>0</v>
      </c>
      <c r="J1125">
        <v>137.97</v>
      </c>
      <c r="K1125" t="s">
        <v>735</v>
      </c>
      <c r="L1125" t="s">
        <v>1632</v>
      </c>
    </row>
    <row r="1126" spans="1:12">
      <c r="A1126">
        <v>1124</v>
      </c>
      <c r="B1126" t="s">
        <v>3</v>
      </c>
      <c r="C1126" t="s">
        <v>736</v>
      </c>
      <c r="D1126">
        <v>2018</v>
      </c>
      <c r="E1126">
        <v>4</v>
      </c>
      <c r="F1126">
        <v>25</v>
      </c>
      <c r="G1126">
        <v>4</v>
      </c>
      <c r="H1126">
        <v>20</v>
      </c>
      <c r="I1126">
        <v>0</v>
      </c>
      <c r="J1126">
        <v>171.95000000000002</v>
      </c>
      <c r="K1126" t="s">
        <v>735</v>
      </c>
      <c r="L1126" t="s">
        <v>1668</v>
      </c>
    </row>
    <row r="1127" spans="1:12">
      <c r="A1127">
        <v>1125</v>
      </c>
      <c r="B1127" t="s">
        <v>3</v>
      </c>
      <c r="C1127" t="s">
        <v>736</v>
      </c>
      <c r="D1127">
        <v>2018</v>
      </c>
      <c r="E1127">
        <v>4</v>
      </c>
      <c r="F1127">
        <v>25</v>
      </c>
      <c r="G1127">
        <v>4</v>
      </c>
      <c r="H1127">
        <v>20</v>
      </c>
      <c r="I1127">
        <v>0</v>
      </c>
      <c r="J1127">
        <v>89.02</v>
      </c>
      <c r="K1127" t="s">
        <v>735</v>
      </c>
      <c r="L1127" t="s">
        <v>1669</v>
      </c>
    </row>
    <row r="1128" spans="1:12">
      <c r="A1128">
        <v>1126</v>
      </c>
      <c r="B1128" t="s">
        <v>3</v>
      </c>
      <c r="C1128" t="s">
        <v>736</v>
      </c>
      <c r="D1128">
        <v>2018</v>
      </c>
      <c r="E1128">
        <v>4</v>
      </c>
      <c r="F1128">
        <v>25</v>
      </c>
      <c r="G1128">
        <v>4</v>
      </c>
      <c r="H1128">
        <v>20</v>
      </c>
      <c r="I1128">
        <v>0</v>
      </c>
      <c r="J1128">
        <v>39.54</v>
      </c>
      <c r="K1128" t="s">
        <v>735</v>
      </c>
      <c r="L1128" t="s">
        <v>1641</v>
      </c>
    </row>
    <row r="1129" spans="1:12">
      <c r="A1129">
        <v>1127</v>
      </c>
      <c r="B1129" t="s">
        <v>3</v>
      </c>
      <c r="C1129" t="s">
        <v>736</v>
      </c>
      <c r="D1129">
        <v>2018</v>
      </c>
      <c r="E1129">
        <v>4</v>
      </c>
      <c r="F1129">
        <v>26</v>
      </c>
      <c r="G1129">
        <v>4</v>
      </c>
      <c r="H1129">
        <v>20</v>
      </c>
      <c r="I1129">
        <v>0</v>
      </c>
      <c r="J1129">
        <v>-11.850000000000001</v>
      </c>
      <c r="K1129" t="s">
        <v>735</v>
      </c>
      <c r="L1129" t="s">
        <v>1618</v>
      </c>
    </row>
    <row r="1130" spans="1:12">
      <c r="A1130">
        <v>1128</v>
      </c>
      <c r="B1130" t="s">
        <v>3</v>
      </c>
      <c r="C1130" t="s">
        <v>736</v>
      </c>
      <c r="D1130">
        <v>2018</v>
      </c>
      <c r="E1130">
        <v>4</v>
      </c>
      <c r="F1130">
        <v>28</v>
      </c>
      <c r="G1130">
        <v>4</v>
      </c>
      <c r="H1130">
        <v>20</v>
      </c>
      <c r="I1130">
        <v>0</v>
      </c>
      <c r="J1130">
        <v>338.1</v>
      </c>
      <c r="K1130" t="s">
        <v>735</v>
      </c>
      <c r="L1130" t="s">
        <v>1636</v>
      </c>
    </row>
    <row r="1131" spans="1:12">
      <c r="A1131">
        <v>1129</v>
      </c>
      <c r="B1131" t="s">
        <v>3</v>
      </c>
      <c r="C1131" t="s">
        <v>736</v>
      </c>
      <c r="D1131">
        <v>2018</v>
      </c>
      <c r="E1131">
        <v>4</v>
      </c>
      <c r="F1131">
        <v>28</v>
      </c>
      <c r="G1131">
        <v>4</v>
      </c>
      <c r="H1131">
        <v>20</v>
      </c>
      <c r="I1131">
        <v>0</v>
      </c>
      <c r="J1131">
        <v>655.62</v>
      </c>
      <c r="K1131" t="s">
        <v>735</v>
      </c>
      <c r="L1131" t="s">
        <v>1671</v>
      </c>
    </row>
    <row r="1132" spans="1:12">
      <c r="A1132">
        <v>1130</v>
      </c>
      <c r="B1132" t="s">
        <v>3</v>
      </c>
      <c r="C1132" t="s">
        <v>736</v>
      </c>
      <c r="D1132">
        <v>2018</v>
      </c>
      <c r="E1132">
        <v>4</v>
      </c>
      <c r="F1132">
        <v>28</v>
      </c>
      <c r="G1132">
        <v>4</v>
      </c>
      <c r="H1132">
        <v>20</v>
      </c>
      <c r="I1132">
        <v>0</v>
      </c>
      <c r="J1132">
        <v>175.54</v>
      </c>
      <c r="K1132" t="s">
        <v>735</v>
      </c>
      <c r="L1132" t="s">
        <v>1681</v>
      </c>
    </row>
    <row r="1133" spans="1:12">
      <c r="A1133">
        <v>1131</v>
      </c>
      <c r="B1133" t="s">
        <v>3</v>
      </c>
      <c r="C1133" t="s">
        <v>736</v>
      </c>
      <c r="D1133">
        <v>2018</v>
      </c>
      <c r="E1133">
        <v>4</v>
      </c>
      <c r="F1133">
        <v>28</v>
      </c>
      <c r="G1133">
        <v>4</v>
      </c>
      <c r="H1133">
        <v>20</v>
      </c>
      <c r="I1133">
        <v>0</v>
      </c>
      <c r="J1133">
        <v>91.96</v>
      </c>
      <c r="K1133" t="s">
        <v>735</v>
      </c>
      <c r="L1133" t="s">
        <v>1634</v>
      </c>
    </row>
    <row r="1134" spans="1:12">
      <c r="A1134">
        <v>1132</v>
      </c>
      <c r="B1134" t="s">
        <v>3</v>
      </c>
      <c r="C1134" t="s">
        <v>736</v>
      </c>
      <c r="D1134">
        <v>2018</v>
      </c>
      <c r="E1134">
        <v>4</v>
      </c>
      <c r="F1134">
        <v>28</v>
      </c>
      <c r="G1134">
        <v>4</v>
      </c>
      <c r="H1134">
        <v>20</v>
      </c>
      <c r="I1134">
        <v>0</v>
      </c>
      <c r="J1134">
        <v>26</v>
      </c>
      <c r="K1134" t="s">
        <v>735</v>
      </c>
      <c r="L1134" t="s">
        <v>1644</v>
      </c>
    </row>
    <row r="1135" spans="1:12">
      <c r="A1135">
        <v>1133</v>
      </c>
      <c r="B1135" t="s">
        <v>3</v>
      </c>
      <c r="C1135" t="s">
        <v>736</v>
      </c>
      <c r="D1135">
        <v>2018</v>
      </c>
      <c r="E1135">
        <v>4</v>
      </c>
      <c r="F1135">
        <v>29</v>
      </c>
      <c r="G1135">
        <v>4</v>
      </c>
      <c r="H1135">
        <v>20</v>
      </c>
      <c r="I1135">
        <v>0</v>
      </c>
      <c r="J1135">
        <v>1097</v>
      </c>
      <c r="K1135" t="s">
        <v>735</v>
      </c>
      <c r="L1135" t="s">
        <v>1630</v>
      </c>
    </row>
    <row r="1136" spans="1:12">
      <c r="A1136">
        <v>1134</v>
      </c>
      <c r="B1136" t="s">
        <v>3</v>
      </c>
      <c r="C1136" t="s">
        <v>736</v>
      </c>
      <c r="D1136">
        <v>2018</v>
      </c>
      <c r="E1136">
        <v>4</v>
      </c>
      <c r="F1136">
        <v>29</v>
      </c>
      <c r="G1136">
        <v>4</v>
      </c>
      <c r="H1136">
        <v>20</v>
      </c>
      <c r="I1136">
        <v>0</v>
      </c>
      <c r="J1136">
        <v>117.46000000000001</v>
      </c>
      <c r="K1136" t="s">
        <v>735</v>
      </c>
      <c r="L1136" t="s">
        <v>1608</v>
      </c>
    </row>
    <row r="1137" spans="1:12">
      <c r="A1137">
        <v>1135</v>
      </c>
      <c r="B1137" t="s">
        <v>3</v>
      </c>
      <c r="C1137" t="s">
        <v>736</v>
      </c>
      <c r="D1137">
        <v>2018</v>
      </c>
      <c r="E1137">
        <v>4</v>
      </c>
      <c r="F1137">
        <v>29</v>
      </c>
      <c r="G1137">
        <v>4</v>
      </c>
      <c r="H1137">
        <v>20</v>
      </c>
      <c r="I1137">
        <v>0</v>
      </c>
      <c r="J1137">
        <v>-900</v>
      </c>
      <c r="K1137" t="s">
        <v>735</v>
      </c>
      <c r="L1137" t="s">
        <v>1625</v>
      </c>
    </row>
    <row r="1138" spans="1:12">
      <c r="A1138">
        <v>1136</v>
      </c>
      <c r="B1138" t="s">
        <v>3</v>
      </c>
      <c r="C1138" t="s">
        <v>736</v>
      </c>
      <c r="D1138">
        <v>2018</v>
      </c>
      <c r="E1138">
        <v>4</v>
      </c>
      <c r="F1138">
        <v>29</v>
      </c>
      <c r="G1138">
        <v>4</v>
      </c>
      <c r="H1138">
        <v>20</v>
      </c>
      <c r="I1138">
        <v>0</v>
      </c>
      <c r="J1138">
        <v>377.44</v>
      </c>
      <c r="K1138" t="s">
        <v>735</v>
      </c>
      <c r="L1138" t="s">
        <v>1635</v>
      </c>
    </row>
    <row r="1139" spans="1:12">
      <c r="A1139">
        <v>1137</v>
      </c>
      <c r="B1139" t="s">
        <v>3</v>
      </c>
      <c r="C1139" t="s">
        <v>736</v>
      </c>
      <c r="D1139">
        <v>2018</v>
      </c>
      <c r="E1139">
        <v>4</v>
      </c>
      <c r="F1139">
        <v>29</v>
      </c>
      <c r="G1139">
        <v>4</v>
      </c>
      <c r="H1139">
        <v>20</v>
      </c>
      <c r="I1139">
        <v>0</v>
      </c>
      <c r="J1139">
        <v>0</v>
      </c>
      <c r="K1139" t="s">
        <v>735</v>
      </c>
      <c r="L1139" t="s">
        <v>1648</v>
      </c>
    </row>
    <row r="1140" spans="1:12">
      <c r="A1140">
        <v>1138</v>
      </c>
      <c r="B1140" t="s">
        <v>3</v>
      </c>
      <c r="C1140" t="s">
        <v>736</v>
      </c>
      <c r="D1140">
        <v>2018</v>
      </c>
      <c r="E1140">
        <v>4</v>
      </c>
      <c r="F1140">
        <v>36</v>
      </c>
      <c r="G1140">
        <v>4</v>
      </c>
      <c r="H1140">
        <v>20</v>
      </c>
      <c r="I1140">
        <v>0</v>
      </c>
      <c r="J1140">
        <v>36.54</v>
      </c>
      <c r="K1140" t="s">
        <v>735</v>
      </c>
      <c r="L1140" t="s">
        <v>1682</v>
      </c>
    </row>
    <row r="1141" spans="1:12">
      <c r="A1141">
        <v>1139</v>
      </c>
      <c r="B1141" t="s">
        <v>3</v>
      </c>
      <c r="C1141" t="s">
        <v>736</v>
      </c>
      <c r="D1141">
        <v>2018</v>
      </c>
      <c r="E1141">
        <v>4</v>
      </c>
      <c r="F1141">
        <v>40</v>
      </c>
      <c r="G1141">
        <v>4</v>
      </c>
      <c r="H1141">
        <v>20</v>
      </c>
      <c r="I1141">
        <v>0</v>
      </c>
      <c r="J1141">
        <v>76.789999999999992</v>
      </c>
      <c r="K1141" t="s">
        <v>735</v>
      </c>
      <c r="L1141" t="s">
        <v>1603</v>
      </c>
    </row>
    <row r="1142" spans="1:12">
      <c r="A1142">
        <v>1140</v>
      </c>
      <c r="B1142" t="s">
        <v>3</v>
      </c>
      <c r="C1142" t="s">
        <v>736</v>
      </c>
      <c r="D1142">
        <v>2018</v>
      </c>
      <c r="E1142">
        <v>4</v>
      </c>
      <c r="F1142">
        <v>40</v>
      </c>
      <c r="G1142">
        <v>4</v>
      </c>
      <c r="H1142">
        <v>20</v>
      </c>
      <c r="I1142">
        <v>0</v>
      </c>
      <c r="J1142">
        <v>76.820000000000007</v>
      </c>
      <c r="K1142" t="s">
        <v>735</v>
      </c>
      <c r="L1142" t="s">
        <v>1604</v>
      </c>
    </row>
    <row r="1143" spans="1:12">
      <c r="A1143">
        <v>1141</v>
      </c>
      <c r="B1143" t="s">
        <v>3</v>
      </c>
      <c r="C1143" t="s">
        <v>736</v>
      </c>
      <c r="D1143">
        <v>2018</v>
      </c>
      <c r="E1143">
        <v>4</v>
      </c>
      <c r="F1143">
        <v>41</v>
      </c>
      <c r="G1143">
        <v>4</v>
      </c>
      <c r="H1143">
        <v>20</v>
      </c>
      <c r="I1143">
        <v>0</v>
      </c>
      <c r="J1143">
        <v>12.449999999999998</v>
      </c>
      <c r="K1143" t="s">
        <v>735</v>
      </c>
      <c r="L1143" t="s">
        <v>1605</v>
      </c>
    </row>
    <row r="1144" spans="1:12">
      <c r="A1144">
        <v>1142</v>
      </c>
      <c r="B1144" t="s">
        <v>3</v>
      </c>
      <c r="C1144" t="s">
        <v>736</v>
      </c>
      <c r="D1144">
        <v>2019</v>
      </c>
      <c r="E1144">
        <v>1</v>
      </c>
      <c r="F1144">
        <v>8</v>
      </c>
      <c r="G1144">
        <v>3</v>
      </c>
      <c r="H1144">
        <v>7</v>
      </c>
      <c r="I1144">
        <v>-21631</v>
      </c>
      <c r="J1144">
        <v>-10815</v>
      </c>
      <c r="K1144" t="s">
        <v>735</v>
      </c>
      <c r="L1144" t="s">
        <v>1599</v>
      </c>
    </row>
    <row r="1145" spans="1:12">
      <c r="A1145">
        <v>1143</v>
      </c>
      <c r="B1145" t="s">
        <v>3</v>
      </c>
      <c r="C1145" t="s">
        <v>736</v>
      </c>
      <c r="D1145">
        <v>2019</v>
      </c>
      <c r="E1145">
        <v>1</v>
      </c>
      <c r="F1145">
        <v>23</v>
      </c>
      <c r="G1145">
        <v>3</v>
      </c>
      <c r="H1145">
        <v>7</v>
      </c>
      <c r="I1145">
        <v>20254</v>
      </c>
      <c r="J1145">
        <v>0</v>
      </c>
      <c r="K1145" t="s">
        <v>735</v>
      </c>
      <c r="L1145" t="s">
        <v>1602</v>
      </c>
    </row>
    <row r="1146" spans="1:12">
      <c r="A1146">
        <v>1144</v>
      </c>
      <c r="B1146" t="s">
        <v>3</v>
      </c>
      <c r="C1146" t="s">
        <v>736</v>
      </c>
      <c r="D1146">
        <v>2019</v>
      </c>
      <c r="E1146">
        <v>1</v>
      </c>
      <c r="F1146">
        <v>25</v>
      </c>
      <c r="G1146">
        <v>3</v>
      </c>
      <c r="H1146">
        <v>7</v>
      </c>
      <c r="I1146">
        <v>0</v>
      </c>
      <c r="J1146">
        <v>149.16999999999999</v>
      </c>
      <c r="K1146" t="s">
        <v>735</v>
      </c>
      <c r="L1146" t="s">
        <v>1632</v>
      </c>
    </row>
    <row r="1147" spans="1:12">
      <c r="A1147">
        <v>1145</v>
      </c>
      <c r="B1147" t="s">
        <v>3</v>
      </c>
      <c r="C1147" t="s">
        <v>736</v>
      </c>
      <c r="D1147">
        <v>2019</v>
      </c>
      <c r="E1147">
        <v>1</v>
      </c>
      <c r="F1147">
        <v>25</v>
      </c>
      <c r="G1147">
        <v>3</v>
      </c>
      <c r="H1147">
        <v>7</v>
      </c>
      <c r="I1147">
        <v>0</v>
      </c>
      <c r="J1147">
        <v>62.25</v>
      </c>
      <c r="K1147" t="s">
        <v>735</v>
      </c>
      <c r="L1147" t="s">
        <v>1668</v>
      </c>
    </row>
    <row r="1148" spans="1:12">
      <c r="A1148">
        <v>1146</v>
      </c>
      <c r="B1148" t="s">
        <v>3</v>
      </c>
      <c r="C1148" t="s">
        <v>736</v>
      </c>
      <c r="D1148">
        <v>2019</v>
      </c>
      <c r="E1148">
        <v>1</v>
      </c>
      <c r="F1148">
        <v>25</v>
      </c>
      <c r="G1148">
        <v>3</v>
      </c>
      <c r="H1148">
        <v>7</v>
      </c>
      <c r="I1148">
        <v>0</v>
      </c>
      <c r="J1148">
        <v>43.27</v>
      </c>
      <c r="K1148" t="s">
        <v>735</v>
      </c>
      <c r="L1148" t="s">
        <v>1683</v>
      </c>
    </row>
    <row r="1149" spans="1:12">
      <c r="A1149">
        <v>1147</v>
      </c>
      <c r="B1149" t="s">
        <v>3</v>
      </c>
      <c r="C1149" t="s">
        <v>736</v>
      </c>
      <c r="D1149">
        <v>2019</v>
      </c>
      <c r="E1149">
        <v>1</v>
      </c>
      <c r="F1149">
        <v>25</v>
      </c>
      <c r="G1149">
        <v>3</v>
      </c>
      <c r="H1149">
        <v>7</v>
      </c>
      <c r="I1149">
        <v>0</v>
      </c>
      <c r="J1149">
        <v>476.38</v>
      </c>
      <c r="K1149" t="s">
        <v>735</v>
      </c>
      <c r="L1149" t="s">
        <v>1641</v>
      </c>
    </row>
    <row r="1150" spans="1:12">
      <c r="A1150">
        <v>1148</v>
      </c>
      <c r="B1150" t="s">
        <v>3</v>
      </c>
      <c r="C1150" t="s">
        <v>736</v>
      </c>
      <c r="D1150">
        <v>2019</v>
      </c>
      <c r="E1150">
        <v>1</v>
      </c>
      <c r="F1150">
        <v>26</v>
      </c>
      <c r="G1150">
        <v>3</v>
      </c>
      <c r="H1150">
        <v>7</v>
      </c>
      <c r="I1150">
        <v>0</v>
      </c>
      <c r="J1150">
        <v>47.51</v>
      </c>
      <c r="K1150" t="s">
        <v>735</v>
      </c>
      <c r="L1150" t="s">
        <v>1622</v>
      </c>
    </row>
    <row r="1151" spans="1:12">
      <c r="A1151">
        <v>1149</v>
      </c>
      <c r="B1151" t="s">
        <v>3</v>
      </c>
      <c r="C1151" t="s">
        <v>736</v>
      </c>
      <c r="D1151">
        <v>2019</v>
      </c>
      <c r="E1151">
        <v>1</v>
      </c>
      <c r="F1151">
        <v>28</v>
      </c>
      <c r="G1151">
        <v>3</v>
      </c>
      <c r="H1151">
        <v>7</v>
      </c>
      <c r="I1151">
        <v>0</v>
      </c>
      <c r="J1151">
        <v>2</v>
      </c>
      <c r="K1151" t="s">
        <v>735</v>
      </c>
      <c r="L1151" t="s">
        <v>1636</v>
      </c>
    </row>
    <row r="1152" spans="1:12">
      <c r="A1152">
        <v>1150</v>
      </c>
      <c r="B1152" t="s">
        <v>3</v>
      </c>
      <c r="C1152" t="s">
        <v>736</v>
      </c>
      <c r="D1152">
        <v>2019</v>
      </c>
      <c r="E1152">
        <v>1</v>
      </c>
      <c r="F1152">
        <v>28</v>
      </c>
      <c r="G1152">
        <v>3</v>
      </c>
      <c r="H1152">
        <v>7</v>
      </c>
      <c r="I1152">
        <v>0</v>
      </c>
      <c r="J1152">
        <v>473.21</v>
      </c>
      <c r="K1152" t="s">
        <v>735</v>
      </c>
      <c r="L1152" t="s">
        <v>1671</v>
      </c>
    </row>
    <row r="1153" spans="1:12">
      <c r="A1153">
        <v>1151</v>
      </c>
      <c r="B1153" t="s">
        <v>3</v>
      </c>
      <c r="C1153" t="s">
        <v>736</v>
      </c>
      <c r="D1153">
        <v>2019</v>
      </c>
      <c r="E1153">
        <v>1</v>
      </c>
      <c r="F1153">
        <v>29</v>
      </c>
      <c r="G1153">
        <v>3</v>
      </c>
      <c r="H1153">
        <v>7</v>
      </c>
      <c r="I1153">
        <v>0</v>
      </c>
      <c r="J1153">
        <v>272.99999999999994</v>
      </c>
      <c r="K1153" t="s">
        <v>735</v>
      </c>
      <c r="L1153" t="s">
        <v>1608</v>
      </c>
    </row>
    <row r="1154" spans="1:12">
      <c r="A1154">
        <v>1152</v>
      </c>
      <c r="B1154" t="s">
        <v>3</v>
      </c>
      <c r="C1154" t="s">
        <v>736</v>
      </c>
      <c r="D1154">
        <v>2019</v>
      </c>
      <c r="E1154">
        <v>1</v>
      </c>
      <c r="F1154">
        <v>40</v>
      </c>
      <c r="G1154">
        <v>3</v>
      </c>
      <c r="H1154">
        <v>7</v>
      </c>
      <c r="I1154">
        <v>1274</v>
      </c>
      <c r="J1154">
        <v>51.599999999999994</v>
      </c>
      <c r="K1154" t="s">
        <v>735</v>
      </c>
      <c r="L1154" t="s">
        <v>1603</v>
      </c>
    </row>
    <row r="1155" spans="1:12">
      <c r="A1155">
        <v>1153</v>
      </c>
      <c r="B1155" t="s">
        <v>3</v>
      </c>
      <c r="C1155" t="s">
        <v>736</v>
      </c>
      <c r="D1155">
        <v>2019</v>
      </c>
      <c r="E1155">
        <v>1</v>
      </c>
      <c r="F1155">
        <v>40</v>
      </c>
      <c r="G1155">
        <v>3</v>
      </c>
      <c r="H1155">
        <v>7</v>
      </c>
      <c r="I1155">
        <v>0</v>
      </c>
      <c r="J1155">
        <v>51.61</v>
      </c>
      <c r="K1155" t="s">
        <v>735</v>
      </c>
      <c r="L1155" t="s">
        <v>1604</v>
      </c>
    </row>
    <row r="1156" spans="1:12">
      <c r="A1156">
        <v>1154</v>
      </c>
      <c r="B1156" t="s">
        <v>3</v>
      </c>
      <c r="C1156" t="s">
        <v>736</v>
      </c>
      <c r="D1156">
        <v>2019</v>
      </c>
      <c r="E1156">
        <v>1</v>
      </c>
      <c r="F1156">
        <v>41</v>
      </c>
      <c r="G1156">
        <v>3</v>
      </c>
      <c r="H1156">
        <v>7</v>
      </c>
      <c r="I1156">
        <v>103</v>
      </c>
      <c r="J1156">
        <v>9.4600000000000009</v>
      </c>
      <c r="K1156" t="s">
        <v>735</v>
      </c>
      <c r="L1156" t="s">
        <v>1605</v>
      </c>
    </row>
    <row r="1157" spans="1:12">
      <c r="A1157">
        <v>1155</v>
      </c>
      <c r="B1157" t="s">
        <v>3</v>
      </c>
      <c r="C1157" t="s">
        <v>736</v>
      </c>
      <c r="D1157">
        <v>2019</v>
      </c>
      <c r="E1157">
        <v>2</v>
      </c>
      <c r="F1157">
        <v>25</v>
      </c>
      <c r="G1157">
        <v>3</v>
      </c>
      <c r="H1157">
        <v>11</v>
      </c>
      <c r="I1157">
        <v>0</v>
      </c>
      <c r="J1157">
        <v>148.91</v>
      </c>
      <c r="K1157" t="s">
        <v>735</v>
      </c>
      <c r="L1157" t="s">
        <v>1632</v>
      </c>
    </row>
    <row r="1158" spans="1:12">
      <c r="A1158">
        <v>1156</v>
      </c>
      <c r="B1158" t="s">
        <v>3</v>
      </c>
      <c r="C1158" t="s">
        <v>736</v>
      </c>
      <c r="D1158">
        <v>2019</v>
      </c>
      <c r="E1158">
        <v>2</v>
      </c>
      <c r="F1158">
        <v>25</v>
      </c>
      <c r="G1158">
        <v>3</v>
      </c>
      <c r="H1158">
        <v>11</v>
      </c>
      <c r="I1158">
        <v>0</v>
      </c>
      <c r="J1158">
        <v>143.82</v>
      </c>
      <c r="K1158" t="s">
        <v>735</v>
      </c>
      <c r="L1158" t="s">
        <v>1668</v>
      </c>
    </row>
    <row r="1159" spans="1:12">
      <c r="A1159">
        <v>1157</v>
      </c>
      <c r="B1159" t="s">
        <v>3</v>
      </c>
      <c r="C1159" t="s">
        <v>736</v>
      </c>
      <c r="D1159">
        <v>2019</v>
      </c>
      <c r="E1159">
        <v>2</v>
      </c>
      <c r="F1159">
        <v>25</v>
      </c>
      <c r="G1159">
        <v>3</v>
      </c>
      <c r="H1159">
        <v>11</v>
      </c>
      <c r="I1159">
        <v>0</v>
      </c>
      <c r="J1159">
        <v>45.88</v>
      </c>
      <c r="K1159" t="s">
        <v>735</v>
      </c>
      <c r="L1159" t="s">
        <v>1669</v>
      </c>
    </row>
    <row r="1160" spans="1:12">
      <c r="A1160">
        <v>1158</v>
      </c>
      <c r="B1160" t="s">
        <v>3</v>
      </c>
      <c r="C1160" t="s">
        <v>736</v>
      </c>
      <c r="D1160">
        <v>2019</v>
      </c>
      <c r="E1160">
        <v>2</v>
      </c>
      <c r="F1160">
        <v>25</v>
      </c>
      <c r="G1160">
        <v>3</v>
      </c>
      <c r="H1160">
        <v>11</v>
      </c>
      <c r="I1160">
        <v>0</v>
      </c>
      <c r="J1160">
        <v>18</v>
      </c>
      <c r="K1160" t="s">
        <v>735</v>
      </c>
      <c r="L1160" t="s">
        <v>1684</v>
      </c>
    </row>
    <row r="1161" spans="1:12">
      <c r="A1161">
        <v>1159</v>
      </c>
      <c r="B1161" t="s">
        <v>3</v>
      </c>
      <c r="C1161" t="s">
        <v>736</v>
      </c>
      <c r="D1161">
        <v>2019</v>
      </c>
      <c r="E1161">
        <v>2</v>
      </c>
      <c r="F1161">
        <v>25</v>
      </c>
      <c r="G1161">
        <v>3</v>
      </c>
      <c r="H1161">
        <v>11</v>
      </c>
      <c r="I1161">
        <v>0</v>
      </c>
      <c r="J1161">
        <v>5.99</v>
      </c>
      <c r="K1161" t="s">
        <v>735</v>
      </c>
      <c r="L1161" t="s">
        <v>1640</v>
      </c>
    </row>
    <row r="1162" spans="1:12">
      <c r="A1162">
        <v>1160</v>
      </c>
      <c r="B1162" t="s">
        <v>3</v>
      </c>
      <c r="C1162" t="s">
        <v>736</v>
      </c>
      <c r="D1162">
        <v>2019</v>
      </c>
      <c r="E1162">
        <v>2</v>
      </c>
      <c r="F1162">
        <v>25</v>
      </c>
      <c r="G1162">
        <v>3</v>
      </c>
      <c r="H1162">
        <v>11</v>
      </c>
      <c r="I1162">
        <v>0</v>
      </c>
      <c r="J1162">
        <v>0</v>
      </c>
      <c r="K1162" t="s">
        <v>735</v>
      </c>
      <c r="L1162" t="s">
        <v>1685</v>
      </c>
    </row>
    <row r="1163" spans="1:12">
      <c r="A1163">
        <v>1161</v>
      </c>
      <c r="B1163" t="s">
        <v>3</v>
      </c>
      <c r="C1163" t="s">
        <v>736</v>
      </c>
      <c r="D1163">
        <v>2019</v>
      </c>
      <c r="E1163">
        <v>2</v>
      </c>
      <c r="F1163">
        <v>28</v>
      </c>
      <c r="G1163">
        <v>3</v>
      </c>
      <c r="H1163">
        <v>11</v>
      </c>
      <c r="I1163">
        <v>0</v>
      </c>
      <c r="J1163">
        <v>2255.58</v>
      </c>
      <c r="K1163" t="s">
        <v>735</v>
      </c>
      <c r="L1163" t="s">
        <v>1636</v>
      </c>
    </row>
    <row r="1164" spans="1:12">
      <c r="A1164">
        <v>1162</v>
      </c>
      <c r="B1164" t="s">
        <v>3</v>
      </c>
      <c r="C1164" t="s">
        <v>736</v>
      </c>
      <c r="D1164">
        <v>2019</v>
      </c>
      <c r="E1164">
        <v>2</v>
      </c>
      <c r="F1164">
        <v>28</v>
      </c>
      <c r="G1164">
        <v>3</v>
      </c>
      <c r="H1164">
        <v>11</v>
      </c>
      <c r="I1164">
        <v>0</v>
      </c>
      <c r="J1164">
        <v>691.25</v>
      </c>
      <c r="K1164" t="s">
        <v>735</v>
      </c>
      <c r="L1164" t="s">
        <v>1671</v>
      </c>
    </row>
    <row r="1165" spans="1:12">
      <c r="A1165">
        <v>1163</v>
      </c>
      <c r="B1165" t="s">
        <v>3</v>
      </c>
      <c r="C1165" t="s">
        <v>736</v>
      </c>
      <c r="D1165">
        <v>2019</v>
      </c>
      <c r="E1165">
        <v>2</v>
      </c>
      <c r="F1165">
        <v>28</v>
      </c>
      <c r="G1165">
        <v>3</v>
      </c>
      <c r="H1165">
        <v>11</v>
      </c>
      <c r="I1165">
        <v>0</v>
      </c>
      <c r="J1165">
        <v>198.63</v>
      </c>
      <c r="K1165" t="s">
        <v>735</v>
      </c>
      <c r="L1165" t="s">
        <v>1634</v>
      </c>
    </row>
    <row r="1166" spans="1:12">
      <c r="A1166">
        <v>1164</v>
      </c>
      <c r="B1166" t="s">
        <v>3</v>
      </c>
      <c r="C1166" t="s">
        <v>736</v>
      </c>
      <c r="D1166">
        <v>2019</v>
      </c>
      <c r="E1166">
        <v>2</v>
      </c>
      <c r="F1166">
        <v>29</v>
      </c>
      <c r="G1166">
        <v>3</v>
      </c>
      <c r="H1166">
        <v>11</v>
      </c>
      <c r="I1166">
        <v>0</v>
      </c>
      <c r="J1166">
        <v>2389.35</v>
      </c>
      <c r="K1166" t="s">
        <v>735</v>
      </c>
      <c r="L1166" t="s">
        <v>1620</v>
      </c>
    </row>
    <row r="1167" spans="1:12">
      <c r="A1167">
        <v>1165</v>
      </c>
      <c r="B1167" t="s">
        <v>3</v>
      </c>
      <c r="C1167" t="s">
        <v>736</v>
      </c>
      <c r="D1167">
        <v>2019</v>
      </c>
      <c r="E1167">
        <v>2</v>
      </c>
      <c r="F1167">
        <v>29</v>
      </c>
      <c r="G1167">
        <v>3</v>
      </c>
      <c r="H1167">
        <v>11</v>
      </c>
      <c r="I1167">
        <v>0</v>
      </c>
      <c r="J1167">
        <v>842.06</v>
      </c>
      <c r="K1167" t="s">
        <v>735</v>
      </c>
      <c r="L1167" t="s">
        <v>1608</v>
      </c>
    </row>
    <row r="1168" spans="1:12">
      <c r="A1168">
        <v>1166</v>
      </c>
      <c r="B1168" t="s">
        <v>3</v>
      </c>
      <c r="C1168" t="s">
        <v>736</v>
      </c>
      <c r="D1168">
        <v>2019</v>
      </c>
      <c r="E1168">
        <v>2</v>
      </c>
      <c r="F1168">
        <v>29</v>
      </c>
      <c r="G1168">
        <v>3</v>
      </c>
      <c r="H1168">
        <v>11</v>
      </c>
      <c r="I1168">
        <v>0</v>
      </c>
      <c r="J1168">
        <v>236</v>
      </c>
      <c r="K1168" t="s">
        <v>735</v>
      </c>
      <c r="L1168" t="s">
        <v>1628</v>
      </c>
    </row>
    <row r="1169" spans="1:12">
      <c r="A1169">
        <v>1167</v>
      </c>
      <c r="B1169" t="s">
        <v>3</v>
      </c>
      <c r="C1169" t="s">
        <v>736</v>
      </c>
      <c r="D1169">
        <v>2019</v>
      </c>
      <c r="E1169">
        <v>2</v>
      </c>
      <c r="F1169">
        <v>29</v>
      </c>
      <c r="G1169">
        <v>3</v>
      </c>
      <c r="H1169">
        <v>11</v>
      </c>
      <c r="I1169">
        <v>0</v>
      </c>
      <c r="J1169">
        <v>95.5</v>
      </c>
      <c r="K1169" t="s">
        <v>735</v>
      </c>
      <c r="L1169" t="s">
        <v>1629</v>
      </c>
    </row>
    <row r="1170" spans="1:12">
      <c r="A1170">
        <v>1168</v>
      </c>
      <c r="B1170" t="s">
        <v>3</v>
      </c>
      <c r="C1170" t="s">
        <v>736</v>
      </c>
      <c r="D1170">
        <v>2019</v>
      </c>
      <c r="E1170">
        <v>2</v>
      </c>
      <c r="F1170">
        <v>33</v>
      </c>
      <c r="G1170">
        <v>3</v>
      </c>
      <c r="H1170">
        <v>11</v>
      </c>
      <c r="I1170">
        <v>0</v>
      </c>
      <c r="J1170">
        <v>3981.6</v>
      </c>
      <c r="K1170" t="s">
        <v>735</v>
      </c>
      <c r="L1170" t="s">
        <v>1624</v>
      </c>
    </row>
    <row r="1171" spans="1:12">
      <c r="A1171">
        <v>1169</v>
      </c>
      <c r="B1171" t="s">
        <v>3</v>
      </c>
      <c r="C1171" t="s">
        <v>736</v>
      </c>
      <c r="D1171">
        <v>2019</v>
      </c>
      <c r="E1171">
        <v>2</v>
      </c>
      <c r="F1171">
        <v>40</v>
      </c>
      <c r="G1171">
        <v>3</v>
      </c>
      <c r="H1171">
        <v>11</v>
      </c>
      <c r="I1171">
        <v>0</v>
      </c>
      <c r="J1171">
        <v>373.56999999999994</v>
      </c>
      <c r="K1171" t="s">
        <v>735</v>
      </c>
      <c r="L1171" t="s">
        <v>1603</v>
      </c>
    </row>
    <row r="1172" spans="1:12">
      <c r="A1172">
        <v>1170</v>
      </c>
      <c r="B1172" t="s">
        <v>3</v>
      </c>
      <c r="C1172" t="s">
        <v>736</v>
      </c>
      <c r="D1172">
        <v>2019</v>
      </c>
      <c r="E1172">
        <v>2</v>
      </c>
      <c r="F1172">
        <v>40</v>
      </c>
      <c r="G1172">
        <v>3</v>
      </c>
      <c r="H1172">
        <v>11</v>
      </c>
      <c r="I1172">
        <v>0</v>
      </c>
      <c r="J1172">
        <v>373.58</v>
      </c>
      <c r="K1172" t="s">
        <v>735</v>
      </c>
      <c r="L1172" t="s">
        <v>1604</v>
      </c>
    </row>
    <row r="1173" spans="1:12">
      <c r="A1173">
        <v>1171</v>
      </c>
      <c r="B1173" t="s">
        <v>3</v>
      </c>
      <c r="C1173" t="s">
        <v>736</v>
      </c>
      <c r="D1173">
        <v>2019</v>
      </c>
      <c r="E1173">
        <v>2</v>
      </c>
      <c r="F1173">
        <v>41</v>
      </c>
      <c r="G1173">
        <v>3</v>
      </c>
      <c r="H1173">
        <v>11</v>
      </c>
      <c r="I1173">
        <v>0</v>
      </c>
      <c r="J1173">
        <v>68.529999999999987</v>
      </c>
      <c r="K1173" t="s">
        <v>735</v>
      </c>
      <c r="L1173" t="s">
        <v>1605</v>
      </c>
    </row>
    <row r="1174" spans="1:12">
      <c r="A1174">
        <v>1172</v>
      </c>
      <c r="B1174" t="s">
        <v>3</v>
      </c>
      <c r="C1174" t="s">
        <v>736</v>
      </c>
      <c r="D1174">
        <v>2019</v>
      </c>
      <c r="E1174">
        <v>3</v>
      </c>
      <c r="F1174">
        <v>8</v>
      </c>
      <c r="G1174">
        <v>3</v>
      </c>
      <c r="H1174">
        <v>15</v>
      </c>
      <c r="I1174">
        <v>0</v>
      </c>
      <c r="J1174">
        <v>-10816</v>
      </c>
      <c r="K1174" t="s">
        <v>735</v>
      </c>
      <c r="L1174" t="s">
        <v>1599</v>
      </c>
    </row>
    <row r="1175" spans="1:12">
      <c r="A1175">
        <v>1173</v>
      </c>
      <c r="B1175" t="s">
        <v>3</v>
      </c>
      <c r="C1175" t="s">
        <v>736</v>
      </c>
      <c r="D1175">
        <v>2019</v>
      </c>
      <c r="E1175">
        <v>3</v>
      </c>
      <c r="F1175">
        <v>25</v>
      </c>
      <c r="G1175">
        <v>3</v>
      </c>
      <c r="H1175">
        <v>15</v>
      </c>
      <c r="I1175">
        <v>0</v>
      </c>
      <c r="J1175">
        <v>112.62</v>
      </c>
      <c r="K1175" t="s">
        <v>735</v>
      </c>
      <c r="L1175" t="s">
        <v>1632</v>
      </c>
    </row>
    <row r="1176" spans="1:12">
      <c r="A1176">
        <v>1174</v>
      </c>
      <c r="B1176" t="s">
        <v>3</v>
      </c>
      <c r="C1176" t="s">
        <v>736</v>
      </c>
      <c r="D1176">
        <v>2019</v>
      </c>
      <c r="E1176">
        <v>3</v>
      </c>
      <c r="F1176">
        <v>25</v>
      </c>
      <c r="G1176">
        <v>3</v>
      </c>
      <c r="H1176">
        <v>15</v>
      </c>
      <c r="I1176">
        <v>0</v>
      </c>
      <c r="J1176">
        <v>159.38</v>
      </c>
      <c r="K1176" t="s">
        <v>735</v>
      </c>
      <c r="L1176" t="s">
        <v>1668</v>
      </c>
    </row>
    <row r="1177" spans="1:12">
      <c r="A1177">
        <v>1175</v>
      </c>
      <c r="B1177" t="s">
        <v>3</v>
      </c>
      <c r="C1177" t="s">
        <v>736</v>
      </c>
      <c r="D1177">
        <v>2019</v>
      </c>
      <c r="E1177">
        <v>3</v>
      </c>
      <c r="F1177">
        <v>25</v>
      </c>
      <c r="G1177">
        <v>3</v>
      </c>
      <c r="H1177">
        <v>15</v>
      </c>
      <c r="I1177">
        <v>0</v>
      </c>
      <c r="J1177">
        <v>87.42</v>
      </c>
      <c r="K1177" t="s">
        <v>735</v>
      </c>
      <c r="L1177" t="s">
        <v>1669</v>
      </c>
    </row>
    <row r="1178" spans="1:12">
      <c r="A1178">
        <v>1176</v>
      </c>
      <c r="B1178" t="s">
        <v>3</v>
      </c>
      <c r="C1178" t="s">
        <v>736</v>
      </c>
      <c r="D1178">
        <v>2019</v>
      </c>
      <c r="E1178">
        <v>3</v>
      </c>
      <c r="F1178">
        <v>25</v>
      </c>
      <c r="G1178">
        <v>3</v>
      </c>
      <c r="H1178">
        <v>15</v>
      </c>
      <c r="I1178">
        <v>0</v>
      </c>
      <c r="J1178">
        <v>0</v>
      </c>
      <c r="K1178" t="s">
        <v>735</v>
      </c>
      <c r="L1178" t="s">
        <v>1685</v>
      </c>
    </row>
    <row r="1179" spans="1:12">
      <c r="A1179">
        <v>1177</v>
      </c>
      <c r="B1179" t="s">
        <v>3</v>
      </c>
      <c r="C1179" t="s">
        <v>736</v>
      </c>
      <c r="D1179">
        <v>2019</v>
      </c>
      <c r="E1179">
        <v>3</v>
      </c>
      <c r="F1179">
        <v>26</v>
      </c>
      <c r="G1179">
        <v>3</v>
      </c>
      <c r="H1179">
        <v>15</v>
      </c>
      <c r="I1179">
        <v>0</v>
      </c>
      <c r="J1179">
        <v>171.95999999999998</v>
      </c>
      <c r="K1179" t="s">
        <v>735</v>
      </c>
      <c r="L1179" t="s">
        <v>1622</v>
      </c>
    </row>
    <row r="1180" spans="1:12">
      <c r="A1180">
        <v>1178</v>
      </c>
      <c r="B1180" t="s">
        <v>3</v>
      </c>
      <c r="C1180" t="s">
        <v>736</v>
      </c>
      <c r="D1180">
        <v>2019</v>
      </c>
      <c r="E1180">
        <v>3</v>
      </c>
      <c r="F1180">
        <v>28</v>
      </c>
      <c r="G1180">
        <v>3</v>
      </c>
      <c r="H1180">
        <v>15</v>
      </c>
      <c r="I1180">
        <v>0</v>
      </c>
      <c r="J1180">
        <v>2243.1799999999998</v>
      </c>
      <c r="K1180" t="s">
        <v>735</v>
      </c>
      <c r="L1180" t="s">
        <v>1636</v>
      </c>
    </row>
    <row r="1181" spans="1:12">
      <c r="A1181">
        <v>1179</v>
      </c>
      <c r="B1181" t="s">
        <v>3</v>
      </c>
      <c r="C1181" t="s">
        <v>736</v>
      </c>
      <c r="D1181">
        <v>2019</v>
      </c>
      <c r="E1181">
        <v>3</v>
      </c>
      <c r="F1181">
        <v>28</v>
      </c>
      <c r="G1181">
        <v>3</v>
      </c>
      <c r="H1181">
        <v>15</v>
      </c>
      <c r="I1181">
        <v>0</v>
      </c>
      <c r="J1181">
        <v>866.74</v>
      </c>
      <c r="K1181" t="s">
        <v>735</v>
      </c>
      <c r="L1181" t="s">
        <v>1671</v>
      </c>
    </row>
    <row r="1182" spans="1:12">
      <c r="A1182">
        <v>1180</v>
      </c>
      <c r="B1182" t="s">
        <v>3</v>
      </c>
      <c r="C1182" t="s">
        <v>736</v>
      </c>
      <c r="D1182">
        <v>2019</v>
      </c>
      <c r="E1182">
        <v>3</v>
      </c>
      <c r="F1182">
        <v>29</v>
      </c>
      <c r="G1182">
        <v>3</v>
      </c>
      <c r="H1182">
        <v>15</v>
      </c>
      <c r="I1182">
        <v>0</v>
      </c>
      <c r="J1182">
        <v>138.61000000000001</v>
      </c>
      <c r="K1182" t="s">
        <v>735</v>
      </c>
      <c r="L1182" t="s">
        <v>1608</v>
      </c>
    </row>
    <row r="1183" spans="1:12">
      <c r="A1183">
        <v>1181</v>
      </c>
      <c r="B1183" t="s">
        <v>3</v>
      </c>
      <c r="C1183" t="s">
        <v>736</v>
      </c>
      <c r="D1183">
        <v>2019</v>
      </c>
      <c r="E1183">
        <v>3</v>
      </c>
      <c r="F1183">
        <v>29</v>
      </c>
      <c r="G1183">
        <v>3</v>
      </c>
      <c r="H1183">
        <v>15</v>
      </c>
      <c r="I1183">
        <v>0</v>
      </c>
      <c r="J1183">
        <v>-74.34</v>
      </c>
      <c r="K1183" t="s">
        <v>735</v>
      </c>
      <c r="L1183" t="s">
        <v>1629</v>
      </c>
    </row>
    <row r="1184" spans="1:12">
      <c r="A1184">
        <v>1182</v>
      </c>
      <c r="B1184" t="s">
        <v>3</v>
      </c>
      <c r="C1184" t="s">
        <v>736</v>
      </c>
      <c r="D1184">
        <v>2019</v>
      </c>
      <c r="E1184">
        <v>3</v>
      </c>
      <c r="F1184">
        <v>40</v>
      </c>
      <c r="G1184">
        <v>3</v>
      </c>
      <c r="H1184">
        <v>15</v>
      </c>
      <c r="I1184">
        <v>0</v>
      </c>
      <c r="J1184">
        <v>125.25</v>
      </c>
      <c r="K1184" t="s">
        <v>735</v>
      </c>
      <c r="L1184" t="s">
        <v>1603</v>
      </c>
    </row>
    <row r="1185" spans="1:12">
      <c r="A1185">
        <v>1183</v>
      </c>
      <c r="B1185" t="s">
        <v>3</v>
      </c>
      <c r="C1185" t="s">
        <v>736</v>
      </c>
      <c r="D1185">
        <v>2019</v>
      </c>
      <c r="E1185">
        <v>3</v>
      </c>
      <c r="F1185">
        <v>40</v>
      </c>
      <c r="G1185">
        <v>3</v>
      </c>
      <c r="H1185">
        <v>15</v>
      </c>
      <c r="I1185">
        <v>0</v>
      </c>
      <c r="J1185">
        <v>125.25</v>
      </c>
      <c r="K1185" t="s">
        <v>735</v>
      </c>
      <c r="L1185" t="s">
        <v>1604</v>
      </c>
    </row>
    <row r="1186" spans="1:12">
      <c r="A1186">
        <v>1184</v>
      </c>
      <c r="B1186" t="s">
        <v>3</v>
      </c>
      <c r="C1186" t="s">
        <v>736</v>
      </c>
      <c r="D1186">
        <v>2019</v>
      </c>
      <c r="E1186">
        <v>3</v>
      </c>
      <c r="F1186">
        <v>41</v>
      </c>
      <c r="G1186">
        <v>3</v>
      </c>
      <c r="H1186">
        <v>15</v>
      </c>
      <c r="I1186">
        <v>0</v>
      </c>
      <c r="J1186">
        <v>22.98</v>
      </c>
      <c r="K1186" t="s">
        <v>735</v>
      </c>
      <c r="L1186" t="s">
        <v>1605</v>
      </c>
    </row>
    <row r="1187" spans="1:12">
      <c r="A1187">
        <v>1185</v>
      </c>
      <c r="B1187" t="s">
        <v>3</v>
      </c>
      <c r="C1187" t="s">
        <v>736</v>
      </c>
      <c r="D1187">
        <v>2019</v>
      </c>
      <c r="E1187">
        <v>4</v>
      </c>
      <c r="F1187">
        <v>25</v>
      </c>
      <c r="G1187">
        <v>3</v>
      </c>
      <c r="H1187">
        <v>19</v>
      </c>
      <c r="I1187">
        <v>0</v>
      </c>
      <c r="J1187">
        <v>161.29</v>
      </c>
      <c r="K1187" t="s">
        <v>735</v>
      </c>
      <c r="L1187" t="s">
        <v>1632</v>
      </c>
    </row>
    <row r="1188" spans="1:12">
      <c r="A1188">
        <v>1186</v>
      </c>
      <c r="B1188" t="s">
        <v>3</v>
      </c>
      <c r="C1188" t="s">
        <v>736</v>
      </c>
      <c r="D1188">
        <v>2019</v>
      </c>
      <c r="E1188">
        <v>4</v>
      </c>
      <c r="F1188">
        <v>25</v>
      </c>
      <c r="G1188">
        <v>3</v>
      </c>
      <c r="H1188">
        <v>19</v>
      </c>
      <c r="I1188">
        <v>0</v>
      </c>
      <c r="J1188">
        <v>107.97999999999999</v>
      </c>
      <c r="K1188" t="s">
        <v>735</v>
      </c>
      <c r="L1188" t="s">
        <v>1668</v>
      </c>
    </row>
    <row r="1189" spans="1:12">
      <c r="A1189">
        <v>1187</v>
      </c>
      <c r="B1189" t="s">
        <v>3</v>
      </c>
      <c r="C1189" t="s">
        <v>736</v>
      </c>
      <c r="D1189">
        <v>2019</v>
      </c>
      <c r="E1189">
        <v>4</v>
      </c>
      <c r="F1189">
        <v>25</v>
      </c>
      <c r="G1189">
        <v>3</v>
      </c>
      <c r="H1189">
        <v>19</v>
      </c>
      <c r="I1189">
        <v>0</v>
      </c>
      <c r="J1189">
        <v>73.47</v>
      </c>
      <c r="K1189" t="s">
        <v>735</v>
      </c>
      <c r="L1189" t="s">
        <v>1669</v>
      </c>
    </row>
    <row r="1190" spans="1:12">
      <c r="A1190">
        <v>1188</v>
      </c>
      <c r="B1190" t="s">
        <v>3</v>
      </c>
      <c r="C1190" t="s">
        <v>736</v>
      </c>
      <c r="D1190">
        <v>2019</v>
      </c>
      <c r="E1190">
        <v>4</v>
      </c>
      <c r="F1190">
        <v>25</v>
      </c>
      <c r="G1190">
        <v>3</v>
      </c>
      <c r="H1190">
        <v>19</v>
      </c>
      <c r="I1190">
        <v>0</v>
      </c>
      <c r="J1190">
        <v>20</v>
      </c>
      <c r="K1190" t="s">
        <v>735</v>
      </c>
      <c r="L1190" t="s">
        <v>1686</v>
      </c>
    </row>
    <row r="1191" spans="1:12">
      <c r="A1191">
        <v>1189</v>
      </c>
      <c r="B1191" t="s">
        <v>3</v>
      </c>
      <c r="C1191" t="s">
        <v>736</v>
      </c>
      <c r="D1191">
        <v>2019</v>
      </c>
      <c r="E1191">
        <v>4</v>
      </c>
      <c r="F1191">
        <v>25</v>
      </c>
      <c r="G1191">
        <v>3</v>
      </c>
      <c r="H1191">
        <v>19</v>
      </c>
      <c r="I1191">
        <v>0</v>
      </c>
      <c r="J1191">
        <v>22.91</v>
      </c>
      <c r="K1191" t="s">
        <v>735</v>
      </c>
      <c r="L1191" t="s">
        <v>1679</v>
      </c>
    </row>
    <row r="1192" spans="1:12">
      <c r="A1192">
        <v>1190</v>
      </c>
      <c r="B1192" t="s">
        <v>3</v>
      </c>
      <c r="C1192" t="s">
        <v>736</v>
      </c>
      <c r="D1192">
        <v>2019</v>
      </c>
      <c r="E1192">
        <v>4</v>
      </c>
      <c r="F1192">
        <v>26</v>
      </c>
      <c r="G1192">
        <v>3</v>
      </c>
      <c r="H1192">
        <v>19</v>
      </c>
      <c r="I1192">
        <v>0</v>
      </c>
      <c r="J1192">
        <v>65.199999999999989</v>
      </c>
      <c r="K1192" t="s">
        <v>735</v>
      </c>
      <c r="L1192" t="s">
        <v>1622</v>
      </c>
    </row>
    <row r="1193" spans="1:12">
      <c r="A1193">
        <v>1191</v>
      </c>
      <c r="B1193" t="s">
        <v>3</v>
      </c>
      <c r="C1193" t="s">
        <v>736</v>
      </c>
      <c r="D1193">
        <v>2019</v>
      </c>
      <c r="E1193">
        <v>4</v>
      </c>
      <c r="F1193">
        <v>26</v>
      </c>
      <c r="G1193">
        <v>3</v>
      </c>
      <c r="H1193">
        <v>19</v>
      </c>
      <c r="I1193">
        <v>0</v>
      </c>
      <c r="J1193">
        <v>189.99</v>
      </c>
      <c r="K1193" t="s">
        <v>735</v>
      </c>
      <c r="L1193" t="s">
        <v>1647</v>
      </c>
    </row>
    <row r="1194" spans="1:12">
      <c r="A1194">
        <v>1192</v>
      </c>
      <c r="B1194" t="s">
        <v>3</v>
      </c>
      <c r="C1194" t="s">
        <v>736</v>
      </c>
      <c r="D1194">
        <v>2019</v>
      </c>
      <c r="E1194">
        <v>4</v>
      </c>
      <c r="F1194">
        <v>28</v>
      </c>
      <c r="G1194">
        <v>3</v>
      </c>
      <c r="H1194">
        <v>19</v>
      </c>
      <c r="I1194">
        <v>0</v>
      </c>
      <c r="J1194">
        <v>1078.5899999999999</v>
      </c>
      <c r="K1194" t="s">
        <v>735</v>
      </c>
      <c r="L1194" t="s">
        <v>1636</v>
      </c>
    </row>
    <row r="1195" spans="1:12">
      <c r="A1195">
        <v>1193</v>
      </c>
      <c r="B1195" t="s">
        <v>3</v>
      </c>
      <c r="C1195" t="s">
        <v>736</v>
      </c>
      <c r="D1195">
        <v>2019</v>
      </c>
      <c r="E1195">
        <v>4</v>
      </c>
      <c r="F1195">
        <v>28</v>
      </c>
      <c r="G1195">
        <v>3</v>
      </c>
      <c r="H1195">
        <v>19</v>
      </c>
      <c r="I1195">
        <v>0</v>
      </c>
      <c r="J1195">
        <v>683.24</v>
      </c>
      <c r="K1195" t="s">
        <v>735</v>
      </c>
      <c r="L1195" t="s">
        <v>1671</v>
      </c>
    </row>
    <row r="1196" spans="1:12">
      <c r="A1196">
        <v>1194</v>
      </c>
      <c r="B1196" t="s">
        <v>3</v>
      </c>
      <c r="C1196" t="s">
        <v>736</v>
      </c>
      <c r="D1196">
        <v>2019</v>
      </c>
      <c r="E1196">
        <v>4</v>
      </c>
      <c r="F1196">
        <v>29</v>
      </c>
      <c r="G1196">
        <v>3</v>
      </c>
      <c r="H1196">
        <v>19</v>
      </c>
      <c r="I1196">
        <v>0</v>
      </c>
      <c r="J1196">
        <v>126.55</v>
      </c>
      <c r="K1196" t="s">
        <v>735</v>
      </c>
      <c r="L1196" t="s">
        <v>1620</v>
      </c>
    </row>
    <row r="1197" spans="1:12">
      <c r="A1197">
        <v>1195</v>
      </c>
      <c r="B1197" t="s">
        <v>3</v>
      </c>
      <c r="C1197" t="s">
        <v>736</v>
      </c>
      <c r="D1197">
        <v>2019</v>
      </c>
      <c r="E1197">
        <v>4</v>
      </c>
      <c r="F1197">
        <v>29</v>
      </c>
      <c r="G1197">
        <v>3</v>
      </c>
      <c r="H1197">
        <v>19</v>
      </c>
      <c r="I1197">
        <v>0</v>
      </c>
      <c r="J1197">
        <v>283.97000000000003</v>
      </c>
      <c r="K1197" t="s">
        <v>735</v>
      </c>
      <c r="L1197" t="s">
        <v>1608</v>
      </c>
    </row>
    <row r="1198" spans="1:12">
      <c r="A1198">
        <v>1196</v>
      </c>
      <c r="B1198" t="s">
        <v>3</v>
      </c>
      <c r="C1198" t="s">
        <v>736</v>
      </c>
      <c r="D1198">
        <v>2019</v>
      </c>
      <c r="E1198">
        <v>4</v>
      </c>
      <c r="F1198">
        <v>40</v>
      </c>
      <c r="G1198">
        <v>3</v>
      </c>
      <c r="H1198">
        <v>19</v>
      </c>
      <c r="I1198">
        <v>0</v>
      </c>
      <c r="J1198">
        <v>95.079999999999984</v>
      </c>
      <c r="K1198" t="s">
        <v>735</v>
      </c>
      <c r="L1198" t="s">
        <v>1603</v>
      </c>
    </row>
    <row r="1199" spans="1:12">
      <c r="A1199">
        <v>1197</v>
      </c>
      <c r="B1199" t="s">
        <v>3</v>
      </c>
      <c r="C1199" t="s">
        <v>736</v>
      </c>
      <c r="D1199">
        <v>2019</v>
      </c>
      <c r="E1199">
        <v>4</v>
      </c>
      <c r="F1199">
        <v>40</v>
      </c>
      <c r="G1199">
        <v>3</v>
      </c>
      <c r="H1199">
        <v>19</v>
      </c>
      <c r="I1199">
        <v>0</v>
      </c>
      <c r="J1199">
        <v>95.09</v>
      </c>
      <c r="K1199" t="s">
        <v>735</v>
      </c>
      <c r="L1199" t="s">
        <v>1604</v>
      </c>
    </row>
    <row r="1200" spans="1:12">
      <c r="A1200">
        <v>1198</v>
      </c>
      <c r="B1200" t="s">
        <v>3</v>
      </c>
      <c r="C1200" t="s">
        <v>736</v>
      </c>
      <c r="D1200">
        <v>2019</v>
      </c>
      <c r="E1200">
        <v>4</v>
      </c>
      <c r="F1200">
        <v>41</v>
      </c>
      <c r="G1200">
        <v>3</v>
      </c>
      <c r="H1200">
        <v>19</v>
      </c>
      <c r="I1200">
        <v>0</v>
      </c>
      <c r="J1200">
        <v>17.45</v>
      </c>
      <c r="K1200" t="s">
        <v>735</v>
      </c>
      <c r="L1200" t="s">
        <v>1605</v>
      </c>
    </row>
    <row r="1201" spans="1:12">
      <c r="A1201">
        <v>1199</v>
      </c>
      <c r="B1201" t="s">
        <v>3</v>
      </c>
      <c r="C1201" t="s">
        <v>736</v>
      </c>
      <c r="D1201">
        <v>2019</v>
      </c>
      <c r="E1201">
        <v>4</v>
      </c>
      <c r="F1201">
        <v>45</v>
      </c>
      <c r="G1201">
        <v>3</v>
      </c>
      <c r="H1201">
        <v>19</v>
      </c>
      <c r="I1201">
        <v>0</v>
      </c>
      <c r="J1201">
        <v>1123.43</v>
      </c>
      <c r="K1201" t="s">
        <v>735</v>
      </c>
      <c r="L1201" t="s">
        <v>1606</v>
      </c>
    </row>
    <row r="1202" spans="1:12">
      <c r="A1202">
        <v>1200</v>
      </c>
      <c r="B1202" t="s">
        <v>3</v>
      </c>
      <c r="C1202" t="s">
        <v>736</v>
      </c>
      <c r="D1202">
        <v>2020</v>
      </c>
      <c r="E1202">
        <v>1</v>
      </c>
      <c r="F1202">
        <v>8</v>
      </c>
      <c r="G1202">
        <v>2</v>
      </c>
      <c r="H1202">
        <v>6</v>
      </c>
      <c r="I1202">
        <v>-21810</v>
      </c>
      <c r="J1202">
        <v>0</v>
      </c>
      <c r="K1202" t="s">
        <v>735</v>
      </c>
      <c r="L1202" t="s">
        <v>1599</v>
      </c>
    </row>
    <row r="1203" spans="1:12">
      <c r="A1203">
        <v>1201</v>
      </c>
      <c r="B1203" t="s">
        <v>3</v>
      </c>
      <c r="C1203" t="s">
        <v>736</v>
      </c>
      <c r="D1203">
        <v>2020</v>
      </c>
      <c r="E1203">
        <v>1</v>
      </c>
      <c r="F1203">
        <v>8</v>
      </c>
      <c r="G1203">
        <v>2</v>
      </c>
      <c r="H1203">
        <v>6</v>
      </c>
      <c r="I1203">
        <v>0</v>
      </c>
      <c r="J1203">
        <v>-10905</v>
      </c>
      <c r="K1203" t="s">
        <v>735</v>
      </c>
      <c r="L1203" t="s">
        <v>1611</v>
      </c>
    </row>
    <row r="1204" spans="1:12">
      <c r="A1204">
        <v>1202</v>
      </c>
      <c r="B1204" t="s">
        <v>3</v>
      </c>
      <c r="C1204" t="s">
        <v>736</v>
      </c>
      <c r="D1204">
        <v>2020</v>
      </c>
      <c r="E1204">
        <v>1</v>
      </c>
      <c r="F1204">
        <v>23</v>
      </c>
      <c r="G1204">
        <v>2</v>
      </c>
      <c r="H1204">
        <v>6</v>
      </c>
      <c r="I1204">
        <v>20254</v>
      </c>
      <c r="J1204">
        <v>0</v>
      </c>
      <c r="K1204" t="s">
        <v>735</v>
      </c>
      <c r="L1204" t="s">
        <v>1602</v>
      </c>
    </row>
    <row r="1205" spans="1:12">
      <c r="A1205">
        <v>1203</v>
      </c>
      <c r="B1205" t="s">
        <v>3</v>
      </c>
      <c r="C1205" t="s">
        <v>736</v>
      </c>
      <c r="D1205">
        <v>2020</v>
      </c>
      <c r="E1205">
        <v>1</v>
      </c>
      <c r="F1205">
        <v>25</v>
      </c>
      <c r="G1205">
        <v>2</v>
      </c>
      <c r="H1205">
        <v>6</v>
      </c>
      <c r="I1205">
        <v>0</v>
      </c>
      <c r="J1205">
        <v>728.13999999999987</v>
      </c>
      <c r="K1205" t="s">
        <v>735</v>
      </c>
      <c r="L1205" t="s">
        <v>1632</v>
      </c>
    </row>
    <row r="1206" spans="1:12">
      <c r="A1206">
        <v>1204</v>
      </c>
      <c r="B1206" t="s">
        <v>3</v>
      </c>
      <c r="C1206" t="s">
        <v>736</v>
      </c>
      <c r="D1206">
        <v>2020</v>
      </c>
      <c r="E1206">
        <v>1</v>
      </c>
      <c r="F1206">
        <v>25</v>
      </c>
      <c r="G1206">
        <v>2</v>
      </c>
      <c r="H1206">
        <v>6</v>
      </c>
      <c r="I1206">
        <v>0</v>
      </c>
      <c r="J1206">
        <v>55.71</v>
      </c>
      <c r="K1206" t="s">
        <v>735</v>
      </c>
      <c r="L1206" t="s">
        <v>1687</v>
      </c>
    </row>
    <row r="1207" spans="1:12">
      <c r="A1207">
        <v>1205</v>
      </c>
      <c r="B1207" t="s">
        <v>3</v>
      </c>
      <c r="C1207" t="s">
        <v>736</v>
      </c>
      <c r="D1207">
        <v>2020</v>
      </c>
      <c r="E1207">
        <v>1</v>
      </c>
      <c r="F1207">
        <v>25</v>
      </c>
      <c r="G1207">
        <v>2</v>
      </c>
      <c r="H1207">
        <v>6</v>
      </c>
      <c r="I1207">
        <v>0</v>
      </c>
      <c r="J1207">
        <v>0</v>
      </c>
      <c r="K1207" t="s">
        <v>735</v>
      </c>
      <c r="L1207" t="s">
        <v>1668</v>
      </c>
    </row>
    <row r="1208" spans="1:12">
      <c r="A1208">
        <v>1206</v>
      </c>
      <c r="B1208" t="s">
        <v>3</v>
      </c>
      <c r="C1208" t="s">
        <v>736</v>
      </c>
      <c r="D1208">
        <v>2020</v>
      </c>
      <c r="E1208">
        <v>1</v>
      </c>
      <c r="F1208">
        <v>25</v>
      </c>
      <c r="G1208">
        <v>2</v>
      </c>
      <c r="H1208">
        <v>6</v>
      </c>
      <c r="I1208">
        <v>0</v>
      </c>
      <c r="J1208">
        <v>27.49</v>
      </c>
      <c r="K1208" t="s">
        <v>735</v>
      </c>
      <c r="L1208" t="s">
        <v>1669</v>
      </c>
    </row>
    <row r="1209" spans="1:12">
      <c r="A1209">
        <v>1207</v>
      </c>
      <c r="B1209" t="s">
        <v>3</v>
      </c>
      <c r="C1209" t="s">
        <v>736</v>
      </c>
      <c r="D1209">
        <v>2020</v>
      </c>
      <c r="E1209">
        <v>1</v>
      </c>
      <c r="F1209">
        <v>25</v>
      </c>
      <c r="G1209">
        <v>2</v>
      </c>
      <c r="H1209">
        <v>6</v>
      </c>
      <c r="I1209">
        <v>0</v>
      </c>
      <c r="J1209">
        <v>59</v>
      </c>
      <c r="K1209" t="s">
        <v>735</v>
      </c>
      <c r="L1209" t="s">
        <v>1686</v>
      </c>
    </row>
    <row r="1210" spans="1:12">
      <c r="A1210">
        <v>1208</v>
      </c>
      <c r="B1210" t="s">
        <v>3</v>
      </c>
      <c r="C1210" t="s">
        <v>736</v>
      </c>
      <c r="D1210">
        <v>2020</v>
      </c>
      <c r="E1210">
        <v>1</v>
      </c>
      <c r="F1210">
        <v>25</v>
      </c>
      <c r="G1210">
        <v>2</v>
      </c>
      <c r="H1210">
        <v>6</v>
      </c>
      <c r="I1210">
        <v>0</v>
      </c>
      <c r="J1210">
        <v>380</v>
      </c>
      <c r="K1210" t="s">
        <v>735</v>
      </c>
      <c r="L1210" t="s">
        <v>1641</v>
      </c>
    </row>
    <row r="1211" spans="1:12">
      <c r="A1211">
        <v>1209</v>
      </c>
      <c r="B1211" t="s">
        <v>3</v>
      </c>
      <c r="C1211" t="s">
        <v>736</v>
      </c>
      <c r="D1211">
        <v>2020</v>
      </c>
      <c r="E1211">
        <v>1</v>
      </c>
      <c r="F1211">
        <v>26</v>
      </c>
      <c r="G1211">
        <v>2</v>
      </c>
      <c r="H1211">
        <v>6</v>
      </c>
      <c r="I1211">
        <v>0</v>
      </c>
      <c r="J1211">
        <v>174.55</v>
      </c>
      <c r="K1211" t="s">
        <v>735</v>
      </c>
      <c r="L1211" t="s">
        <v>1618</v>
      </c>
    </row>
    <row r="1212" spans="1:12">
      <c r="A1212">
        <v>1210</v>
      </c>
      <c r="B1212" t="s">
        <v>3</v>
      </c>
      <c r="C1212" t="s">
        <v>736</v>
      </c>
      <c r="D1212">
        <v>2020</v>
      </c>
      <c r="E1212">
        <v>1</v>
      </c>
      <c r="F1212">
        <v>28</v>
      </c>
      <c r="G1212">
        <v>2</v>
      </c>
      <c r="H1212">
        <v>6</v>
      </c>
      <c r="I1212">
        <v>0</v>
      </c>
      <c r="J1212">
        <v>602.02</v>
      </c>
      <c r="K1212" t="s">
        <v>735</v>
      </c>
      <c r="L1212" t="s">
        <v>1671</v>
      </c>
    </row>
    <row r="1213" spans="1:12">
      <c r="A1213">
        <v>1211</v>
      </c>
      <c r="B1213" t="s">
        <v>3</v>
      </c>
      <c r="C1213" t="s">
        <v>736</v>
      </c>
      <c r="D1213">
        <v>2020</v>
      </c>
      <c r="E1213">
        <v>1</v>
      </c>
      <c r="F1213">
        <v>29</v>
      </c>
      <c r="G1213">
        <v>2</v>
      </c>
      <c r="H1213">
        <v>6</v>
      </c>
      <c r="I1213">
        <v>0</v>
      </c>
      <c r="J1213">
        <v>2299.9</v>
      </c>
      <c r="K1213" t="s">
        <v>735</v>
      </c>
      <c r="L1213" t="s">
        <v>1673</v>
      </c>
    </row>
    <row r="1214" spans="1:12">
      <c r="A1214">
        <v>1212</v>
      </c>
      <c r="B1214" t="s">
        <v>3</v>
      </c>
      <c r="C1214" t="s">
        <v>736</v>
      </c>
      <c r="D1214">
        <v>2020</v>
      </c>
      <c r="E1214">
        <v>1</v>
      </c>
      <c r="F1214">
        <v>29</v>
      </c>
      <c r="G1214">
        <v>2</v>
      </c>
      <c r="H1214">
        <v>6</v>
      </c>
      <c r="I1214">
        <v>0</v>
      </c>
      <c r="J1214">
        <v>1768.8</v>
      </c>
      <c r="K1214" t="s">
        <v>735</v>
      </c>
      <c r="L1214" t="s">
        <v>1620</v>
      </c>
    </row>
    <row r="1215" spans="1:12">
      <c r="A1215">
        <v>1213</v>
      </c>
      <c r="B1215" t="s">
        <v>3</v>
      </c>
      <c r="C1215" t="s">
        <v>736</v>
      </c>
      <c r="D1215">
        <v>2020</v>
      </c>
      <c r="E1215">
        <v>1</v>
      </c>
      <c r="F1215">
        <v>29</v>
      </c>
      <c r="G1215">
        <v>2</v>
      </c>
      <c r="H1215">
        <v>6</v>
      </c>
      <c r="I1215">
        <v>0</v>
      </c>
      <c r="J1215">
        <v>327.9</v>
      </c>
      <c r="K1215" t="s">
        <v>735</v>
      </c>
      <c r="L1215" t="s">
        <v>1608</v>
      </c>
    </row>
    <row r="1216" spans="1:12">
      <c r="A1216">
        <v>1214</v>
      </c>
      <c r="B1216" t="s">
        <v>3</v>
      </c>
      <c r="C1216" t="s">
        <v>736</v>
      </c>
      <c r="D1216">
        <v>2020</v>
      </c>
      <c r="E1216">
        <v>1</v>
      </c>
      <c r="F1216">
        <v>29</v>
      </c>
      <c r="G1216">
        <v>2</v>
      </c>
      <c r="H1216">
        <v>6</v>
      </c>
      <c r="I1216">
        <v>0</v>
      </c>
      <c r="J1216">
        <v>0</v>
      </c>
      <c r="K1216" t="s">
        <v>735</v>
      </c>
      <c r="L1216" t="s">
        <v>1648</v>
      </c>
    </row>
    <row r="1217" spans="1:12">
      <c r="A1217">
        <v>1215</v>
      </c>
      <c r="B1217" t="s">
        <v>3</v>
      </c>
      <c r="C1217" t="s">
        <v>736</v>
      </c>
      <c r="D1217">
        <v>2020</v>
      </c>
      <c r="E1217">
        <v>1</v>
      </c>
      <c r="F1217">
        <v>40</v>
      </c>
      <c r="G1217">
        <v>2</v>
      </c>
      <c r="H1217">
        <v>6</v>
      </c>
      <c r="I1217">
        <v>1430</v>
      </c>
      <c r="J1217">
        <v>226.75</v>
      </c>
      <c r="K1217" t="s">
        <v>735</v>
      </c>
      <c r="L1217" t="s">
        <v>1603</v>
      </c>
    </row>
    <row r="1218" spans="1:12">
      <c r="A1218">
        <v>1216</v>
      </c>
      <c r="B1218" t="s">
        <v>3</v>
      </c>
      <c r="C1218" t="s">
        <v>736</v>
      </c>
      <c r="D1218">
        <v>2020</v>
      </c>
      <c r="E1218">
        <v>1</v>
      </c>
      <c r="F1218">
        <v>40</v>
      </c>
      <c r="G1218">
        <v>2</v>
      </c>
      <c r="H1218">
        <v>6</v>
      </c>
      <c r="I1218">
        <v>0</v>
      </c>
      <c r="J1218">
        <v>226.75</v>
      </c>
      <c r="K1218" t="s">
        <v>735</v>
      </c>
      <c r="L1218" t="s">
        <v>1604</v>
      </c>
    </row>
    <row r="1219" spans="1:12">
      <c r="A1219">
        <v>1217</v>
      </c>
      <c r="B1219" t="s">
        <v>3</v>
      </c>
      <c r="C1219" t="s">
        <v>736</v>
      </c>
      <c r="D1219">
        <v>2020</v>
      </c>
      <c r="E1219">
        <v>1</v>
      </c>
      <c r="F1219">
        <v>41</v>
      </c>
      <c r="G1219">
        <v>2</v>
      </c>
      <c r="H1219">
        <v>6</v>
      </c>
      <c r="I1219">
        <v>126</v>
      </c>
      <c r="J1219">
        <v>39.82</v>
      </c>
      <c r="K1219" t="s">
        <v>735</v>
      </c>
      <c r="L1219" t="s">
        <v>1605</v>
      </c>
    </row>
    <row r="1220" spans="1:12">
      <c r="A1220">
        <v>1218</v>
      </c>
      <c r="B1220" t="s">
        <v>3</v>
      </c>
      <c r="C1220" t="s">
        <v>736</v>
      </c>
      <c r="D1220">
        <v>2020</v>
      </c>
      <c r="E1220">
        <v>2</v>
      </c>
      <c r="F1220">
        <v>17</v>
      </c>
      <c r="G1220">
        <v>2</v>
      </c>
      <c r="H1220">
        <v>10</v>
      </c>
      <c r="I1220">
        <v>0</v>
      </c>
      <c r="J1220">
        <v>203</v>
      </c>
      <c r="K1220" t="s">
        <v>735</v>
      </c>
      <c r="L1220" t="s">
        <v>1600</v>
      </c>
    </row>
    <row r="1221" spans="1:12">
      <c r="A1221">
        <v>1219</v>
      </c>
      <c r="B1221" t="s">
        <v>3</v>
      </c>
      <c r="C1221" t="s">
        <v>736</v>
      </c>
      <c r="D1221">
        <v>2020</v>
      </c>
      <c r="E1221">
        <v>2</v>
      </c>
      <c r="F1221">
        <v>20</v>
      </c>
      <c r="G1221">
        <v>2</v>
      </c>
      <c r="H1221">
        <v>10</v>
      </c>
      <c r="I1221">
        <v>0</v>
      </c>
      <c r="J1221">
        <v>2.23</v>
      </c>
      <c r="K1221" t="s">
        <v>735</v>
      </c>
      <c r="L1221" t="s">
        <v>1601</v>
      </c>
    </row>
    <row r="1222" spans="1:12">
      <c r="A1222">
        <v>1220</v>
      </c>
      <c r="B1222" t="s">
        <v>3</v>
      </c>
      <c r="C1222" t="s">
        <v>736</v>
      </c>
      <c r="D1222">
        <v>2020</v>
      </c>
      <c r="E1222">
        <v>2</v>
      </c>
      <c r="F1222">
        <v>25</v>
      </c>
      <c r="G1222">
        <v>2</v>
      </c>
      <c r="H1222">
        <v>10</v>
      </c>
      <c r="I1222">
        <v>0</v>
      </c>
      <c r="J1222">
        <v>85.08</v>
      </c>
      <c r="K1222" t="s">
        <v>735</v>
      </c>
      <c r="L1222" t="s">
        <v>1632</v>
      </c>
    </row>
    <row r="1223" spans="1:12">
      <c r="A1223">
        <v>1221</v>
      </c>
      <c r="B1223" t="s">
        <v>3</v>
      </c>
      <c r="C1223" t="s">
        <v>736</v>
      </c>
      <c r="D1223">
        <v>2020</v>
      </c>
      <c r="E1223">
        <v>2</v>
      </c>
      <c r="F1223">
        <v>25</v>
      </c>
      <c r="G1223">
        <v>2</v>
      </c>
      <c r="H1223">
        <v>10</v>
      </c>
      <c r="I1223">
        <v>0</v>
      </c>
      <c r="J1223">
        <v>137.39999999999998</v>
      </c>
      <c r="K1223" t="s">
        <v>735</v>
      </c>
      <c r="L1223" t="s">
        <v>1687</v>
      </c>
    </row>
    <row r="1224" spans="1:12">
      <c r="A1224">
        <v>1222</v>
      </c>
      <c r="B1224" t="s">
        <v>3</v>
      </c>
      <c r="C1224" t="s">
        <v>736</v>
      </c>
      <c r="D1224">
        <v>2020</v>
      </c>
      <c r="E1224">
        <v>2</v>
      </c>
      <c r="F1224">
        <v>25</v>
      </c>
      <c r="G1224">
        <v>2</v>
      </c>
      <c r="H1224">
        <v>10</v>
      </c>
      <c r="I1224">
        <v>0</v>
      </c>
      <c r="J1224">
        <v>77.05</v>
      </c>
      <c r="K1224" t="s">
        <v>735</v>
      </c>
      <c r="L1224" t="s">
        <v>1669</v>
      </c>
    </row>
    <row r="1225" spans="1:12">
      <c r="A1225">
        <v>1223</v>
      </c>
      <c r="B1225" t="s">
        <v>3</v>
      </c>
      <c r="C1225" t="s">
        <v>736</v>
      </c>
      <c r="D1225">
        <v>2020</v>
      </c>
      <c r="E1225">
        <v>2</v>
      </c>
      <c r="F1225">
        <v>25</v>
      </c>
      <c r="G1225">
        <v>2</v>
      </c>
      <c r="H1225">
        <v>10</v>
      </c>
      <c r="I1225">
        <v>0</v>
      </c>
      <c r="J1225">
        <v>20</v>
      </c>
      <c r="K1225" t="s">
        <v>735</v>
      </c>
      <c r="L1225" t="s">
        <v>1678</v>
      </c>
    </row>
    <row r="1226" spans="1:12">
      <c r="A1226">
        <v>1224</v>
      </c>
      <c r="B1226" t="s">
        <v>3</v>
      </c>
      <c r="C1226" t="s">
        <v>736</v>
      </c>
      <c r="D1226">
        <v>2020</v>
      </c>
      <c r="E1226">
        <v>2</v>
      </c>
      <c r="F1226">
        <v>25</v>
      </c>
      <c r="G1226">
        <v>2</v>
      </c>
      <c r="H1226">
        <v>10</v>
      </c>
      <c r="I1226">
        <v>0</v>
      </c>
      <c r="J1226">
        <v>216</v>
      </c>
      <c r="K1226" t="s">
        <v>735</v>
      </c>
      <c r="L1226" t="s">
        <v>1685</v>
      </c>
    </row>
    <row r="1227" spans="1:12">
      <c r="A1227">
        <v>1225</v>
      </c>
      <c r="B1227" t="s">
        <v>3</v>
      </c>
      <c r="C1227" t="s">
        <v>736</v>
      </c>
      <c r="D1227">
        <v>2020</v>
      </c>
      <c r="E1227">
        <v>2</v>
      </c>
      <c r="F1227">
        <v>26</v>
      </c>
      <c r="G1227">
        <v>2</v>
      </c>
      <c r="H1227">
        <v>10</v>
      </c>
      <c r="I1227">
        <v>0</v>
      </c>
      <c r="J1227">
        <v>337.19</v>
      </c>
      <c r="K1227" t="s">
        <v>735</v>
      </c>
      <c r="L1227" t="s">
        <v>1622</v>
      </c>
    </row>
    <row r="1228" spans="1:12">
      <c r="A1228">
        <v>1226</v>
      </c>
      <c r="B1228" t="s">
        <v>3</v>
      </c>
      <c r="C1228" t="s">
        <v>736</v>
      </c>
      <c r="D1228">
        <v>2020</v>
      </c>
      <c r="E1228">
        <v>2</v>
      </c>
      <c r="F1228">
        <v>26</v>
      </c>
      <c r="G1228">
        <v>2</v>
      </c>
      <c r="H1228">
        <v>10</v>
      </c>
      <c r="I1228">
        <v>0</v>
      </c>
      <c r="J1228">
        <v>222.49</v>
      </c>
      <c r="K1228" t="s">
        <v>735</v>
      </c>
      <c r="L1228" t="s">
        <v>1618</v>
      </c>
    </row>
    <row r="1229" spans="1:12">
      <c r="A1229">
        <v>1227</v>
      </c>
      <c r="B1229" t="s">
        <v>3</v>
      </c>
      <c r="C1229" t="s">
        <v>736</v>
      </c>
      <c r="D1229">
        <v>2020</v>
      </c>
      <c r="E1229">
        <v>2</v>
      </c>
      <c r="F1229">
        <v>26</v>
      </c>
      <c r="G1229">
        <v>2</v>
      </c>
      <c r="H1229">
        <v>10</v>
      </c>
      <c r="I1229">
        <v>0</v>
      </c>
      <c r="J1229">
        <v>195.91</v>
      </c>
      <c r="K1229" t="s">
        <v>735</v>
      </c>
      <c r="L1229" t="s">
        <v>1619</v>
      </c>
    </row>
    <row r="1230" spans="1:12">
      <c r="A1230">
        <v>1228</v>
      </c>
      <c r="B1230" t="s">
        <v>3</v>
      </c>
      <c r="C1230" t="s">
        <v>736</v>
      </c>
      <c r="D1230">
        <v>2020</v>
      </c>
      <c r="E1230">
        <v>2</v>
      </c>
      <c r="F1230">
        <v>27</v>
      </c>
      <c r="G1230">
        <v>2</v>
      </c>
      <c r="H1230">
        <v>10</v>
      </c>
      <c r="I1230">
        <v>0</v>
      </c>
      <c r="J1230">
        <v>26.75</v>
      </c>
      <c r="K1230" t="s">
        <v>735</v>
      </c>
      <c r="L1230" t="s">
        <v>1626</v>
      </c>
    </row>
    <row r="1231" spans="1:12">
      <c r="A1231">
        <v>1229</v>
      </c>
      <c r="B1231" t="s">
        <v>3</v>
      </c>
      <c r="C1231" t="s">
        <v>736</v>
      </c>
      <c r="D1231">
        <v>2020</v>
      </c>
      <c r="E1231">
        <v>2</v>
      </c>
      <c r="F1231">
        <v>28</v>
      </c>
      <c r="G1231">
        <v>2</v>
      </c>
      <c r="H1231">
        <v>10</v>
      </c>
      <c r="I1231">
        <v>0</v>
      </c>
      <c r="J1231">
        <v>135.39999999999998</v>
      </c>
      <c r="K1231" t="s">
        <v>735</v>
      </c>
      <c r="L1231" t="s">
        <v>1636</v>
      </c>
    </row>
    <row r="1232" spans="1:12">
      <c r="A1232">
        <v>1230</v>
      </c>
      <c r="B1232" t="s">
        <v>3</v>
      </c>
      <c r="C1232" t="s">
        <v>736</v>
      </c>
      <c r="D1232">
        <v>2020</v>
      </c>
      <c r="E1232">
        <v>2</v>
      </c>
      <c r="F1232">
        <v>28</v>
      </c>
      <c r="G1232">
        <v>2</v>
      </c>
      <c r="H1232">
        <v>10</v>
      </c>
      <c r="I1232">
        <v>0</v>
      </c>
      <c r="J1232">
        <v>621.54</v>
      </c>
      <c r="K1232" t="s">
        <v>735</v>
      </c>
      <c r="L1232" t="s">
        <v>1671</v>
      </c>
    </row>
    <row r="1233" spans="1:12">
      <c r="A1233">
        <v>1231</v>
      </c>
      <c r="B1233" t="s">
        <v>3</v>
      </c>
      <c r="C1233" t="s">
        <v>736</v>
      </c>
      <c r="D1233">
        <v>2020</v>
      </c>
      <c r="E1233">
        <v>2</v>
      </c>
      <c r="F1233">
        <v>29</v>
      </c>
      <c r="G1233">
        <v>2</v>
      </c>
      <c r="H1233">
        <v>10</v>
      </c>
      <c r="I1233">
        <v>0</v>
      </c>
      <c r="J1233">
        <v>919.96</v>
      </c>
      <c r="K1233" t="s">
        <v>735</v>
      </c>
      <c r="L1233" t="s">
        <v>1673</v>
      </c>
    </row>
    <row r="1234" spans="1:12">
      <c r="A1234">
        <v>1232</v>
      </c>
      <c r="B1234" t="s">
        <v>3</v>
      </c>
      <c r="C1234" t="s">
        <v>736</v>
      </c>
      <c r="D1234">
        <v>2020</v>
      </c>
      <c r="E1234">
        <v>2</v>
      </c>
      <c r="F1234">
        <v>29</v>
      </c>
      <c r="G1234">
        <v>2</v>
      </c>
      <c r="H1234">
        <v>10</v>
      </c>
      <c r="I1234">
        <v>0</v>
      </c>
      <c r="J1234">
        <v>404.36</v>
      </c>
      <c r="K1234" t="s">
        <v>735</v>
      </c>
      <c r="L1234" t="s">
        <v>1620</v>
      </c>
    </row>
    <row r="1235" spans="1:12">
      <c r="A1235">
        <v>1233</v>
      </c>
      <c r="B1235" t="s">
        <v>3</v>
      </c>
      <c r="C1235" t="s">
        <v>736</v>
      </c>
      <c r="D1235">
        <v>2020</v>
      </c>
      <c r="E1235">
        <v>2</v>
      </c>
      <c r="F1235">
        <v>29</v>
      </c>
      <c r="G1235">
        <v>2</v>
      </c>
      <c r="H1235">
        <v>10</v>
      </c>
      <c r="I1235">
        <v>0</v>
      </c>
      <c r="J1235">
        <v>505.77</v>
      </c>
      <c r="K1235" t="s">
        <v>735</v>
      </c>
      <c r="L1235" t="s">
        <v>1608</v>
      </c>
    </row>
    <row r="1236" spans="1:12">
      <c r="A1236">
        <v>1234</v>
      </c>
      <c r="B1236" t="s">
        <v>3</v>
      </c>
      <c r="C1236" t="s">
        <v>736</v>
      </c>
      <c r="D1236">
        <v>2020</v>
      </c>
      <c r="E1236">
        <v>2</v>
      </c>
      <c r="F1236">
        <v>29</v>
      </c>
      <c r="G1236">
        <v>2</v>
      </c>
      <c r="H1236">
        <v>10</v>
      </c>
      <c r="I1236">
        <v>0</v>
      </c>
      <c r="J1236">
        <v>0</v>
      </c>
      <c r="K1236" t="s">
        <v>735</v>
      </c>
      <c r="L1236" t="s">
        <v>1648</v>
      </c>
    </row>
    <row r="1237" spans="1:12">
      <c r="A1237">
        <v>1235</v>
      </c>
      <c r="B1237" t="s">
        <v>3</v>
      </c>
      <c r="C1237" t="s">
        <v>736</v>
      </c>
      <c r="D1237">
        <v>2020</v>
      </c>
      <c r="E1237">
        <v>2</v>
      </c>
      <c r="F1237">
        <v>33</v>
      </c>
      <c r="G1237">
        <v>2</v>
      </c>
      <c r="H1237">
        <v>10</v>
      </c>
      <c r="I1237">
        <v>0</v>
      </c>
      <c r="J1237">
        <v>3585</v>
      </c>
      <c r="K1237" t="s">
        <v>735</v>
      </c>
      <c r="L1237" t="s">
        <v>1624</v>
      </c>
    </row>
    <row r="1238" spans="1:12">
      <c r="A1238">
        <v>1236</v>
      </c>
      <c r="B1238" t="s">
        <v>3</v>
      </c>
      <c r="C1238" t="s">
        <v>736</v>
      </c>
      <c r="D1238">
        <v>2020</v>
      </c>
      <c r="E1238">
        <v>2</v>
      </c>
      <c r="F1238">
        <v>40</v>
      </c>
      <c r="G1238">
        <v>2</v>
      </c>
      <c r="H1238">
        <v>10</v>
      </c>
      <c r="I1238">
        <v>0</v>
      </c>
      <c r="J1238">
        <v>271.64</v>
      </c>
      <c r="K1238" t="s">
        <v>735</v>
      </c>
      <c r="L1238" t="s">
        <v>1603</v>
      </c>
    </row>
    <row r="1239" spans="1:12">
      <c r="A1239">
        <v>1237</v>
      </c>
      <c r="B1239" t="s">
        <v>3</v>
      </c>
      <c r="C1239" t="s">
        <v>736</v>
      </c>
      <c r="D1239">
        <v>2020</v>
      </c>
      <c r="E1239">
        <v>2</v>
      </c>
      <c r="F1239">
        <v>40</v>
      </c>
      <c r="G1239">
        <v>2</v>
      </c>
      <c r="H1239">
        <v>10</v>
      </c>
      <c r="I1239">
        <v>0</v>
      </c>
      <c r="J1239">
        <v>271.64</v>
      </c>
      <c r="K1239" t="s">
        <v>735</v>
      </c>
      <c r="L1239" t="s">
        <v>1604</v>
      </c>
    </row>
    <row r="1240" spans="1:12">
      <c r="A1240">
        <v>1238</v>
      </c>
      <c r="B1240" t="s">
        <v>3</v>
      </c>
      <c r="C1240" t="s">
        <v>736</v>
      </c>
      <c r="D1240">
        <v>2020</v>
      </c>
      <c r="E1240">
        <v>2</v>
      </c>
      <c r="F1240">
        <v>41</v>
      </c>
      <c r="G1240">
        <v>2</v>
      </c>
      <c r="H1240">
        <v>10</v>
      </c>
      <c r="I1240">
        <v>0</v>
      </c>
      <c r="J1240">
        <v>47.709999999999994</v>
      </c>
      <c r="K1240" t="s">
        <v>735</v>
      </c>
      <c r="L1240" t="s">
        <v>1605</v>
      </c>
    </row>
    <row r="1241" spans="1:12">
      <c r="A1241">
        <v>1239</v>
      </c>
      <c r="B1241" t="s">
        <v>3</v>
      </c>
      <c r="C1241" t="s">
        <v>736</v>
      </c>
      <c r="D1241">
        <v>2020</v>
      </c>
      <c r="E1241">
        <v>3</v>
      </c>
      <c r="F1241">
        <v>8</v>
      </c>
      <c r="G1241">
        <v>2</v>
      </c>
      <c r="H1241">
        <v>14</v>
      </c>
      <c r="I1241">
        <v>0</v>
      </c>
      <c r="J1241">
        <v>-10905</v>
      </c>
      <c r="K1241" t="s">
        <v>735</v>
      </c>
      <c r="L1241" t="s">
        <v>1611</v>
      </c>
    </row>
    <row r="1242" spans="1:12">
      <c r="A1242">
        <v>1240</v>
      </c>
      <c r="B1242" t="s">
        <v>3</v>
      </c>
      <c r="C1242" t="s">
        <v>736</v>
      </c>
      <c r="D1242">
        <v>2020</v>
      </c>
      <c r="E1242">
        <v>3</v>
      </c>
      <c r="F1242">
        <v>25</v>
      </c>
      <c r="G1242">
        <v>2</v>
      </c>
      <c r="H1242">
        <v>14</v>
      </c>
      <c r="I1242">
        <v>0</v>
      </c>
      <c r="J1242">
        <v>59.199999999999996</v>
      </c>
      <c r="K1242" t="s">
        <v>735</v>
      </c>
      <c r="L1242" t="s">
        <v>1632</v>
      </c>
    </row>
    <row r="1243" spans="1:12">
      <c r="A1243">
        <v>1241</v>
      </c>
      <c r="B1243" t="s">
        <v>3</v>
      </c>
      <c r="C1243" t="s">
        <v>736</v>
      </c>
      <c r="D1243">
        <v>2020</v>
      </c>
      <c r="E1243">
        <v>3</v>
      </c>
      <c r="F1243">
        <v>25</v>
      </c>
      <c r="G1243">
        <v>2</v>
      </c>
      <c r="H1243">
        <v>14</v>
      </c>
      <c r="I1243">
        <v>0</v>
      </c>
      <c r="J1243">
        <v>218.10000000000002</v>
      </c>
      <c r="K1243" t="s">
        <v>735</v>
      </c>
      <c r="L1243" t="s">
        <v>1687</v>
      </c>
    </row>
    <row r="1244" spans="1:12">
      <c r="A1244">
        <v>1242</v>
      </c>
      <c r="B1244" t="s">
        <v>3</v>
      </c>
      <c r="C1244" t="s">
        <v>736</v>
      </c>
      <c r="D1244">
        <v>2020</v>
      </c>
      <c r="E1244">
        <v>3</v>
      </c>
      <c r="F1244">
        <v>26</v>
      </c>
      <c r="G1244">
        <v>2</v>
      </c>
      <c r="H1244">
        <v>14</v>
      </c>
      <c r="I1244">
        <v>0</v>
      </c>
      <c r="J1244">
        <v>1314.35</v>
      </c>
      <c r="K1244" t="s">
        <v>735</v>
      </c>
      <c r="L1244" t="s">
        <v>1622</v>
      </c>
    </row>
    <row r="1245" spans="1:12">
      <c r="A1245">
        <v>1243</v>
      </c>
      <c r="B1245" t="s">
        <v>3</v>
      </c>
      <c r="C1245" t="s">
        <v>736</v>
      </c>
      <c r="D1245">
        <v>2020</v>
      </c>
      <c r="E1245">
        <v>3</v>
      </c>
      <c r="F1245">
        <v>26</v>
      </c>
      <c r="G1245">
        <v>2</v>
      </c>
      <c r="H1245">
        <v>14</v>
      </c>
      <c r="I1245">
        <v>0</v>
      </c>
      <c r="J1245">
        <v>209.02</v>
      </c>
      <c r="K1245" t="s">
        <v>735</v>
      </c>
      <c r="L1245" t="s">
        <v>1647</v>
      </c>
    </row>
    <row r="1246" spans="1:12">
      <c r="A1246">
        <v>1244</v>
      </c>
      <c r="B1246" t="s">
        <v>3</v>
      </c>
      <c r="C1246" t="s">
        <v>736</v>
      </c>
      <c r="D1246">
        <v>2020</v>
      </c>
      <c r="E1246">
        <v>3</v>
      </c>
      <c r="F1246">
        <v>26</v>
      </c>
      <c r="G1246">
        <v>2</v>
      </c>
      <c r="H1246">
        <v>14</v>
      </c>
      <c r="I1246">
        <v>0</v>
      </c>
      <c r="J1246">
        <v>213</v>
      </c>
      <c r="K1246" t="s">
        <v>735</v>
      </c>
      <c r="L1246" t="s">
        <v>1618</v>
      </c>
    </row>
    <row r="1247" spans="1:12">
      <c r="A1247">
        <v>1245</v>
      </c>
      <c r="B1247" t="s">
        <v>3</v>
      </c>
      <c r="C1247" t="s">
        <v>736</v>
      </c>
      <c r="D1247">
        <v>2020</v>
      </c>
      <c r="E1247">
        <v>3</v>
      </c>
      <c r="F1247">
        <v>26</v>
      </c>
      <c r="G1247">
        <v>2</v>
      </c>
      <c r="H1247">
        <v>14</v>
      </c>
      <c r="I1247">
        <v>0</v>
      </c>
      <c r="J1247">
        <v>327</v>
      </c>
      <c r="K1247" t="s">
        <v>735</v>
      </c>
      <c r="L1247" t="s">
        <v>1619</v>
      </c>
    </row>
    <row r="1248" spans="1:12">
      <c r="A1248">
        <v>1246</v>
      </c>
      <c r="B1248" t="s">
        <v>3</v>
      </c>
      <c r="C1248" t="s">
        <v>736</v>
      </c>
      <c r="D1248">
        <v>2020</v>
      </c>
      <c r="E1248">
        <v>3</v>
      </c>
      <c r="F1248">
        <v>28</v>
      </c>
      <c r="G1248">
        <v>2</v>
      </c>
      <c r="H1248">
        <v>14</v>
      </c>
      <c r="I1248">
        <v>0</v>
      </c>
      <c r="J1248">
        <v>608.42000000000007</v>
      </c>
      <c r="K1248" t="s">
        <v>735</v>
      </c>
      <c r="L1248" t="s">
        <v>1671</v>
      </c>
    </row>
    <row r="1249" spans="1:12">
      <c r="A1249">
        <v>1247</v>
      </c>
      <c r="B1249" t="s">
        <v>3</v>
      </c>
      <c r="C1249" t="s">
        <v>736</v>
      </c>
      <c r="D1249">
        <v>2020</v>
      </c>
      <c r="E1249">
        <v>3</v>
      </c>
      <c r="F1249">
        <v>29</v>
      </c>
      <c r="G1249">
        <v>2</v>
      </c>
      <c r="H1249">
        <v>14</v>
      </c>
      <c r="I1249">
        <v>0</v>
      </c>
      <c r="J1249">
        <v>31.89</v>
      </c>
      <c r="K1249" t="s">
        <v>735</v>
      </c>
      <c r="L1249" t="s">
        <v>1608</v>
      </c>
    </row>
    <row r="1250" spans="1:12">
      <c r="A1250">
        <v>1248</v>
      </c>
      <c r="B1250" t="s">
        <v>3</v>
      </c>
      <c r="C1250" t="s">
        <v>736</v>
      </c>
      <c r="D1250">
        <v>2020</v>
      </c>
      <c r="E1250">
        <v>3</v>
      </c>
      <c r="F1250">
        <v>29</v>
      </c>
      <c r="G1250">
        <v>2</v>
      </c>
      <c r="H1250">
        <v>14</v>
      </c>
      <c r="I1250">
        <v>0</v>
      </c>
      <c r="J1250">
        <v>0</v>
      </c>
      <c r="K1250" t="s">
        <v>735</v>
      </c>
      <c r="L1250" t="s">
        <v>1648</v>
      </c>
    </row>
    <row r="1251" spans="1:12">
      <c r="A1251">
        <v>1249</v>
      </c>
      <c r="B1251" t="s">
        <v>3</v>
      </c>
      <c r="C1251" t="s">
        <v>736</v>
      </c>
      <c r="D1251">
        <v>2020</v>
      </c>
      <c r="E1251">
        <v>3</v>
      </c>
      <c r="F1251">
        <v>33</v>
      </c>
      <c r="G1251">
        <v>2</v>
      </c>
      <c r="H1251">
        <v>14</v>
      </c>
      <c r="I1251">
        <v>0</v>
      </c>
      <c r="J1251">
        <v>-1436.62</v>
      </c>
      <c r="K1251" t="s">
        <v>735</v>
      </c>
      <c r="L1251" t="s">
        <v>1624</v>
      </c>
    </row>
    <row r="1252" spans="1:12">
      <c r="A1252">
        <v>1250</v>
      </c>
      <c r="B1252" t="s">
        <v>3</v>
      </c>
      <c r="C1252" t="s">
        <v>736</v>
      </c>
      <c r="D1252">
        <v>2020</v>
      </c>
      <c r="E1252">
        <v>3</v>
      </c>
      <c r="F1252">
        <v>40</v>
      </c>
      <c r="G1252">
        <v>2</v>
      </c>
      <c r="H1252">
        <v>14</v>
      </c>
      <c r="I1252">
        <v>0</v>
      </c>
      <c r="J1252">
        <v>54.510000000000005</v>
      </c>
      <c r="K1252" t="s">
        <v>735</v>
      </c>
      <c r="L1252" t="s">
        <v>1603</v>
      </c>
    </row>
    <row r="1253" spans="1:12">
      <c r="A1253">
        <v>1251</v>
      </c>
      <c r="B1253" t="s">
        <v>3</v>
      </c>
      <c r="C1253" t="s">
        <v>736</v>
      </c>
      <c r="D1253">
        <v>2020</v>
      </c>
      <c r="E1253">
        <v>3</v>
      </c>
      <c r="F1253">
        <v>40</v>
      </c>
      <c r="G1253">
        <v>2</v>
      </c>
      <c r="H1253">
        <v>14</v>
      </c>
      <c r="I1253">
        <v>0</v>
      </c>
      <c r="J1253">
        <v>54.519999999999996</v>
      </c>
      <c r="K1253" t="s">
        <v>735</v>
      </c>
      <c r="L1253" t="s">
        <v>1604</v>
      </c>
    </row>
    <row r="1254" spans="1:12">
      <c r="A1254">
        <v>1252</v>
      </c>
      <c r="B1254" t="s">
        <v>3</v>
      </c>
      <c r="C1254" t="s">
        <v>736</v>
      </c>
      <c r="D1254">
        <v>2020</v>
      </c>
      <c r="E1254">
        <v>3</v>
      </c>
      <c r="F1254">
        <v>41</v>
      </c>
      <c r="G1254">
        <v>2</v>
      </c>
      <c r="H1254">
        <v>14</v>
      </c>
      <c r="I1254">
        <v>0</v>
      </c>
      <c r="J1254">
        <v>9.58</v>
      </c>
      <c r="K1254" t="s">
        <v>735</v>
      </c>
      <c r="L1254" t="s">
        <v>1605</v>
      </c>
    </row>
    <row r="1255" spans="1:12">
      <c r="A1255">
        <v>1253</v>
      </c>
      <c r="B1255" t="s">
        <v>3</v>
      </c>
      <c r="C1255" t="s">
        <v>736</v>
      </c>
      <c r="D1255">
        <v>2020</v>
      </c>
      <c r="E1255">
        <v>4</v>
      </c>
      <c r="F1255">
        <v>17</v>
      </c>
      <c r="G1255">
        <v>2</v>
      </c>
      <c r="H1255">
        <v>18</v>
      </c>
      <c r="I1255">
        <v>0</v>
      </c>
      <c r="J1255">
        <v>-203</v>
      </c>
      <c r="K1255" t="s">
        <v>735</v>
      </c>
      <c r="L1255" t="s">
        <v>1600</v>
      </c>
    </row>
    <row r="1256" spans="1:12">
      <c r="A1256">
        <v>1254</v>
      </c>
      <c r="B1256" t="s">
        <v>3</v>
      </c>
      <c r="C1256" t="s">
        <v>736</v>
      </c>
      <c r="D1256">
        <v>2020</v>
      </c>
      <c r="E1256">
        <v>4</v>
      </c>
      <c r="F1256">
        <v>20</v>
      </c>
      <c r="G1256">
        <v>2</v>
      </c>
      <c r="H1256">
        <v>18</v>
      </c>
      <c r="I1256">
        <v>0</v>
      </c>
      <c r="J1256">
        <v>-2.23</v>
      </c>
      <c r="K1256" t="s">
        <v>735</v>
      </c>
      <c r="L1256" t="s">
        <v>1601</v>
      </c>
    </row>
    <row r="1257" spans="1:12">
      <c r="A1257">
        <v>1255</v>
      </c>
      <c r="B1257" t="s">
        <v>3</v>
      </c>
      <c r="C1257" t="s">
        <v>736</v>
      </c>
      <c r="D1257">
        <v>2020</v>
      </c>
      <c r="E1257">
        <v>4</v>
      </c>
      <c r="F1257">
        <v>25</v>
      </c>
      <c r="G1257">
        <v>2</v>
      </c>
      <c r="H1257">
        <v>18</v>
      </c>
      <c r="I1257">
        <v>0</v>
      </c>
      <c r="J1257">
        <v>44</v>
      </c>
      <c r="K1257" t="s">
        <v>735</v>
      </c>
      <c r="L1257" t="s">
        <v>1687</v>
      </c>
    </row>
    <row r="1258" spans="1:12">
      <c r="A1258">
        <v>1256</v>
      </c>
      <c r="B1258" t="s">
        <v>3</v>
      </c>
      <c r="C1258" t="s">
        <v>736</v>
      </c>
      <c r="D1258">
        <v>2020</v>
      </c>
      <c r="E1258">
        <v>4</v>
      </c>
      <c r="F1258">
        <v>26</v>
      </c>
      <c r="G1258">
        <v>2</v>
      </c>
      <c r="H1258">
        <v>18</v>
      </c>
      <c r="I1258">
        <v>0</v>
      </c>
      <c r="J1258">
        <v>360</v>
      </c>
      <c r="K1258" t="s">
        <v>735</v>
      </c>
      <c r="L1258" t="s">
        <v>1622</v>
      </c>
    </row>
    <row r="1259" spans="1:12">
      <c r="A1259">
        <v>1257</v>
      </c>
      <c r="B1259" t="s">
        <v>3</v>
      </c>
      <c r="C1259" t="s">
        <v>736</v>
      </c>
      <c r="D1259">
        <v>2020</v>
      </c>
      <c r="E1259">
        <v>4</v>
      </c>
      <c r="F1259">
        <v>26</v>
      </c>
      <c r="G1259">
        <v>2</v>
      </c>
      <c r="H1259">
        <v>18</v>
      </c>
      <c r="I1259">
        <v>0</v>
      </c>
      <c r="J1259">
        <v>34.26</v>
      </c>
      <c r="K1259" t="s">
        <v>735</v>
      </c>
      <c r="L1259" t="s">
        <v>1619</v>
      </c>
    </row>
    <row r="1260" spans="1:12">
      <c r="A1260">
        <v>1258</v>
      </c>
      <c r="B1260" t="s">
        <v>3</v>
      </c>
      <c r="C1260" t="s">
        <v>736</v>
      </c>
      <c r="D1260">
        <v>2020</v>
      </c>
      <c r="E1260">
        <v>4</v>
      </c>
      <c r="F1260">
        <v>28</v>
      </c>
      <c r="G1260">
        <v>2</v>
      </c>
      <c r="H1260">
        <v>18</v>
      </c>
      <c r="I1260">
        <v>0</v>
      </c>
      <c r="J1260">
        <v>311.14</v>
      </c>
      <c r="K1260" t="s">
        <v>735</v>
      </c>
      <c r="L1260" t="s">
        <v>1671</v>
      </c>
    </row>
    <row r="1261" spans="1:12">
      <c r="A1261">
        <v>1259</v>
      </c>
      <c r="B1261" t="s">
        <v>3</v>
      </c>
      <c r="C1261" t="s">
        <v>736</v>
      </c>
      <c r="D1261">
        <v>2020</v>
      </c>
      <c r="E1261">
        <v>4</v>
      </c>
      <c r="F1261">
        <v>29</v>
      </c>
      <c r="G1261">
        <v>2</v>
      </c>
      <c r="H1261">
        <v>18</v>
      </c>
      <c r="I1261">
        <v>0</v>
      </c>
      <c r="J1261">
        <v>0</v>
      </c>
      <c r="K1261" t="s">
        <v>735</v>
      </c>
      <c r="L1261" t="s">
        <v>1648</v>
      </c>
    </row>
    <row r="1262" spans="1:12">
      <c r="A1262">
        <v>1260</v>
      </c>
      <c r="B1262" t="s">
        <v>3</v>
      </c>
      <c r="C1262" t="s">
        <v>736</v>
      </c>
      <c r="D1262">
        <v>2020</v>
      </c>
      <c r="E1262">
        <v>4</v>
      </c>
      <c r="F1262">
        <v>40</v>
      </c>
      <c r="G1262">
        <v>2</v>
      </c>
      <c r="H1262">
        <v>18</v>
      </c>
      <c r="I1262">
        <v>0</v>
      </c>
      <c r="J1262">
        <v>19.209999999999997</v>
      </c>
      <c r="K1262" t="s">
        <v>735</v>
      </c>
      <c r="L1262" t="s">
        <v>1603</v>
      </c>
    </row>
    <row r="1263" spans="1:12">
      <c r="A1263">
        <v>1261</v>
      </c>
      <c r="B1263" t="s">
        <v>3</v>
      </c>
      <c r="C1263" t="s">
        <v>736</v>
      </c>
      <c r="D1263">
        <v>2020</v>
      </c>
      <c r="E1263">
        <v>4</v>
      </c>
      <c r="F1263">
        <v>40</v>
      </c>
      <c r="G1263">
        <v>2</v>
      </c>
      <c r="H1263">
        <v>18</v>
      </c>
      <c r="I1263">
        <v>0</v>
      </c>
      <c r="J1263">
        <v>19.21</v>
      </c>
      <c r="K1263" t="s">
        <v>735</v>
      </c>
      <c r="L1263" t="s">
        <v>1604</v>
      </c>
    </row>
    <row r="1264" spans="1:12">
      <c r="A1264">
        <v>1262</v>
      </c>
      <c r="B1264" t="s">
        <v>3</v>
      </c>
      <c r="C1264" t="s">
        <v>736</v>
      </c>
      <c r="D1264">
        <v>2020</v>
      </c>
      <c r="E1264">
        <v>4</v>
      </c>
      <c r="F1264">
        <v>41</v>
      </c>
      <c r="G1264">
        <v>2</v>
      </c>
      <c r="H1264">
        <v>18</v>
      </c>
      <c r="I1264">
        <v>0</v>
      </c>
      <c r="J1264">
        <v>3.38</v>
      </c>
      <c r="K1264" t="s">
        <v>735</v>
      </c>
      <c r="L1264" t="s">
        <v>1605</v>
      </c>
    </row>
    <row r="1265" spans="1:12">
      <c r="A1265">
        <v>1263</v>
      </c>
      <c r="B1265" t="s">
        <v>3</v>
      </c>
      <c r="C1265" t="s">
        <v>736</v>
      </c>
      <c r="D1265">
        <v>2020</v>
      </c>
      <c r="E1265">
        <v>4</v>
      </c>
      <c r="F1265">
        <v>45</v>
      </c>
      <c r="G1265">
        <v>2</v>
      </c>
      <c r="H1265">
        <v>18</v>
      </c>
      <c r="I1265">
        <v>0</v>
      </c>
      <c r="J1265">
        <v>4358.1099999999997</v>
      </c>
      <c r="K1265" t="s">
        <v>735</v>
      </c>
      <c r="L1265" t="s">
        <v>1606</v>
      </c>
    </row>
    <row r="1266" spans="1:12">
      <c r="A1266">
        <v>1264</v>
      </c>
      <c r="B1266" t="s">
        <v>3</v>
      </c>
      <c r="C1266" t="s">
        <v>738</v>
      </c>
      <c r="D1266">
        <v>2017</v>
      </c>
      <c r="E1266">
        <v>1</v>
      </c>
      <c r="F1266">
        <v>8</v>
      </c>
      <c r="G1266">
        <v>5</v>
      </c>
      <c r="H1266">
        <v>9</v>
      </c>
      <c r="I1266">
        <v>-130472</v>
      </c>
      <c r="J1266">
        <v>-65236</v>
      </c>
      <c r="K1266" t="s">
        <v>737</v>
      </c>
      <c r="L1266" t="s">
        <v>1599</v>
      </c>
    </row>
    <row r="1267" spans="1:12">
      <c r="A1267">
        <v>1265</v>
      </c>
      <c r="B1267" t="s">
        <v>3</v>
      </c>
      <c r="C1267" t="s">
        <v>738</v>
      </c>
      <c r="D1267">
        <v>2017</v>
      </c>
      <c r="E1267">
        <v>1</v>
      </c>
      <c r="F1267">
        <v>17</v>
      </c>
      <c r="G1267">
        <v>5</v>
      </c>
      <c r="H1267">
        <v>9</v>
      </c>
      <c r="I1267">
        <v>121011</v>
      </c>
      <c r="J1267">
        <v>0</v>
      </c>
      <c r="K1267" t="s">
        <v>737</v>
      </c>
      <c r="L1267" t="s">
        <v>1612</v>
      </c>
    </row>
    <row r="1268" spans="1:12">
      <c r="A1268">
        <v>1266</v>
      </c>
      <c r="B1268" t="s">
        <v>3</v>
      </c>
      <c r="C1268" t="s">
        <v>738</v>
      </c>
      <c r="D1268">
        <v>2017</v>
      </c>
      <c r="E1268">
        <v>1</v>
      </c>
      <c r="F1268">
        <v>17</v>
      </c>
      <c r="G1268">
        <v>5</v>
      </c>
      <c r="H1268">
        <v>9</v>
      </c>
      <c r="I1268">
        <v>0</v>
      </c>
      <c r="J1268">
        <v>9009.5599999999977</v>
      </c>
      <c r="K1268" t="s">
        <v>737</v>
      </c>
      <c r="L1268" t="s">
        <v>1600</v>
      </c>
    </row>
    <row r="1269" spans="1:12">
      <c r="A1269">
        <v>1267</v>
      </c>
      <c r="B1269" t="s">
        <v>3</v>
      </c>
      <c r="C1269" t="s">
        <v>738</v>
      </c>
      <c r="D1269">
        <v>2017</v>
      </c>
      <c r="E1269">
        <v>1</v>
      </c>
      <c r="F1269">
        <v>20</v>
      </c>
      <c r="G1269">
        <v>5</v>
      </c>
      <c r="H1269">
        <v>9</v>
      </c>
      <c r="I1269">
        <v>1452</v>
      </c>
      <c r="J1269">
        <v>0</v>
      </c>
      <c r="K1269" t="s">
        <v>737</v>
      </c>
      <c r="L1269" t="s">
        <v>1615</v>
      </c>
    </row>
    <row r="1270" spans="1:12">
      <c r="A1270">
        <v>1268</v>
      </c>
      <c r="B1270" t="s">
        <v>3</v>
      </c>
      <c r="C1270" t="s">
        <v>738</v>
      </c>
      <c r="D1270">
        <v>2017</v>
      </c>
      <c r="E1270">
        <v>1</v>
      </c>
      <c r="F1270">
        <v>20</v>
      </c>
      <c r="G1270">
        <v>5</v>
      </c>
      <c r="H1270">
        <v>9</v>
      </c>
      <c r="I1270">
        <v>0</v>
      </c>
      <c r="J1270">
        <v>108.11</v>
      </c>
      <c r="K1270" t="s">
        <v>737</v>
      </c>
      <c r="L1270" t="s">
        <v>1601</v>
      </c>
    </row>
    <row r="1271" spans="1:12">
      <c r="A1271">
        <v>1269</v>
      </c>
      <c r="B1271" t="s">
        <v>3</v>
      </c>
      <c r="C1271" t="s">
        <v>738</v>
      </c>
      <c r="D1271">
        <v>2017</v>
      </c>
      <c r="E1271">
        <v>1</v>
      </c>
      <c r="F1271">
        <v>25</v>
      </c>
      <c r="G1271">
        <v>5</v>
      </c>
      <c r="H1271">
        <v>9</v>
      </c>
      <c r="I1271">
        <v>0</v>
      </c>
      <c r="J1271">
        <v>340.98</v>
      </c>
      <c r="K1271" t="s">
        <v>737</v>
      </c>
      <c r="L1271" t="s">
        <v>1616</v>
      </c>
    </row>
    <row r="1272" spans="1:12">
      <c r="A1272">
        <v>1270</v>
      </c>
      <c r="B1272" t="s">
        <v>3</v>
      </c>
      <c r="C1272" t="s">
        <v>738</v>
      </c>
      <c r="D1272">
        <v>2017</v>
      </c>
      <c r="E1272">
        <v>1</v>
      </c>
      <c r="F1272">
        <v>29</v>
      </c>
      <c r="G1272">
        <v>5</v>
      </c>
      <c r="H1272">
        <v>9</v>
      </c>
      <c r="I1272">
        <v>0</v>
      </c>
      <c r="J1272">
        <v>7665</v>
      </c>
      <c r="K1272" t="s">
        <v>737</v>
      </c>
      <c r="L1272" t="s">
        <v>1617</v>
      </c>
    </row>
    <row r="1273" spans="1:12">
      <c r="A1273">
        <v>1271</v>
      </c>
      <c r="B1273" t="s">
        <v>3</v>
      </c>
      <c r="C1273" t="s">
        <v>738</v>
      </c>
      <c r="D1273">
        <v>2017</v>
      </c>
      <c r="E1273">
        <v>1</v>
      </c>
      <c r="F1273">
        <v>40</v>
      </c>
      <c r="G1273">
        <v>5</v>
      </c>
      <c r="H1273">
        <v>9</v>
      </c>
      <c r="I1273">
        <v>7397</v>
      </c>
      <c r="J1273">
        <v>517.13</v>
      </c>
      <c r="K1273" t="s">
        <v>737</v>
      </c>
      <c r="L1273" t="s">
        <v>1603</v>
      </c>
    </row>
    <row r="1274" spans="1:12">
      <c r="A1274">
        <v>1272</v>
      </c>
      <c r="B1274" t="s">
        <v>3</v>
      </c>
      <c r="C1274" t="s">
        <v>738</v>
      </c>
      <c r="D1274">
        <v>2017</v>
      </c>
      <c r="E1274">
        <v>1</v>
      </c>
      <c r="F1274">
        <v>40</v>
      </c>
      <c r="G1274">
        <v>5</v>
      </c>
      <c r="H1274">
        <v>9</v>
      </c>
      <c r="I1274">
        <v>0</v>
      </c>
      <c r="J1274">
        <v>517.14</v>
      </c>
      <c r="K1274" t="s">
        <v>737</v>
      </c>
      <c r="L1274" t="s">
        <v>1604</v>
      </c>
    </row>
    <row r="1275" spans="1:12">
      <c r="A1275">
        <v>1273</v>
      </c>
      <c r="B1275" t="s">
        <v>3</v>
      </c>
      <c r="C1275" t="s">
        <v>738</v>
      </c>
      <c r="D1275">
        <v>2017</v>
      </c>
      <c r="E1275">
        <v>1</v>
      </c>
      <c r="F1275">
        <v>41</v>
      </c>
      <c r="G1275">
        <v>5</v>
      </c>
      <c r="H1275">
        <v>9</v>
      </c>
      <c r="I1275">
        <v>612</v>
      </c>
      <c r="J1275">
        <v>85.61</v>
      </c>
      <c r="K1275" t="s">
        <v>737</v>
      </c>
      <c r="L1275" t="s">
        <v>1605</v>
      </c>
    </row>
    <row r="1276" spans="1:12">
      <c r="A1276">
        <v>1274</v>
      </c>
      <c r="B1276" t="s">
        <v>3</v>
      </c>
      <c r="C1276" t="s">
        <v>738</v>
      </c>
      <c r="D1276">
        <v>2017</v>
      </c>
      <c r="E1276">
        <v>2</v>
      </c>
      <c r="F1276">
        <v>17</v>
      </c>
      <c r="G1276">
        <v>5</v>
      </c>
      <c r="H1276">
        <v>13</v>
      </c>
      <c r="I1276">
        <v>0</v>
      </c>
      <c r="J1276">
        <v>28100.259999999987</v>
      </c>
      <c r="K1276" t="s">
        <v>737</v>
      </c>
      <c r="L1276" t="s">
        <v>1600</v>
      </c>
    </row>
    <row r="1277" spans="1:12">
      <c r="A1277">
        <v>1275</v>
      </c>
      <c r="B1277" t="s">
        <v>3</v>
      </c>
      <c r="C1277" t="s">
        <v>738</v>
      </c>
      <c r="D1277">
        <v>2017</v>
      </c>
      <c r="E1277">
        <v>2</v>
      </c>
      <c r="F1277">
        <v>17</v>
      </c>
      <c r="G1277">
        <v>5</v>
      </c>
      <c r="H1277">
        <v>13</v>
      </c>
      <c r="I1277">
        <v>0</v>
      </c>
      <c r="J1277">
        <v>523.48</v>
      </c>
      <c r="K1277" t="s">
        <v>737</v>
      </c>
      <c r="L1277" t="s">
        <v>1613</v>
      </c>
    </row>
    <row r="1278" spans="1:12">
      <c r="A1278">
        <v>1276</v>
      </c>
      <c r="B1278" t="s">
        <v>3</v>
      </c>
      <c r="C1278" t="s">
        <v>738</v>
      </c>
      <c r="D1278">
        <v>2017</v>
      </c>
      <c r="E1278">
        <v>2</v>
      </c>
      <c r="F1278">
        <v>20</v>
      </c>
      <c r="G1278">
        <v>5</v>
      </c>
      <c r="H1278">
        <v>13</v>
      </c>
      <c r="I1278">
        <v>0</v>
      </c>
      <c r="J1278">
        <v>343.49</v>
      </c>
      <c r="K1278" t="s">
        <v>737</v>
      </c>
      <c r="L1278" t="s">
        <v>1601</v>
      </c>
    </row>
    <row r="1279" spans="1:12">
      <c r="A1279">
        <v>1277</v>
      </c>
      <c r="B1279" t="s">
        <v>3</v>
      </c>
      <c r="C1279" t="s">
        <v>738</v>
      </c>
      <c r="D1279">
        <v>2017</v>
      </c>
      <c r="E1279">
        <v>2</v>
      </c>
      <c r="F1279">
        <v>25</v>
      </c>
      <c r="G1279">
        <v>5</v>
      </c>
      <c r="H1279">
        <v>13</v>
      </c>
      <c r="I1279">
        <v>0</v>
      </c>
      <c r="J1279">
        <v>340.98</v>
      </c>
      <c r="K1279" t="s">
        <v>737</v>
      </c>
      <c r="L1279" t="s">
        <v>1616</v>
      </c>
    </row>
    <row r="1280" spans="1:12">
      <c r="A1280">
        <v>1278</v>
      </c>
      <c r="B1280" t="s">
        <v>3</v>
      </c>
      <c r="C1280" t="s">
        <v>738</v>
      </c>
      <c r="D1280">
        <v>2017</v>
      </c>
      <c r="E1280">
        <v>2</v>
      </c>
      <c r="F1280">
        <v>29</v>
      </c>
      <c r="G1280">
        <v>5</v>
      </c>
      <c r="H1280">
        <v>13</v>
      </c>
      <c r="I1280">
        <v>0</v>
      </c>
      <c r="J1280">
        <v>10731</v>
      </c>
      <c r="K1280" t="s">
        <v>737</v>
      </c>
      <c r="L1280" t="s">
        <v>1617</v>
      </c>
    </row>
    <row r="1281" spans="1:12">
      <c r="A1281">
        <v>1279</v>
      </c>
      <c r="B1281" t="s">
        <v>3</v>
      </c>
      <c r="C1281" t="s">
        <v>738</v>
      </c>
      <c r="D1281">
        <v>2017</v>
      </c>
      <c r="E1281">
        <v>2</v>
      </c>
      <c r="F1281">
        <v>40</v>
      </c>
      <c r="G1281">
        <v>5</v>
      </c>
      <c r="H1281">
        <v>13</v>
      </c>
      <c r="I1281">
        <v>0</v>
      </c>
      <c r="J1281">
        <v>1209.18</v>
      </c>
      <c r="K1281" t="s">
        <v>737</v>
      </c>
      <c r="L1281" t="s">
        <v>1603</v>
      </c>
    </row>
    <row r="1282" spans="1:12">
      <c r="A1282">
        <v>1280</v>
      </c>
      <c r="B1282" t="s">
        <v>3</v>
      </c>
      <c r="C1282" t="s">
        <v>738</v>
      </c>
      <c r="D1282">
        <v>2017</v>
      </c>
      <c r="E1282">
        <v>2</v>
      </c>
      <c r="F1282">
        <v>40</v>
      </c>
      <c r="G1282">
        <v>5</v>
      </c>
      <c r="H1282">
        <v>13</v>
      </c>
      <c r="I1282">
        <v>0</v>
      </c>
      <c r="J1282">
        <v>1209.19</v>
      </c>
      <c r="K1282" t="s">
        <v>737</v>
      </c>
      <c r="L1282" t="s">
        <v>1604</v>
      </c>
    </row>
    <row r="1283" spans="1:12">
      <c r="A1283">
        <v>1281</v>
      </c>
      <c r="B1283" t="s">
        <v>3</v>
      </c>
      <c r="C1283" t="s">
        <v>738</v>
      </c>
      <c r="D1283">
        <v>2017</v>
      </c>
      <c r="E1283">
        <v>2</v>
      </c>
      <c r="F1283">
        <v>41</v>
      </c>
      <c r="G1283">
        <v>5</v>
      </c>
      <c r="H1283">
        <v>13</v>
      </c>
      <c r="I1283">
        <v>0</v>
      </c>
      <c r="J1283">
        <v>200.19</v>
      </c>
      <c r="K1283" t="s">
        <v>737</v>
      </c>
      <c r="L1283" t="s">
        <v>1605</v>
      </c>
    </row>
    <row r="1284" spans="1:12">
      <c r="A1284">
        <v>1282</v>
      </c>
      <c r="B1284" t="s">
        <v>3</v>
      </c>
      <c r="C1284" t="s">
        <v>738</v>
      </c>
      <c r="D1284">
        <v>2017</v>
      </c>
      <c r="E1284">
        <v>3</v>
      </c>
      <c r="F1284">
        <v>8</v>
      </c>
      <c r="G1284">
        <v>5</v>
      </c>
      <c r="H1284">
        <v>17</v>
      </c>
      <c r="I1284">
        <v>0</v>
      </c>
      <c r="J1284">
        <v>-65236</v>
      </c>
      <c r="K1284" t="s">
        <v>737</v>
      </c>
      <c r="L1284" t="s">
        <v>1599</v>
      </c>
    </row>
    <row r="1285" spans="1:12">
      <c r="A1285">
        <v>1283</v>
      </c>
      <c r="B1285" t="s">
        <v>3</v>
      </c>
      <c r="C1285" t="s">
        <v>738</v>
      </c>
      <c r="D1285">
        <v>2017</v>
      </c>
      <c r="E1285">
        <v>3</v>
      </c>
      <c r="F1285">
        <v>17</v>
      </c>
      <c r="G1285">
        <v>5</v>
      </c>
      <c r="H1285">
        <v>17</v>
      </c>
      <c r="I1285">
        <v>0</v>
      </c>
      <c r="J1285">
        <v>13768.97</v>
      </c>
      <c r="K1285" t="s">
        <v>737</v>
      </c>
      <c r="L1285" t="s">
        <v>1600</v>
      </c>
    </row>
    <row r="1286" spans="1:12">
      <c r="A1286">
        <v>1284</v>
      </c>
      <c r="B1286" t="s">
        <v>3</v>
      </c>
      <c r="C1286" t="s">
        <v>738</v>
      </c>
      <c r="D1286">
        <v>2017</v>
      </c>
      <c r="E1286">
        <v>3</v>
      </c>
      <c r="F1286">
        <v>17</v>
      </c>
      <c r="G1286">
        <v>5</v>
      </c>
      <c r="H1286">
        <v>17</v>
      </c>
      <c r="I1286">
        <v>0</v>
      </c>
      <c r="J1286">
        <v>464.02</v>
      </c>
      <c r="K1286" t="s">
        <v>737</v>
      </c>
      <c r="L1286" t="s">
        <v>1613</v>
      </c>
    </row>
    <row r="1287" spans="1:12">
      <c r="A1287">
        <v>1285</v>
      </c>
      <c r="B1287" t="s">
        <v>3</v>
      </c>
      <c r="C1287" t="s">
        <v>738</v>
      </c>
      <c r="D1287">
        <v>2017</v>
      </c>
      <c r="E1287">
        <v>3</v>
      </c>
      <c r="F1287">
        <v>20</v>
      </c>
      <c r="G1287">
        <v>5</v>
      </c>
      <c r="H1287">
        <v>17</v>
      </c>
      <c r="I1287">
        <v>0</v>
      </c>
      <c r="J1287">
        <v>170.8</v>
      </c>
      <c r="K1287" t="s">
        <v>737</v>
      </c>
      <c r="L1287" t="s">
        <v>1601</v>
      </c>
    </row>
    <row r="1288" spans="1:12">
      <c r="A1288">
        <v>1286</v>
      </c>
      <c r="B1288" t="s">
        <v>3</v>
      </c>
      <c r="C1288" t="s">
        <v>738</v>
      </c>
      <c r="D1288">
        <v>2017</v>
      </c>
      <c r="E1288">
        <v>3</v>
      </c>
      <c r="F1288">
        <v>25</v>
      </c>
      <c r="G1288">
        <v>5</v>
      </c>
      <c r="H1288">
        <v>17</v>
      </c>
      <c r="I1288">
        <v>0</v>
      </c>
      <c r="J1288">
        <v>340.98</v>
      </c>
      <c r="K1288" t="s">
        <v>737</v>
      </c>
      <c r="L1288" t="s">
        <v>1616</v>
      </c>
    </row>
    <row r="1289" spans="1:12">
      <c r="A1289">
        <v>1287</v>
      </c>
      <c r="B1289" t="s">
        <v>3</v>
      </c>
      <c r="C1289" t="s">
        <v>738</v>
      </c>
      <c r="D1289">
        <v>2017</v>
      </c>
      <c r="E1289">
        <v>3</v>
      </c>
      <c r="F1289">
        <v>29</v>
      </c>
      <c r="G1289">
        <v>5</v>
      </c>
      <c r="H1289">
        <v>17</v>
      </c>
      <c r="I1289">
        <v>0</v>
      </c>
      <c r="J1289">
        <v>9198</v>
      </c>
      <c r="K1289" t="s">
        <v>737</v>
      </c>
      <c r="L1289" t="s">
        <v>1617</v>
      </c>
    </row>
    <row r="1290" spans="1:12">
      <c r="A1290">
        <v>1288</v>
      </c>
      <c r="B1290" t="s">
        <v>3</v>
      </c>
      <c r="C1290" t="s">
        <v>738</v>
      </c>
      <c r="D1290">
        <v>2017</v>
      </c>
      <c r="E1290">
        <v>3</v>
      </c>
      <c r="F1290">
        <v>40</v>
      </c>
      <c r="G1290">
        <v>5</v>
      </c>
      <c r="H1290">
        <v>17</v>
      </c>
      <c r="I1290">
        <v>0</v>
      </c>
      <c r="J1290">
        <v>723.07999999999993</v>
      </c>
      <c r="K1290" t="s">
        <v>737</v>
      </c>
      <c r="L1290" t="s">
        <v>1603</v>
      </c>
    </row>
    <row r="1291" spans="1:12">
      <c r="A1291">
        <v>1289</v>
      </c>
      <c r="B1291" t="s">
        <v>3</v>
      </c>
      <c r="C1291" t="s">
        <v>738</v>
      </c>
      <c r="D1291">
        <v>2017</v>
      </c>
      <c r="E1291">
        <v>3</v>
      </c>
      <c r="F1291">
        <v>40</v>
      </c>
      <c r="G1291">
        <v>5</v>
      </c>
      <c r="H1291">
        <v>17</v>
      </c>
      <c r="I1291">
        <v>0</v>
      </c>
      <c r="J1291">
        <v>723.06999999999994</v>
      </c>
      <c r="K1291" t="s">
        <v>737</v>
      </c>
      <c r="L1291" t="s">
        <v>1604</v>
      </c>
    </row>
    <row r="1292" spans="1:12">
      <c r="A1292">
        <v>1290</v>
      </c>
      <c r="B1292" t="s">
        <v>3</v>
      </c>
      <c r="C1292" t="s">
        <v>738</v>
      </c>
      <c r="D1292">
        <v>2017</v>
      </c>
      <c r="E1292">
        <v>3</v>
      </c>
      <c r="F1292">
        <v>41</v>
      </c>
      <c r="G1292">
        <v>5</v>
      </c>
      <c r="H1292">
        <v>17</v>
      </c>
      <c r="I1292">
        <v>0</v>
      </c>
      <c r="J1292">
        <v>119.71000000000001</v>
      </c>
      <c r="K1292" t="s">
        <v>737</v>
      </c>
      <c r="L1292" t="s">
        <v>1605</v>
      </c>
    </row>
    <row r="1293" spans="1:12">
      <c r="A1293">
        <v>1291</v>
      </c>
      <c r="B1293" t="s">
        <v>3</v>
      </c>
      <c r="C1293" t="s">
        <v>738</v>
      </c>
      <c r="D1293">
        <v>2017</v>
      </c>
      <c r="E1293">
        <v>4</v>
      </c>
      <c r="F1293">
        <v>17</v>
      </c>
      <c r="G1293">
        <v>5</v>
      </c>
      <c r="H1293">
        <v>21</v>
      </c>
      <c r="I1293">
        <v>0</v>
      </c>
      <c r="J1293">
        <v>17296.259999999995</v>
      </c>
      <c r="K1293" t="s">
        <v>737</v>
      </c>
      <c r="L1293" t="s">
        <v>1600</v>
      </c>
    </row>
    <row r="1294" spans="1:12">
      <c r="A1294">
        <v>1292</v>
      </c>
      <c r="B1294" t="s">
        <v>3</v>
      </c>
      <c r="C1294" t="s">
        <v>738</v>
      </c>
      <c r="D1294">
        <v>2017</v>
      </c>
      <c r="E1294">
        <v>4</v>
      </c>
      <c r="F1294">
        <v>17</v>
      </c>
      <c r="G1294">
        <v>5</v>
      </c>
      <c r="H1294">
        <v>21</v>
      </c>
      <c r="I1294">
        <v>0</v>
      </c>
      <c r="J1294">
        <v>519.59</v>
      </c>
      <c r="K1294" t="s">
        <v>737</v>
      </c>
      <c r="L1294" t="s">
        <v>1613</v>
      </c>
    </row>
    <row r="1295" spans="1:12">
      <c r="A1295">
        <v>1293</v>
      </c>
      <c r="B1295" t="s">
        <v>3</v>
      </c>
      <c r="C1295" t="s">
        <v>738</v>
      </c>
      <c r="D1295">
        <v>2017</v>
      </c>
      <c r="E1295">
        <v>4</v>
      </c>
      <c r="F1295">
        <v>20</v>
      </c>
      <c r="G1295">
        <v>5</v>
      </c>
      <c r="H1295">
        <v>21</v>
      </c>
      <c r="I1295">
        <v>0</v>
      </c>
      <c r="J1295">
        <v>213.8</v>
      </c>
      <c r="K1295" t="s">
        <v>737</v>
      </c>
      <c r="L1295" t="s">
        <v>1601</v>
      </c>
    </row>
    <row r="1296" spans="1:12">
      <c r="A1296">
        <v>1294</v>
      </c>
      <c r="B1296" t="s">
        <v>3</v>
      </c>
      <c r="C1296" t="s">
        <v>738</v>
      </c>
      <c r="D1296">
        <v>2017</v>
      </c>
      <c r="E1296">
        <v>4</v>
      </c>
      <c r="F1296">
        <v>25</v>
      </c>
      <c r="G1296">
        <v>5</v>
      </c>
      <c r="H1296">
        <v>21</v>
      </c>
      <c r="I1296">
        <v>0</v>
      </c>
      <c r="J1296">
        <v>340.98</v>
      </c>
      <c r="K1296" t="s">
        <v>737</v>
      </c>
      <c r="L1296" t="s">
        <v>1616</v>
      </c>
    </row>
    <row r="1297" spans="1:12">
      <c r="A1297">
        <v>1295</v>
      </c>
      <c r="B1297" t="s">
        <v>3</v>
      </c>
      <c r="C1297" t="s">
        <v>738</v>
      </c>
      <c r="D1297">
        <v>2017</v>
      </c>
      <c r="E1297">
        <v>4</v>
      </c>
      <c r="F1297">
        <v>29</v>
      </c>
      <c r="G1297">
        <v>5</v>
      </c>
      <c r="H1297">
        <v>21</v>
      </c>
      <c r="I1297">
        <v>0</v>
      </c>
      <c r="J1297">
        <v>12373.5</v>
      </c>
      <c r="K1297" t="s">
        <v>737</v>
      </c>
      <c r="L1297" t="s">
        <v>1617</v>
      </c>
    </row>
    <row r="1298" spans="1:12">
      <c r="A1298">
        <v>1296</v>
      </c>
      <c r="B1298" t="s">
        <v>3</v>
      </c>
      <c r="C1298" t="s">
        <v>738</v>
      </c>
      <c r="D1298">
        <v>2017</v>
      </c>
      <c r="E1298">
        <v>4</v>
      </c>
      <c r="F1298">
        <v>40</v>
      </c>
      <c r="G1298">
        <v>5</v>
      </c>
      <c r="H1298">
        <v>21</v>
      </c>
      <c r="I1298">
        <v>0</v>
      </c>
      <c r="J1298">
        <v>928.49</v>
      </c>
      <c r="K1298" t="s">
        <v>737</v>
      </c>
      <c r="L1298" t="s">
        <v>1603</v>
      </c>
    </row>
    <row r="1299" spans="1:12">
      <c r="A1299">
        <v>1297</v>
      </c>
      <c r="B1299" t="s">
        <v>3</v>
      </c>
      <c r="C1299" t="s">
        <v>738</v>
      </c>
      <c r="D1299">
        <v>2017</v>
      </c>
      <c r="E1299">
        <v>4</v>
      </c>
      <c r="F1299">
        <v>40</v>
      </c>
      <c r="G1299">
        <v>5</v>
      </c>
      <c r="H1299">
        <v>21</v>
      </c>
      <c r="I1299">
        <v>0</v>
      </c>
      <c r="J1299">
        <v>928.46</v>
      </c>
      <c r="K1299" t="s">
        <v>737</v>
      </c>
      <c r="L1299" t="s">
        <v>1604</v>
      </c>
    </row>
    <row r="1300" spans="1:12">
      <c r="A1300">
        <v>1298</v>
      </c>
      <c r="B1300" t="s">
        <v>3</v>
      </c>
      <c r="C1300" t="s">
        <v>738</v>
      </c>
      <c r="D1300">
        <v>2017</v>
      </c>
      <c r="E1300">
        <v>4</v>
      </c>
      <c r="F1300">
        <v>41</v>
      </c>
      <c r="G1300">
        <v>5</v>
      </c>
      <c r="H1300">
        <v>21</v>
      </c>
      <c r="I1300">
        <v>0</v>
      </c>
      <c r="J1300">
        <v>153.72</v>
      </c>
      <c r="K1300" t="s">
        <v>737</v>
      </c>
      <c r="L1300" t="s">
        <v>1605</v>
      </c>
    </row>
    <row r="1301" spans="1:12">
      <c r="A1301">
        <v>1299</v>
      </c>
      <c r="B1301" t="s">
        <v>3</v>
      </c>
      <c r="C1301" t="s">
        <v>738</v>
      </c>
      <c r="D1301">
        <v>2017</v>
      </c>
      <c r="E1301">
        <v>4</v>
      </c>
      <c r="F1301">
        <v>45</v>
      </c>
      <c r="G1301">
        <v>5</v>
      </c>
      <c r="H1301">
        <v>21</v>
      </c>
      <c r="I1301">
        <v>0</v>
      </c>
      <c r="J1301">
        <v>11307.27</v>
      </c>
      <c r="K1301" t="s">
        <v>737</v>
      </c>
      <c r="L1301" t="s">
        <v>1606</v>
      </c>
    </row>
    <row r="1302" spans="1:12">
      <c r="A1302">
        <v>1300</v>
      </c>
      <c r="B1302" t="s">
        <v>3</v>
      </c>
      <c r="C1302" t="s">
        <v>738</v>
      </c>
      <c r="D1302">
        <v>2018</v>
      </c>
      <c r="E1302">
        <v>1</v>
      </c>
      <c r="F1302">
        <v>8</v>
      </c>
      <c r="G1302">
        <v>4</v>
      </c>
      <c r="H1302">
        <v>8</v>
      </c>
      <c r="I1302">
        <v>-137548</v>
      </c>
      <c r="J1302">
        <v>-68774</v>
      </c>
      <c r="K1302" t="s">
        <v>737</v>
      </c>
      <c r="L1302" t="s">
        <v>1599</v>
      </c>
    </row>
    <row r="1303" spans="1:12">
      <c r="A1303">
        <v>1301</v>
      </c>
      <c r="B1303" t="s">
        <v>3</v>
      </c>
      <c r="C1303" t="s">
        <v>738</v>
      </c>
      <c r="D1303">
        <v>2018</v>
      </c>
      <c r="E1303">
        <v>1</v>
      </c>
      <c r="F1303">
        <v>17</v>
      </c>
      <c r="G1303">
        <v>4</v>
      </c>
      <c r="H1303">
        <v>8</v>
      </c>
      <c r="I1303">
        <v>127826</v>
      </c>
      <c r="J1303">
        <v>0</v>
      </c>
      <c r="K1303" t="s">
        <v>737</v>
      </c>
      <c r="L1303" t="s">
        <v>1612</v>
      </c>
    </row>
    <row r="1304" spans="1:12">
      <c r="A1304">
        <v>1302</v>
      </c>
      <c r="B1304" t="s">
        <v>3</v>
      </c>
      <c r="C1304" t="s">
        <v>738</v>
      </c>
      <c r="D1304">
        <v>2018</v>
      </c>
      <c r="E1304">
        <v>1</v>
      </c>
      <c r="F1304">
        <v>17</v>
      </c>
      <c r="G1304">
        <v>4</v>
      </c>
      <c r="H1304">
        <v>8</v>
      </c>
      <c r="I1304">
        <v>0</v>
      </c>
      <c r="J1304">
        <v>5069.67</v>
      </c>
      <c r="K1304" t="s">
        <v>737</v>
      </c>
      <c r="L1304" t="s">
        <v>1600</v>
      </c>
    </row>
    <row r="1305" spans="1:12">
      <c r="A1305">
        <v>1303</v>
      </c>
      <c r="B1305" t="s">
        <v>3</v>
      </c>
      <c r="C1305" t="s">
        <v>738</v>
      </c>
      <c r="D1305">
        <v>2018</v>
      </c>
      <c r="E1305">
        <v>1</v>
      </c>
      <c r="F1305">
        <v>20</v>
      </c>
      <c r="G1305">
        <v>4</v>
      </c>
      <c r="H1305">
        <v>8</v>
      </c>
      <c r="I1305">
        <v>1278</v>
      </c>
      <c r="J1305">
        <v>0</v>
      </c>
      <c r="K1305" t="s">
        <v>737</v>
      </c>
      <c r="L1305" t="s">
        <v>1615</v>
      </c>
    </row>
    <row r="1306" spans="1:12">
      <c r="A1306">
        <v>1304</v>
      </c>
      <c r="B1306" t="s">
        <v>3</v>
      </c>
      <c r="C1306" t="s">
        <v>738</v>
      </c>
      <c r="D1306">
        <v>2018</v>
      </c>
      <c r="E1306">
        <v>1</v>
      </c>
      <c r="F1306">
        <v>20</v>
      </c>
      <c r="G1306">
        <v>4</v>
      </c>
      <c r="H1306">
        <v>8</v>
      </c>
      <c r="I1306">
        <v>0</v>
      </c>
      <c r="J1306">
        <v>50.69</v>
      </c>
      <c r="K1306" t="s">
        <v>737</v>
      </c>
      <c r="L1306" t="s">
        <v>1601</v>
      </c>
    </row>
    <row r="1307" spans="1:12">
      <c r="A1307">
        <v>1305</v>
      </c>
      <c r="B1307" t="s">
        <v>3</v>
      </c>
      <c r="C1307" t="s">
        <v>738</v>
      </c>
      <c r="D1307">
        <v>2018</v>
      </c>
      <c r="E1307">
        <v>1</v>
      </c>
      <c r="F1307">
        <v>25</v>
      </c>
      <c r="G1307">
        <v>4</v>
      </c>
      <c r="H1307">
        <v>8</v>
      </c>
      <c r="I1307">
        <v>0</v>
      </c>
      <c r="J1307">
        <v>237.12</v>
      </c>
      <c r="K1307" t="s">
        <v>737</v>
      </c>
      <c r="L1307" t="s">
        <v>1616</v>
      </c>
    </row>
    <row r="1308" spans="1:12">
      <c r="A1308">
        <v>1306</v>
      </c>
      <c r="B1308" t="s">
        <v>3</v>
      </c>
      <c r="C1308" t="s">
        <v>738</v>
      </c>
      <c r="D1308">
        <v>2018</v>
      </c>
      <c r="E1308">
        <v>1</v>
      </c>
      <c r="F1308">
        <v>29</v>
      </c>
      <c r="G1308">
        <v>4</v>
      </c>
      <c r="H1308">
        <v>8</v>
      </c>
      <c r="I1308">
        <v>0</v>
      </c>
      <c r="J1308">
        <v>7740</v>
      </c>
      <c r="K1308" t="s">
        <v>737</v>
      </c>
      <c r="L1308" t="s">
        <v>1617</v>
      </c>
    </row>
    <row r="1309" spans="1:12">
      <c r="A1309">
        <v>1307</v>
      </c>
      <c r="B1309" t="s">
        <v>3</v>
      </c>
      <c r="C1309" t="s">
        <v>738</v>
      </c>
      <c r="D1309">
        <v>2018</v>
      </c>
      <c r="E1309">
        <v>1</v>
      </c>
      <c r="F1309">
        <v>40</v>
      </c>
      <c r="G1309">
        <v>4</v>
      </c>
      <c r="H1309">
        <v>8</v>
      </c>
      <c r="I1309">
        <v>7798</v>
      </c>
      <c r="J1309">
        <v>411.92</v>
      </c>
      <c r="K1309" t="s">
        <v>737</v>
      </c>
      <c r="L1309" t="s">
        <v>1603</v>
      </c>
    </row>
    <row r="1310" spans="1:12">
      <c r="A1310">
        <v>1308</v>
      </c>
      <c r="B1310" t="s">
        <v>3</v>
      </c>
      <c r="C1310" t="s">
        <v>738</v>
      </c>
      <c r="D1310">
        <v>2018</v>
      </c>
      <c r="E1310">
        <v>1</v>
      </c>
      <c r="F1310">
        <v>40</v>
      </c>
      <c r="G1310">
        <v>4</v>
      </c>
      <c r="H1310">
        <v>8</v>
      </c>
      <c r="I1310">
        <v>0</v>
      </c>
      <c r="J1310">
        <v>411.92</v>
      </c>
      <c r="K1310" t="s">
        <v>737</v>
      </c>
      <c r="L1310" t="s">
        <v>1604</v>
      </c>
    </row>
    <row r="1311" spans="1:12">
      <c r="A1311">
        <v>1309</v>
      </c>
      <c r="B1311" t="s">
        <v>3</v>
      </c>
      <c r="C1311" t="s">
        <v>738</v>
      </c>
      <c r="D1311">
        <v>2018</v>
      </c>
      <c r="E1311">
        <v>1</v>
      </c>
      <c r="F1311">
        <v>41</v>
      </c>
      <c r="G1311">
        <v>4</v>
      </c>
      <c r="H1311">
        <v>8</v>
      </c>
      <c r="I1311">
        <v>646</v>
      </c>
      <c r="J1311">
        <v>66.790000000000006</v>
      </c>
      <c r="K1311" t="s">
        <v>737</v>
      </c>
      <c r="L1311" t="s">
        <v>1605</v>
      </c>
    </row>
    <row r="1312" spans="1:12">
      <c r="A1312">
        <v>1310</v>
      </c>
      <c r="B1312" t="s">
        <v>3</v>
      </c>
      <c r="C1312" t="s">
        <v>738</v>
      </c>
      <c r="D1312">
        <v>2018</v>
      </c>
      <c r="E1312">
        <v>2</v>
      </c>
      <c r="F1312">
        <v>17</v>
      </c>
      <c r="G1312">
        <v>4</v>
      </c>
      <c r="H1312">
        <v>12</v>
      </c>
      <c r="I1312">
        <v>0</v>
      </c>
      <c r="J1312">
        <v>32768.18</v>
      </c>
      <c r="K1312" t="s">
        <v>737</v>
      </c>
      <c r="L1312" t="s">
        <v>1600</v>
      </c>
    </row>
    <row r="1313" spans="1:12">
      <c r="A1313">
        <v>1311</v>
      </c>
      <c r="B1313" t="s">
        <v>3</v>
      </c>
      <c r="C1313" t="s">
        <v>738</v>
      </c>
      <c r="D1313">
        <v>2018</v>
      </c>
      <c r="E1313">
        <v>2</v>
      </c>
      <c r="F1313">
        <v>17</v>
      </c>
      <c r="G1313">
        <v>4</v>
      </c>
      <c r="H1313">
        <v>12</v>
      </c>
      <c r="I1313">
        <v>0</v>
      </c>
      <c r="J1313">
        <v>104.9</v>
      </c>
      <c r="K1313" t="s">
        <v>737</v>
      </c>
      <c r="L1313" t="s">
        <v>1613</v>
      </c>
    </row>
    <row r="1314" spans="1:12">
      <c r="A1314">
        <v>1312</v>
      </c>
      <c r="B1314" t="s">
        <v>3</v>
      </c>
      <c r="C1314" t="s">
        <v>738</v>
      </c>
      <c r="D1314">
        <v>2018</v>
      </c>
      <c r="E1314">
        <v>2</v>
      </c>
      <c r="F1314">
        <v>20</v>
      </c>
      <c r="G1314">
        <v>4</v>
      </c>
      <c r="H1314">
        <v>12</v>
      </c>
      <c r="I1314">
        <v>0</v>
      </c>
      <c r="J1314">
        <v>328.72999999999996</v>
      </c>
      <c r="K1314" t="s">
        <v>737</v>
      </c>
      <c r="L1314" t="s">
        <v>1601</v>
      </c>
    </row>
    <row r="1315" spans="1:12">
      <c r="A1315">
        <v>1313</v>
      </c>
      <c r="B1315" t="s">
        <v>3</v>
      </c>
      <c r="C1315" t="s">
        <v>738</v>
      </c>
      <c r="D1315">
        <v>2018</v>
      </c>
      <c r="E1315">
        <v>2</v>
      </c>
      <c r="F1315">
        <v>25</v>
      </c>
      <c r="G1315">
        <v>4</v>
      </c>
      <c r="H1315">
        <v>12</v>
      </c>
      <c r="I1315">
        <v>0</v>
      </c>
      <c r="J1315">
        <v>237.12</v>
      </c>
      <c r="K1315" t="s">
        <v>737</v>
      </c>
      <c r="L1315" t="s">
        <v>1616</v>
      </c>
    </row>
    <row r="1316" spans="1:12">
      <c r="A1316">
        <v>1314</v>
      </c>
      <c r="B1316" t="s">
        <v>3</v>
      </c>
      <c r="C1316" t="s">
        <v>738</v>
      </c>
      <c r="D1316">
        <v>2018</v>
      </c>
      <c r="E1316">
        <v>2</v>
      </c>
      <c r="F1316">
        <v>29</v>
      </c>
      <c r="G1316">
        <v>4</v>
      </c>
      <c r="H1316">
        <v>12</v>
      </c>
      <c r="I1316">
        <v>0</v>
      </c>
      <c r="J1316">
        <v>10836</v>
      </c>
      <c r="K1316" t="s">
        <v>737</v>
      </c>
      <c r="L1316" t="s">
        <v>1617</v>
      </c>
    </row>
    <row r="1317" spans="1:12">
      <c r="A1317">
        <v>1315</v>
      </c>
      <c r="B1317" t="s">
        <v>3</v>
      </c>
      <c r="C1317" t="s">
        <v>738</v>
      </c>
      <c r="D1317">
        <v>2018</v>
      </c>
      <c r="E1317">
        <v>2</v>
      </c>
      <c r="F1317">
        <v>40</v>
      </c>
      <c r="G1317">
        <v>4</v>
      </c>
      <c r="H1317">
        <v>12</v>
      </c>
      <c r="I1317">
        <v>0</v>
      </c>
      <c r="J1317">
        <v>1392.46</v>
      </c>
      <c r="K1317" t="s">
        <v>737</v>
      </c>
      <c r="L1317" t="s">
        <v>1603</v>
      </c>
    </row>
    <row r="1318" spans="1:12">
      <c r="A1318">
        <v>1316</v>
      </c>
      <c r="B1318" t="s">
        <v>3</v>
      </c>
      <c r="C1318" t="s">
        <v>738</v>
      </c>
      <c r="D1318">
        <v>2018</v>
      </c>
      <c r="E1318">
        <v>2</v>
      </c>
      <c r="F1318">
        <v>40</v>
      </c>
      <c r="G1318">
        <v>4</v>
      </c>
      <c r="H1318">
        <v>12</v>
      </c>
      <c r="I1318">
        <v>0</v>
      </c>
      <c r="J1318">
        <v>1392.44</v>
      </c>
      <c r="K1318" t="s">
        <v>737</v>
      </c>
      <c r="L1318" t="s">
        <v>1604</v>
      </c>
    </row>
    <row r="1319" spans="1:12">
      <c r="A1319">
        <v>1317</v>
      </c>
      <c r="B1319" t="s">
        <v>3</v>
      </c>
      <c r="C1319" t="s">
        <v>738</v>
      </c>
      <c r="D1319">
        <v>2018</v>
      </c>
      <c r="E1319">
        <v>2</v>
      </c>
      <c r="F1319">
        <v>41</v>
      </c>
      <c r="G1319">
        <v>4</v>
      </c>
      <c r="H1319">
        <v>12</v>
      </c>
      <c r="I1319">
        <v>0</v>
      </c>
      <c r="J1319">
        <v>225.8</v>
      </c>
      <c r="K1319" t="s">
        <v>737</v>
      </c>
      <c r="L1319" t="s">
        <v>1605</v>
      </c>
    </row>
    <row r="1320" spans="1:12">
      <c r="A1320">
        <v>1318</v>
      </c>
      <c r="B1320" t="s">
        <v>3</v>
      </c>
      <c r="C1320" t="s">
        <v>738</v>
      </c>
      <c r="D1320">
        <v>2018</v>
      </c>
      <c r="E1320">
        <v>3</v>
      </c>
      <c r="F1320">
        <v>8</v>
      </c>
      <c r="G1320">
        <v>4</v>
      </c>
      <c r="H1320">
        <v>16</v>
      </c>
      <c r="I1320">
        <v>0</v>
      </c>
      <c r="J1320">
        <v>-68774</v>
      </c>
      <c r="K1320" t="s">
        <v>737</v>
      </c>
      <c r="L1320" t="s">
        <v>1599</v>
      </c>
    </row>
    <row r="1321" spans="1:12">
      <c r="A1321">
        <v>1319</v>
      </c>
      <c r="B1321" t="s">
        <v>3</v>
      </c>
      <c r="C1321" t="s">
        <v>738</v>
      </c>
      <c r="D1321">
        <v>2018</v>
      </c>
      <c r="E1321">
        <v>3</v>
      </c>
      <c r="F1321">
        <v>17</v>
      </c>
      <c r="G1321">
        <v>4</v>
      </c>
      <c r="H1321">
        <v>16</v>
      </c>
      <c r="I1321">
        <v>0</v>
      </c>
      <c r="J1321">
        <v>21268.85</v>
      </c>
      <c r="K1321" t="s">
        <v>737</v>
      </c>
      <c r="L1321" t="s">
        <v>1600</v>
      </c>
    </row>
    <row r="1322" spans="1:12">
      <c r="A1322">
        <v>1320</v>
      </c>
      <c r="B1322" t="s">
        <v>3</v>
      </c>
      <c r="C1322" t="s">
        <v>738</v>
      </c>
      <c r="D1322">
        <v>2018</v>
      </c>
      <c r="E1322">
        <v>3</v>
      </c>
      <c r="F1322">
        <v>17</v>
      </c>
      <c r="G1322">
        <v>4</v>
      </c>
      <c r="H1322">
        <v>16</v>
      </c>
      <c r="I1322">
        <v>0</v>
      </c>
      <c r="J1322">
        <v>250.68999999999997</v>
      </c>
      <c r="K1322" t="s">
        <v>737</v>
      </c>
      <c r="L1322" t="s">
        <v>1613</v>
      </c>
    </row>
    <row r="1323" spans="1:12">
      <c r="A1323">
        <v>1321</v>
      </c>
      <c r="B1323" t="s">
        <v>3</v>
      </c>
      <c r="C1323" t="s">
        <v>738</v>
      </c>
      <c r="D1323">
        <v>2018</v>
      </c>
      <c r="E1323">
        <v>3</v>
      </c>
      <c r="F1323">
        <v>20</v>
      </c>
      <c r="G1323">
        <v>4</v>
      </c>
      <c r="H1323">
        <v>16</v>
      </c>
      <c r="I1323">
        <v>0</v>
      </c>
      <c r="J1323">
        <v>215.19000000000003</v>
      </c>
      <c r="K1323" t="s">
        <v>737</v>
      </c>
      <c r="L1323" t="s">
        <v>1601</v>
      </c>
    </row>
    <row r="1324" spans="1:12">
      <c r="A1324">
        <v>1322</v>
      </c>
      <c r="B1324" t="s">
        <v>3</v>
      </c>
      <c r="C1324" t="s">
        <v>738</v>
      </c>
      <c r="D1324">
        <v>2018</v>
      </c>
      <c r="E1324">
        <v>3</v>
      </c>
      <c r="F1324">
        <v>25</v>
      </c>
      <c r="G1324">
        <v>4</v>
      </c>
      <c r="H1324">
        <v>16</v>
      </c>
      <c r="I1324">
        <v>0</v>
      </c>
      <c r="J1324">
        <v>237.12</v>
      </c>
      <c r="K1324" t="s">
        <v>737</v>
      </c>
      <c r="L1324" t="s">
        <v>1616</v>
      </c>
    </row>
    <row r="1325" spans="1:12">
      <c r="A1325">
        <v>1323</v>
      </c>
      <c r="B1325" t="s">
        <v>3</v>
      </c>
      <c r="C1325" t="s">
        <v>738</v>
      </c>
      <c r="D1325">
        <v>2018</v>
      </c>
      <c r="E1325">
        <v>3</v>
      </c>
      <c r="F1325">
        <v>29</v>
      </c>
      <c r="G1325">
        <v>4</v>
      </c>
      <c r="H1325">
        <v>16</v>
      </c>
      <c r="I1325">
        <v>0</v>
      </c>
      <c r="J1325">
        <v>6192</v>
      </c>
      <c r="K1325" t="s">
        <v>737</v>
      </c>
      <c r="L1325" t="s">
        <v>1617</v>
      </c>
    </row>
    <row r="1326" spans="1:12">
      <c r="A1326">
        <v>1324</v>
      </c>
      <c r="B1326" t="s">
        <v>3</v>
      </c>
      <c r="C1326" t="s">
        <v>738</v>
      </c>
      <c r="D1326">
        <v>2018</v>
      </c>
      <c r="E1326">
        <v>3</v>
      </c>
      <c r="F1326">
        <v>40</v>
      </c>
      <c r="G1326">
        <v>4</v>
      </c>
      <c r="H1326">
        <v>16</v>
      </c>
      <c r="I1326">
        <v>0</v>
      </c>
      <c r="J1326">
        <v>885.74</v>
      </c>
      <c r="K1326" t="s">
        <v>737</v>
      </c>
      <c r="L1326" t="s">
        <v>1603</v>
      </c>
    </row>
    <row r="1327" spans="1:12">
      <c r="A1327">
        <v>1325</v>
      </c>
      <c r="B1327" t="s">
        <v>3</v>
      </c>
      <c r="C1327" t="s">
        <v>738</v>
      </c>
      <c r="D1327">
        <v>2018</v>
      </c>
      <c r="E1327">
        <v>3</v>
      </c>
      <c r="F1327">
        <v>40</v>
      </c>
      <c r="G1327">
        <v>4</v>
      </c>
      <c r="H1327">
        <v>16</v>
      </c>
      <c r="I1327">
        <v>0</v>
      </c>
      <c r="J1327">
        <v>885.76</v>
      </c>
      <c r="K1327" t="s">
        <v>737</v>
      </c>
      <c r="L1327" t="s">
        <v>1604</v>
      </c>
    </row>
    <row r="1328" spans="1:12">
      <c r="A1328">
        <v>1326</v>
      </c>
      <c r="B1328" t="s">
        <v>3</v>
      </c>
      <c r="C1328" t="s">
        <v>738</v>
      </c>
      <c r="D1328">
        <v>2018</v>
      </c>
      <c r="E1328">
        <v>3</v>
      </c>
      <c r="F1328">
        <v>41</v>
      </c>
      <c r="G1328">
        <v>4</v>
      </c>
      <c r="H1328">
        <v>16</v>
      </c>
      <c r="I1328">
        <v>0</v>
      </c>
      <c r="J1328">
        <v>143.63</v>
      </c>
      <c r="K1328" t="s">
        <v>737</v>
      </c>
      <c r="L1328" t="s">
        <v>1605</v>
      </c>
    </row>
    <row r="1329" spans="1:12">
      <c r="A1329">
        <v>1327</v>
      </c>
      <c r="B1329" t="s">
        <v>3</v>
      </c>
      <c r="C1329" t="s">
        <v>738</v>
      </c>
      <c r="D1329">
        <v>2018</v>
      </c>
      <c r="E1329">
        <v>4</v>
      </c>
      <c r="F1329">
        <v>11</v>
      </c>
      <c r="G1329">
        <v>4</v>
      </c>
      <c r="H1329">
        <v>20</v>
      </c>
      <c r="I1329">
        <v>0</v>
      </c>
      <c r="J1329">
        <v>-1548</v>
      </c>
      <c r="K1329" t="s">
        <v>737</v>
      </c>
      <c r="L1329" t="s">
        <v>1607</v>
      </c>
    </row>
    <row r="1330" spans="1:12">
      <c r="A1330">
        <v>1328</v>
      </c>
      <c r="B1330" t="s">
        <v>3</v>
      </c>
      <c r="C1330" t="s">
        <v>738</v>
      </c>
      <c r="D1330">
        <v>2018</v>
      </c>
      <c r="E1330">
        <v>4</v>
      </c>
      <c r="F1330">
        <v>17</v>
      </c>
      <c r="G1330">
        <v>4</v>
      </c>
      <c r="H1330">
        <v>20</v>
      </c>
      <c r="I1330">
        <v>0</v>
      </c>
      <c r="J1330">
        <v>14672.130000000005</v>
      </c>
      <c r="K1330" t="s">
        <v>737</v>
      </c>
      <c r="L1330" t="s">
        <v>1600</v>
      </c>
    </row>
    <row r="1331" spans="1:12">
      <c r="A1331">
        <v>1329</v>
      </c>
      <c r="B1331" t="s">
        <v>3</v>
      </c>
      <c r="C1331" t="s">
        <v>738</v>
      </c>
      <c r="D1331">
        <v>2018</v>
      </c>
      <c r="E1331">
        <v>4</v>
      </c>
      <c r="F1331">
        <v>17</v>
      </c>
      <c r="G1331">
        <v>4</v>
      </c>
      <c r="H1331">
        <v>20</v>
      </c>
      <c r="I1331">
        <v>0</v>
      </c>
      <c r="J1331">
        <v>2678.92</v>
      </c>
      <c r="K1331" t="s">
        <v>737</v>
      </c>
      <c r="L1331" t="s">
        <v>1613</v>
      </c>
    </row>
    <row r="1332" spans="1:12">
      <c r="A1332">
        <v>1330</v>
      </c>
      <c r="B1332" t="s">
        <v>3</v>
      </c>
      <c r="C1332" t="s">
        <v>738</v>
      </c>
      <c r="D1332">
        <v>2018</v>
      </c>
      <c r="E1332">
        <v>4</v>
      </c>
      <c r="F1332">
        <v>20</v>
      </c>
      <c r="G1332">
        <v>4</v>
      </c>
      <c r="H1332">
        <v>20</v>
      </c>
      <c r="I1332">
        <v>0</v>
      </c>
      <c r="J1332">
        <v>173.51</v>
      </c>
      <c r="K1332" t="s">
        <v>737</v>
      </c>
      <c r="L1332" t="s">
        <v>1601</v>
      </c>
    </row>
    <row r="1333" spans="1:12">
      <c r="A1333">
        <v>1331</v>
      </c>
      <c r="B1333" t="s">
        <v>3</v>
      </c>
      <c r="C1333" t="s">
        <v>738</v>
      </c>
      <c r="D1333">
        <v>2018</v>
      </c>
      <c r="E1333">
        <v>4</v>
      </c>
      <c r="F1333">
        <v>25</v>
      </c>
      <c r="G1333">
        <v>4</v>
      </c>
      <c r="H1333">
        <v>20</v>
      </c>
      <c r="I1333">
        <v>0</v>
      </c>
      <c r="J1333">
        <v>237.12</v>
      </c>
      <c r="K1333" t="s">
        <v>737</v>
      </c>
      <c r="L1333" t="s">
        <v>1616</v>
      </c>
    </row>
    <row r="1334" spans="1:12">
      <c r="A1334">
        <v>1332</v>
      </c>
      <c r="B1334" t="s">
        <v>3</v>
      </c>
      <c r="C1334" t="s">
        <v>738</v>
      </c>
      <c r="D1334">
        <v>2018</v>
      </c>
      <c r="E1334">
        <v>4</v>
      </c>
      <c r="F1334">
        <v>29</v>
      </c>
      <c r="G1334">
        <v>4</v>
      </c>
      <c r="H1334">
        <v>20</v>
      </c>
      <c r="I1334">
        <v>0</v>
      </c>
      <c r="J1334">
        <v>11274.6</v>
      </c>
      <c r="K1334" t="s">
        <v>737</v>
      </c>
      <c r="L1334" t="s">
        <v>1617</v>
      </c>
    </row>
    <row r="1335" spans="1:12">
      <c r="A1335">
        <v>1333</v>
      </c>
      <c r="B1335" t="s">
        <v>3</v>
      </c>
      <c r="C1335" t="s">
        <v>738</v>
      </c>
      <c r="D1335">
        <v>2018</v>
      </c>
      <c r="E1335">
        <v>4</v>
      </c>
      <c r="F1335">
        <v>40</v>
      </c>
      <c r="G1335">
        <v>4</v>
      </c>
      <c r="H1335">
        <v>20</v>
      </c>
      <c r="I1335">
        <v>0</v>
      </c>
      <c r="J1335">
        <v>913.18999999999994</v>
      </c>
      <c r="K1335" t="s">
        <v>737</v>
      </c>
      <c r="L1335" t="s">
        <v>1603</v>
      </c>
    </row>
    <row r="1336" spans="1:12">
      <c r="A1336">
        <v>1334</v>
      </c>
      <c r="B1336" t="s">
        <v>3</v>
      </c>
      <c r="C1336" t="s">
        <v>738</v>
      </c>
      <c r="D1336">
        <v>2018</v>
      </c>
      <c r="E1336">
        <v>4</v>
      </c>
      <c r="F1336">
        <v>40</v>
      </c>
      <c r="G1336">
        <v>4</v>
      </c>
      <c r="H1336">
        <v>20</v>
      </c>
      <c r="I1336">
        <v>0</v>
      </c>
      <c r="J1336">
        <v>913.2</v>
      </c>
      <c r="K1336" t="s">
        <v>737</v>
      </c>
      <c r="L1336" t="s">
        <v>1604</v>
      </c>
    </row>
    <row r="1337" spans="1:12">
      <c r="A1337">
        <v>1335</v>
      </c>
      <c r="B1337" t="s">
        <v>3</v>
      </c>
      <c r="C1337" t="s">
        <v>738</v>
      </c>
      <c r="D1337">
        <v>2018</v>
      </c>
      <c r="E1337">
        <v>4</v>
      </c>
      <c r="F1337">
        <v>41</v>
      </c>
      <c r="G1337">
        <v>4</v>
      </c>
      <c r="H1337">
        <v>20</v>
      </c>
      <c r="I1337">
        <v>0</v>
      </c>
      <c r="J1337">
        <v>148.09</v>
      </c>
      <c r="K1337" t="s">
        <v>737</v>
      </c>
      <c r="L1337" t="s">
        <v>1605</v>
      </c>
    </row>
    <row r="1338" spans="1:12">
      <c r="A1338">
        <v>1336</v>
      </c>
      <c r="B1338" t="s">
        <v>3</v>
      </c>
      <c r="C1338" t="s">
        <v>738</v>
      </c>
      <c r="D1338">
        <v>2018</v>
      </c>
      <c r="E1338">
        <v>4</v>
      </c>
      <c r="F1338">
        <v>45</v>
      </c>
      <c r="G1338">
        <v>4</v>
      </c>
      <c r="H1338">
        <v>20</v>
      </c>
      <c r="I1338">
        <v>0</v>
      </c>
      <c r="J1338">
        <v>16732.52</v>
      </c>
      <c r="K1338" t="s">
        <v>737</v>
      </c>
      <c r="L1338" t="s">
        <v>1606</v>
      </c>
    </row>
    <row r="1339" spans="1:12">
      <c r="A1339">
        <v>1337</v>
      </c>
      <c r="B1339" t="s">
        <v>3</v>
      </c>
      <c r="C1339" t="s">
        <v>738</v>
      </c>
      <c r="D1339">
        <v>2019</v>
      </c>
      <c r="E1339">
        <v>1</v>
      </c>
      <c r="F1339">
        <v>8</v>
      </c>
      <c r="G1339">
        <v>3</v>
      </c>
      <c r="H1339">
        <v>7</v>
      </c>
      <c r="I1339">
        <v>-137883</v>
      </c>
      <c r="J1339">
        <v>-68941</v>
      </c>
      <c r="K1339" t="s">
        <v>737</v>
      </c>
      <c r="L1339" t="s">
        <v>1599</v>
      </c>
    </row>
    <row r="1340" spans="1:12">
      <c r="A1340">
        <v>1338</v>
      </c>
      <c r="B1340" t="s">
        <v>3</v>
      </c>
      <c r="C1340" t="s">
        <v>738</v>
      </c>
      <c r="D1340">
        <v>2019</v>
      </c>
      <c r="E1340">
        <v>1</v>
      </c>
      <c r="F1340">
        <v>17</v>
      </c>
      <c r="G1340">
        <v>3</v>
      </c>
      <c r="H1340">
        <v>7</v>
      </c>
      <c r="I1340">
        <v>83272</v>
      </c>
      <c r="J1340">
        <v>0</v>
      </c>
      <c r="K1340" t="s">
        <v>737</v>
      </c>
      <c r="L1340" t="s">
        <v>1612</v>
      </c>
    </row>
    <row r="1341" spans="1:12">
      <c r="A1341">
        <v>1339</v>
      </c>
      <c r="B1341" t="s">
        <v>3</v>
      </c>
      <c r="C1341" t="s">
        <v>738</v>
      </c>
      <c r="D1341">
        <v>2019</v>
      </c>
      <c r="E1341">
        <v>1</v>
      </c>
      <c r="F1341">
        <v>17</v>
      </c>
      <c r="G1341">
        <v>3</v>
      </c>
      <c r="H1341">
        <v>7</v>
      </c>
      <c r="I1341">
        <v>0</v>
      </c>
      <c r="J1341">
        <v>6799.13</v>
      </c>
      <c r="K1341" t="s">
        <v>737</v>
      </c>
      <c r="L1341" t="s">
        <v>1600</v>
      </c>
    </row>
    <row r="1342" spans="1:12">
      <c r="A1342">
        <v>1340</v>
      </c>
      <c r="B1342" t="s">
        <v>3</v>
      </c>
      <c r="C1342" t="s">
        <v>738</v>
      </c>
      <c r="D1342">
        <v>2019</v>
      </c>
      <c r="E1342">
        <v>1</v>
      </c>
      <c r="F1342">
        <v>20</v>
      </c>
      <c r="G1342">
        <v>3</v>
      </c>
      <c r="H1342">
        <v>7</v>
      </c>
      <c r="I1342">
        <v>833</v>
      </c>
      <c r="J1342">
        <v>0</v>
      </c>
      <c r="K1342" t="s">
        <v>737</v>
      </c>
      <c r="L1342" t="s">
        <v>1615</v>
      </c>
    </row>
    <row r="1343" spans="1:12">
      <c r="A1343">
        <v>1341</v>
      </c>
      <c r="B1343" t="s">
        <v>3</v>
      </c>
      <c r="C1343" t="s">
        <v>738</v>
      </c>
      <c r="D1343">
        <v>2019</v>
      </c>
      <c r="E1343">
        <v>1</v>
      </c>
      <c r="F1343">
        <v>20</v>
      </c>
      <c r="G1343">
        <v>3</v>
      </c>
      <c r="H1343">
        <v>7</v>
      </c>
      <c r="I1343">
        <v>0</v>
      </c>
      <c r="J1343">
        <v>54.4</v>
      </c>
      <c r="K1343" t="s">
        <v>737</v>
      </c>
      <c r="L1343" t="s">
        <v>1601</v>
      </c>
    </row>
    <row r="1344" spans="1:12">
      <c r="A1344">
        <v>1342</v>
      </c>
      <c r="B1344" t="s">
        <v>3</v>
      </c>
      <c r="C1344" t="s">
        <v>738</v>
      </c>
      <c r="D1344">
        <v>2019</v>
      </c>
      <c r="E1344">
        <v>1</v>
      </c>
      <c r="F1344">
        <v>23</v>
      </c>
      <c r="G1344">
        <v>3</v>
      </c>
      <c r="H1344">
        <v>7</v>
      </c>
      <c r="I1344">
        <v>45000</v>
      </c>
      <c r="J1344">
        <v>0</v>
      </c>
      <c r="K1344" t="s">
        <v>737</v>
      </c>
      <c r="L1344" t="s">
        <v>1602</v>
      </c>
    </row>
    <row r="1345" spans="1:12">
      <c r="A1345">
        <v>1343</v>
      </c>
      <c r="B1345" t="s">
        <v>3</v>
      </c>
      <c r="C1345" t="s">
        <v>738</v>
      </c>
      <c r="D1345">
        <v>2019</v>
      </c>
      <c r="E1345">
        <v>1</v>
      </c>
      <c r="F1345">
        <v>25</v>
      </c>
      <c r="G1345">
        <v>3</v>
      </c>
      <c r="H1345">
        <v>7</v>
      </c>
      <c r="I1345">
        <v>0</v>
      </c>
      <c r="J1345">
        <v>322.08</v>
      </c>
      <c r="K1345" t="s">
        <v>737</v>
      </c>
      <c r="L1345" t="s">
        <v>1616</v>
      </c>
    </row>
    <row r="1346" spans="1:12">
      <c r="A1346">
        <v>1344</v>
      </c>
      <c r="B1346" t="s">
        <v>3</v>
      </c>
      <c r="C1346" t="s">
        <v>738</v>
      </c>
      <c r="D1346">
        <v>2019</v>
      </c>
      <c r="E1346">
        <v>1</v>
      </c>
      <c r="F1346">
        <v>29</v>
      </c>
      <c r="G1346">
        <v>3</v>
      </c>
      <c r="H1346">
        <v>7</v>
      </c>
      <c r="I1346">
        <v>0</v>
      </c>
      <c r="J1346">
        <v>7740</v>
      </c>
      <c r="K1346" t="s">
        <v>737</v>
      </c>
      <c r="L1346" t="s">
        <v>1617</v>
      </c>
    </row>
    <row r="1347" spans="1:12">
      <c r="A1347">
        <v>1345</v>
      </c>
      <c r="B1347" t="s">
        <v>3</v>
      </c>
      <c r="C1347" t="s">
        <v>738</v>
      </c>
      <c r="D1347">
        <v>2019</v>
      </c>
      <c r="E1347">
        <v>1</v>
      </c>
      <c r="F1347">
        <v>40</v>
      </c>
      <c r="G1347">
        <v>3</v>
      </c>
      <c r="H1347">
        <v>7</v>
      </c>
      <c r="I1347">
        <v>8120</v>
      </c>
      <c r="J1347">
        <v>504.15</v>
      </c>
      <c r="K1347" t="s">
        <v>737</v>
      </c>
      <c r="L1347" t="s">
        <v>1603</v>
      </c>
    </row>
    <row r="1348" spans="1:12">
      <c r="A1348">
        <v>1346</v>
      </c>
      <c r="B1348" t="s">
        <v>3</v>
      </c>
      <c r="C1348" t="s">
        <v>738</v>
      </c>
      <c r="D1348">
        <v>2019</v>
      </c>
      <c r="E1348">
        <v>1</v>
      </c>
      <c r="F1348">
        <v>40</v>
      </c>
      <c r="G1348">
        <v>3</v>
      </c>
      <c r="H1348">
        <v>7</v>
      </c>
      <c r="I1348">
        <v>0</v>
      </c>
      <c r="J1348">
        <v>504.15000000000003</v>
      </c>
      <c r="K1348" t="s">
        <v>737</v>
      </c>
      <c r="L1348" t="s">
        <v>1604</v>
      </c>
    </row>
    <row r="1349" spans="1:12">
      <c r="A1349">
        <v>1347</v>
      </c>
      <c r="B1349" t="s">
        <v>3</v>
      </c>
      <c r="C1349" t="s">
        <v>738</v>
      </c>
      <c r="D1349">
        <v>2019</v>
      </c>
      <c r="E1349">
        <v>1</v>
      </c>
      <c r="F1349">
        <v>41</v>
      </c>
      <c r="G1349">
        <v>3</v>
      </c>
      <c r="H1349">
        <v>7</v>
      </c>
      <c r="I1349">
        <v>659</v>
      </c>
      <c r="J1349">
        <v>92.48</v>
      </c>
      <c r="K1349" t="s">
        <v>737</v>
      </c>
      <c r="L1349" t="s">
        <v>1605</v>
      </c>
    </row>
    <row r="1350" spans="1:12">
      <c r="A1350">
        <v>1348</v>
      </c>
      <c r="B1350" t="s">
        <v>3</v>
      </c>
      <c r="C1350" t="s">
        <v>738</v>
      </c>
      <c r="D1350">
        <v>2019</v>
      </c>
      <c r="E1350">
        <v>2</v>
      </c>
      <c r="F1350">
        <v>17</v>
      </c>
      <c r="G1350">
        <v>3</v>
      </c>
      <c r="H1350">
        <v>11</v>
      </c>
      <c r="I1350">
        <v>0</v>
      </c>
      <c r="J1350">
        <v>41229.969999999987</v>
      </c>
      <c r="K1350" t="s">
        <v>737</v>
      </c>
      <c r="L1350" t="s">
        <v>1600</v>
      </c>
    </row>
    <row r="1351" spans="1:12">
      <c r="A1351">
        <v>1349</v>
      </c>
      <c r="B1351" t="s">
        <v>3</v>
      </c>
      <c r="C1351" t="s">
        <v>738</v>
      </c>
      <c r="D1351">
        <v>2019</v>
      </c>
      <c r="E1351">
        <v>2</v>
      </c>
      <c r="F1351">
        <v>17</v>
      </c>
      <c r="G1351">
        <v>3</v>
      </c>
      <c r="H1351">
        <v>11</v>
      </c>
      <c r="I1351">
        <v>0</v>
      </c>
      <c r="J1351">
        <v>1195.49</v>
      </c>
      <c r="K1351" t="s">
        <v>737</v>
      </c>
      <c r="L1351" t="s">
        <v>1613</v>
      </c>
    </row>
    <row r="1352" spans="1:12">
      <c r="A1352">
        <v>1350</v>
      </c>
      <c r="B1352" t="s">
        <v>3</v>
      </c>
      <c r="C1352" t="s">
        <v>738</v>
      </c>
      <c r="D1352">
        <v>2019</v>
      </c>
      <c r="E1352">
        <v>2</v>
      </c>
      <c r="F1352">
        <v>20</v>
      </c>
      <c r="G1352">
        <v>3</v>
      </c>
      <c r="H1352">
        <v>11</v>
      </c>
      <c r="I1352">
        <v>0</v>
      </c>
      <c r="J1352">
        <v>339.41</v>
      </c>
      <c r="K1352" t="s">
        <v>737</v>
      </c>
      <c r="L1352" t="s">
        <v>1601</v>
      </c>
    </row>
    <row r="1353" spans="1:12">
      <c r="A1353">
        <v>1351</v>
      </c>
      <c r="B1353" t="s">
        <v>3</v>
      </c>
      <c r="C1353" t="s">
        <v>738</v>
      </c>
      <c r="D1353">
        <v>2019</v>
      </c>
      <c r="E1353">
        <v>2</v>
      </c>
      <c r="F1353">
        <v>25</v>
      </c>
      <c r="G1353">
        <v>3</v>
      </c>
      <c r="H1353">
        <v>11</v>
      </c>
      <c r="I1353">
        <v>0</v>
      </c>
      <c r="J1353">
        <v>322.08</v>
      </c>
      <c r="K1353" t="s">
        <v>737</v>
      </c>
      <c r="L1353" t="s">
        <v>1616</v>
      </c>
    </row>
    <row r="1354" spans="1:12">
      <c r="A1354">
        <v>1352</v>
      </c>
      <c r="B1354" t="s">
        <v>3</v>
      </c>
      <c r="C1354" t="s">
        <v>738</v>
      </c>
      <c r="D1354">
        <v>2019</v>
      </c>
      <c r="E1354">
        <v>2</v>
      </c>
      <c r="F1354">
        <v>29</v>
      </c>
      <c r="G1354">
        <v>3</v>
      </c>
      <c r="H1354">
        <v>11</v>
      </c>
      <c r="I1354">
        <v>0</v>
      </c>
      <c r="J1354">
        <v>11236</v>
      </c>
      <c r="K1354" t="s">
        <v>737</v>
      </c>
      <c r="L1354" t="s">
        <v>1617</v>
      </c>
    </row>
    <row r="1355" spans="1:12">
      <c r="A1355">
        <v>1353</v>
      </c>
      <c r="B1355" t="s">
        <v>3</v>
      </c>
      <c r="C1355" t="s">
        <v>738</v>
      </c>
      <c r="D1355">
        <v>2019</v>
      </c>
      <c r="E1355">
        <v>2</v>
      </c>
      <c r="F1355">
        <v>40</v>
      </c>
      <c r="G1355">
        <v>3</v>
      </c>
      <c r="H1355">
        <v>11</v>
      </c>
      <c r="I1355">
        <v>0</v>
      </c>
      <c r="J1355">
        <v>1836.11</v>
      </c>
      <c r="K1355" t="s">
        <v>737</v>
      </c>
      <c r="L1355" t="s">
        <v>1603</v>
      </c>
    </row>
    <row r="1356" spans="1:12">
      <c r="A1356">
        <v>1354</v>
      </c>
      <c r="B1356" t="s">
        <v>3</v>
      </c>
      <c r="C1356" t="s">
        <v>738</v>
      </c>
      <c r="D1356">
        <v>2019</v>
      </c>
      <c r="E1356">
        <v>2</v>
      </c>
      <c r="F1356">
        <v>40</v>
      </c>
      <c r="G1356">
        <v>3</v>
      </c>
      <c r="H1356">
        <v>11</v>
      </c>
      <c r="I1356">
        <v>0</v>
      </c>
      <c r="J1356">
        <v>1836.1200000000001</v>
      </c>
      <c r="K1356" t="s">
        <v>737</v>
      </c>
      <c r="L1356" t="s">
        <v>1604</v>
      </c>
    </row>
    <row r="1357" spans="1:12">
      <c r="A1357">
        <v>1355</v>
      </c>
      <c r="B1357" t="s">
        <v>3</v>
      </c>
      <c r="C1357" t="s">
        <v>738</v>
      </c>
      <c r="D1357">
        <v>2019</v>
      </c>
      <c r="E1357">
        <v>2</v>
      </c>
      <c r="F1357">
        <v>41</v>
      </c>
      <c r="G1357">
        <v>3</v>
      </c>
      <c r="H1357">
        <v>11</v>
      </c>
      <c r="I1357">
        <v>0</v>
      </c>
      <c r="J1357">
        <v>336.8</v>
      </c>
      <c r="K1357" t="s">
        <v>737</v>
      </c>
      <c r="L1357" t="s">
        <v>1605</v>
      </c>
    </row>
    <row r="1358" spans="1:12">
      <c r="A1358">
        <v>1356</v>
      </c>
      <c r="B1358" t="s">
        <v>3</v>
      </c>
      <c r="C1358" t="s">
        <v>738</v>
      </c>
      <c r="D1358">
        <v>2019</v>
      </c>
      <c r="E1358">
        <v>3</v>
      </c>
      <c r="F1358">
        <v>8</v>
      </c>
      <c r="G1358">
        <v>3</v>
      </c>
      <c r="H1358">
        <v>15</v>
      </c>
      <c r="I1358">
        <v>0</v>
      </c>
      <c r="J1358">
        <v>-68942</v>
      </c>
      <c r="K1358" t="s">
        <v>737</v>
      </c>
      <c r="L1358" t="s">
        <v>1599</v>
      </c>
    </row>
    <row r="1359" spans="1:12">
      <c r="A1359">
        <v>1357</v>
      </c>
      <c r="B1359" t="s">
        <v>3</v>
      </c>
      <c r="C1359" t="s">
        <v>738</v>
      </c>
      <c r="D1359">
        <v>2019</v>
      </c>
      <c r="E1359">
        <v>3</v>
      </c>
      <c r="F1359">
        <v>17</v>
      </c>
      <c r="G1359">
        <v>3</v>
      </c>
      <c r="H1359">
        <v>15</v>
      </c>
      <c r="I1359">
        <v>0</v>
      </c>
      <c r="J1359">
        <v>20244.670000000002</v>
      </c>
      <c r="K1359" t="s">
        <v>737</v>
      </c>
      <c r="L1359" t="s">
        <v>1600</v>
      </c>
    </row>
    <row r="1360" spans="1:12">
      <c r="A1360">
        <v>1358</v>
      </c>
      <c r="B1360" t="s">
        <v>3</v>
      </c>
      <c r="C1360" t="s">
        <v>738</v>
      </c>
      <c r="D1360">
        <v>2019</v>
      </c>
      <c r="E1360">
        <v>3</v>
      </c>
      <c r="F1360">
        <v>17</v>
      </c>
      <c r="G1360">
        <v>3</v>
      </c>
      <c r="H1360">
        <v>15</v>
      </c>
      <c r="I1360">
        <v>0</v>
      </c>
      <c r="J1360">
        <v>1329.27</v>
      </c>
      <c r="K1360" t="s">
        <v>737</v>
      </c>
      <c r="L1360" t="s">
        <v>1613</v>
      </c>
    </row>
    <row r="1361" spans="1:12">
      <c r="A1361">
        <v>1359</v>
      </c>
      <c r="B1361" t="s">
        <v>3</v>
      </c>
      <c r="C1361" t="s">
        <v>738</v>
      </c>
      <c r="D1361">
        <v>2019</v>
      </c>
      <c r="E1361">
        <v>3</v>
      </c>
      <c r="F1361">
        <v>20</v>
      </c>
      <c r="G1361">
        <v>3</v>
      </c>
      <c r="H1361">
        <v>15</v>
      </c>
      <c r="I1361">
        <v>0</v>
      </c>
      <c r="J1361">
        <v>172.6</v>
      </c>
      <c r="K1361" t="s">
        <v>737</v>
      </c>
      <c r="L1361" t="s">
        <v>1601</v>
      </c>
    </row>
    <row r="1362" spans="1:12">
      <c r="A1362">
        <v>1360</v>
      </c>
      <c r="B1362" t="s">
        <v>3</v>
      </c>
      <c r="C1362" t="s">
        <v>738</v>
      </c>
      <c r="D1362">
        <v>2019</v>
      </c>
      <c r="E1362">
        <v>3</v>
      </c>
      <c r="F1362">
        <v>25</v>
      </c>
      <c r="G1362">
        <v>3</v>
      </c>
      <c r="H1362">
        <v>15</v>
      </c>
      <c r="I1362">
        <v>0</v>
      </c>
      <c r="J1362">
        <v>322.08</v>
      </c>
      <c r="K1362" t="s">
        <v>737</v>
      </c>
      <c r="L1362" t="s">
        <v>1616</v>
      </c>
    </row>
    <row r="1363" spans="1:12">
      <c r="A1363">
        <v>1361</v>
      </c>
      <c r="B1363" t="s">
        <v>3</v>
      </c>
      <c r="C1363" t="s">
        <v>738</v>
      </c>
      <c r="D1363">
        <v>2019</v>
      </c>
      <c r="E1363">
        <v>3</v>
      </c>
      <c r="F1363">
        <v>29</v>
      </c>
      <c r="G1363">
        <v>3</v>
      </c>
      <c r="H1363">
        <v>15</v>
      </c>
      <c r="I1363">
        <v>0</v>
      </c>
      <c r="J1363">
        <v>10688</v>
      </c>
      <c r="K1363" t="s">
        <v>737</v>
      </c>
      <c r="L1363" t="s">
        <v>1617</v>
      </c>
    </row>
    <row r="1364" spans="1:12">
      <c r="A1364">
        <v>1362</v>
      </c>
      <c r="B1364" t="s">
        <v>3</v>
      </c>
      <c r="C1364" t="s">
        <v>738</v>
      </c>
      <c r="D1364">
        <v>2019</v>
      </c>
      <c r="E1364">
        <v>3</v>
      </c>
      <c r="F1364">
        <v>40</v>
      </c>
      <c r="G1364">
        <v>3</v>
      </c>
      <c r="H1364">
        <v>15</v>
      </c>
      <c r="I1364">
        <v>0</v>
      </c>
      <c r="J1364">
        <v>1107.18</v>
      </c>
      <c r="K1364" t="s">
        <v>737</v>
      </c>
      <c r="L1364" t="s">
        <v>1603</v>
      </c>
    </row>
    <row r="1365" spans="1:12">
      <c r="A1365">
        <v>1363</v>
      </c>
      <c r="B1365" t="s">
        <v>3</v>
      </c>
      <c r="C1365" t="s">
        <v>738</v>
      </c>
      <c r="D1365">
        <v>2019</v>
      </c>
      <c r="E1365">
        <v>3</v>
      </c>
      <c r="F1365">
        <v>40</v>
      </c>
      <c r="G1365">
        <v>3</v>
      </c>
      <c r="H1365">
        <v>15</v>
      </c>
      <c r="I1365">
        <v>0</v>
      </c>
      <c r="J1365">
        <v>1107.17</v>
      </c>
      <c r="K1365" t="s">
        <v>737</v>
      </c>
      <c r="L1365" t="s">
        <v>1604</v>
      </c>
    </row>
    <row r="1366" spans="1:12">
      <c r="A1366">
        <v>1364</v>
      </c>
      <c r="B1366" t="s">
        <v>3</v>
      </c>
      <c r="C1366" t="s">
        <v>738</v>
      </c>
      <c r="D1366">
        <v>2019</v>
      </c>
      <c r="E1366">
        <v>3</v>
      </c>
      <c r="F1366">
        <v>41</v>
      </c>
      <c r="G1366">
        <v>3</v>
      </c>
      <c r="H1366">
        <v>15</v>
      </c>
      <c r="I1366">
        <v>0</v>
      </c>
      <c r="J1366">
        <v>203.07999999999998</v>
      </c>
      <c r="K1366" t="s">
        <v>737</v>
      </c>
      <c r="L1366" t="s">
        <v>1605</v>
      </c>
    </row>
    <row r="1367" spans="1:12">
      <c r="A1367">
        <v>1365</v>
      </c>
      <c r="B1367" t="s">
        <v>3</v>
      </c>
      <c r="C1367" t="s">
        <v>738</v>
      </c>
      <c r="D1367">
        <v>2019</v>
      </c>
      <c r="E1367">
        <v>4</v>
      </c>
      <c r="F1367">
        <v>11</v>
      </c>
      <c r="G1367">
        <v>3</v>
      </c>
      <c r="H1367">
        <v>19</v>
      </c>
      <c r="I1367">
        <v>0</v>
      </c>
      <c r="J1367">
        <v>-4603.42</v>
      </c>
      <c r="K1367" t="s">
        <v>737</v>
      </c>
      <c r="L1367" t="s">
        <v>1607</v>
      </c>
    </row>
    <row r="1368" spans="1:12">
      <c r="A1368">
        <v>1366</v>
      </c>
      <c r="B1368" t="s">
        <v>3</v>
      </c>
      <c r="C1368" t="s">
        <v>738</v>
      </c>
      <c r="D1368">
        <v>2019</v>
      </c>
      <c r="E1368">
        <v>4</v>
      </c>
      <c r="F1368">
        <v>17</v>
      </c>
      <c r="G1368">
        <v>3</v>
      </c>
      <c r="H1368">
        <v>19</v>
      </c>
      <c r="I1368">
        <v>0</v>
      </c>
      <c r="J1368">
        <v>13047.22</v>
      </c>
      <c r="K1368" t="s">
        <v>737</v>
      </c>
      <c r="L1368" t="s">
        <v>1600</v>
      </c>
    </row>
    <row r="1369" spans="1:12">
      <c r="A1369">
        <v>1367</v>
      </c>
      <c r="B1369" t="s">
        <v>3</v>
      </c>
      <c r="C1369" t="s">
        <v>738</v>
      </c>
      <c r="D1369">
        <v>2019</v>
      </c>
      <c r="E1369">
        <v>4</v>
      </c>
      <c r="F1369">
        <v>17</v>
      </c>
      <c r="G1369">
        <v>3</v>
      </c>
      <c r="H1369">
        <v>19</v>
      </c>
      <c r="I1369">
        <v>0</v>
      </c>
      <c r="J1369">
        <v>2879.9400000000005</v>
      </c>
      <c r="K1369" t="s">
        <v>737</v>
      </c>
      <c r="L1369" t="s">
        <v>1613</v>
      </c>
    </row>
    <row r="1370" spans="1:12">
      <c r="A1370">
        <v>1368</v>
      </c>
      <c r="B1370" t="s">
        <v>3</v>
      </c>
      <c r="C1370" t="s">
        <v>738</v>
      </c>
      <c r="D1370">
        <v>2019</v>
      </c>
      <c r="E1370">
        <v>4</v>
      </c>
      <c r="F1370">
        <v>20</v>
      </c>
      <c r="G1370">
        <v>3</v>
      </c>
      <c r="H1370">
        <v>19</v>
      </c>
      <c r="I1370">
        <v>0</v>
      </c>
      <c r="J1370">
        <v>127.41000000000001</v>
      </c>
      <c r="K1370" t="s">
        <v>737</v>
      </c>
      <c r="L1370" t="s">
        <v>1601</v>
      </c>
    </row>
    <row r="1371" spans="1:12">
      <c r="A1371">
        <v>1369</v>
      </c>
      <c r="B1371" t="s">
        <v>3</v>
      </c>
      <c r="C1371" t="s">
        <v>738</v>
      </c>
      <c r="D1371">
        <v>2019</v>
      </c>
      <c r="E1371">
        <v>4</v>
      </c>
      <c r="F1371">
        <v>25</v>
      </c>
      <c r="G1371">
        <v>3</v>
      </c>
      <c r="H1371">
        <v>19</v>
      </c>
      <c r="I1371">
        <v>0</v>
      </c>
      <c r="J1371">
        <v>322.08</v>
      </c>
      <c r="K1371" t="s">
        <v>737</v>
      </c>
      <c r="L1371" t="s">
        <v>1616</v>
      </c>
    </row>
    <row r="1372" spans="1:12">
      <c r="A1372">
        <v>1370</v>
      </c>
      <c r="B1372" t="s">
        <v>3</v>
      </c>
      <c r="C1372" t="s">
        <v>738</v>
      </c>
      <c r="D1372">
        <v>2019</v>
      </c>
      <c r="E1372">
        <v>4</v>
      </c>
      <c r="F1372">
        <v>29</v>
      </c>
      <c r="G1372">
        <v>3</v>
      </c>
      <c r="H1372">
        <v>19</v>
      </c>
      <c r="I1372">
        <v>0</v>
      </c>
      <c r="J1372">
        <v>14321.799999999997</v>
      </c>
      <c r="K1372" t="s">
        <v>737</v>
      </c>
      <c r="L1372" t="s">
        <v>1617</v>
      </c>
    </row>
    <row r="1373" spans="1:12">
      <c r="A1373">
        <v>1371</v>
      </c>
      <c r="B1373" t="s">
        <v>3</v>
      </c>
      <c r="C1373" t="s">
        <v>738</v>
      </c>
      <c r="D1373">
        <v>2019</v>
      </c>
      <c r="E1373">
        <v>4</v>
      </c>
      <c r="F1373">
        <v>40</v>
      </c>
      <c r="G1373">
        <v>3</v>
      </c>
      <c r="H1373">
        <v>19</v>
      </c>
      <c r="I1373">
        <v>0</v>
      </c>
      <c r="J1373">
        <v>1037.5999999999999</v>
      </c>
      <c r="K1373" t="s">
        <v>737</v>
      </c>
      <c r="L1373" t="s">
        <v>1603</v>
      </c>
    </row>
    <row r="1374" spans="1:12">
      <c r="A1374">
        <v>1372</v>
      </c>
      <c r="B1374" t="s">
        <v>3</v>
      </c>
      <c r="C1374" t="s">
        <v>738</v>
      </c>
      <c r="D1374">
        <v>2019</v>
      </c>
      <c r="E1374">
        <v>4</v>
      </c>
      <c r="F1374">
        <v>40</v>
      </c>
      <c r="G1374">
        <v>3</v>
      </c>
      <c r="H1374">
        <v>19</v>
      </c>
      <c r="I1374">
        <v>0</v>
      </c>
      <c r="J1374">
        <v>1037.6099999999999</v>
      </c>
      <c r="K1374" t="s">
        <v>737</v>
      </c>
      <c r="L1374" t="s">
        <v>1604</v>
      </c>
    </row>
    <row r="1375" spans="1:12">
      <c r="A1375">
        <v>1373</v>
      </c>
      <c r="B1375" t="s">
        <v>3</v>
      </c>
      <c r="C1375" t="s">
        <v>738</v>
      </c>
      <c r="D1375">
        <v>2019</v>
      </c>
      <c r="E1375">
        <v>4</v>
      </c>
      <c r="F1375">
        <v>41</v>
      </c>
      <c r="G1375">
        <v>3</v>
      </c>
      <c r="H1375">
        <v>19</v>
      </c>
      <c r="I1375">
        <v>0</v>
      </c>
      <c r="J1375">
        <v>190.34</v>
      </c>
      <c r="K1375" t="s">
        <v>737</v>
      </c>
      <c r="L1375" t="s">
        <v>1605</v>
      </c>
    </row>
    <row r="1376" spans="1:12">
      <c r="A1376">
        <v>1374</v>
      </c>
      <c r="B1376" t="s">
        <v>3</v>
      </c>
      <c r="C1376" t="s">
        <v>738</v>
      </c>
      <c r="D1376">
        <v>2020</v>
      </c>
      <c r="E1376">
        <v>1</v>
      </c>
      <c r="F1376">
        <v>8</v>
      </c>
      <c r="G1376">
        <v>2</v>
      </c>
      <c r="H1376">
        <v>6</v>
      </c>
      <c r="I1376">
        <v>-140365</v>
      </c>
      <c r="J1376">
        <v>0</v>
      </c>
      <c r="K1376" t="s">
        <v>737</v>
      </c>
      <c r="L1376" t="s">
        <v>1599</v>
      </c>
    </row>
    <row r="1377" spans="1:12">
      <c r="A1377">
        <v>1375</v>
      </c>
      <c r="B1377" t="s">
        <v>3</v>
      </c>
      <c r="C1377" t="s">
        <v>738</v>
      </c>
      <c r="D1377">
        <v>2020</v>
      </c>
      <c r="E1377">
        <v>1</v>
      </c>
      <c r="F1377">
        <v>8</v>
      </c>
      <c r="G1377">
        <v>2</v>
      </c>
      <c r="H1377">
        <v>6</v>
      </c>
      <c r="I1377">
        <v>0</v>
      </c>
      <c r="J1377">
        <v>-70182</v>
      </c>
      <c r="K1377" t="s">
        <v>737</v>
      </c>
      <c r="L1377" t="s">
        <v>1611</v>
      </c>
    </row>
    <row r="1378" spans="1:12">
      <c r="A1378">
        <v>1376</v>
      </c>
      <c r="B1378" t="s">
        <v>3</v>
      </c>
      <c r="C1378" t="s">
        <v>738</v>
      </c>
      <c r="D1378">
        <v>2020</v>
      </c>
      <c r="E1378">
        <v>1</v>
      </c>
      <c r="F1378">
        <v>17</v>
      </c>
      <c r="G1378">
        <v>2</v>
      </c>
      <c r="H1378">
        <v>6</v>
      </c>
      <c r="I1378">
        <v>86940</v>
      </c>
      <c r="J1378">
        <v>0</v>
      </c>
      <c r="K1378" t="s">
        <v>737</v>
      </c>
      <c r="L1378" t="s">
        <v>1612</v>
      </c>
    </row>
    <row r="1379" spans="1:12">
      <c r="A1379">
        <v>1377</v>
      </c>
      <c r="B1379" t="s">
        <v>3</v>
      </c>
      <c r="C1379" t="s">
        <v>738</v>
      </c>
      <c r="D1379">
        <v>2020</v>
      </c>
      <c r="E1379">
        <v>1</v>
      </c>
      <c r="F1379">
        <v>17</v>
      </c>
      <c r="G1379">
        <v>2</v>
      </c>
      <c r="H1379">
        <v>6</v>
      </c>
      <c r="I1379">
        <v>0</v>
      </c>
      <c r="J1379">
        <v>19049.960000000003</v>
      </c>
      <c r="K1379" t="s">
        <v>737</v>
      </c>
      <c r="L1379" t="s">
        <v>1600</v>
      </c>
    </row>
    <row r="1380" spans="1:12">
      <c r="A1380">
        <v>1378</v>
      </c>
      <c r="B1380" t="s">
        <v>3</v>
      </c>
      <c r="C1380" t="s">
        <v>738</v>
      </c>
      <c r="D1380">
        <v>2020</v>
      </c>
      <c r="E1380">
        <v>1</v>
      </c>
      <c r="F1380">
        <v>20</v>
      </c>
      <c r="G1380">
        <v>2</v>
      </c>
      <c r="H1380">
        <v>6</v>
      </c>
      <c r="I1380">
        <v>956</v>
      </c>
      <c r="J1380">
        <v>0</v>
      </c>
      <c r="K1380" t="s">
        <v>737</v>
      </c>
      <c r="L1380" t="s">
        <v>1615</v>
      </c>
    </row>
    <row r="1381" spans="1:12">
      <c r="A1381">
        <v>1379</v>
      </c>
      <c r="B1381" t="s">
        <v>3</v>
      </c>
      <c r="C1381" t="s">
        <v>738</v>
      </c>
      <c r="D1381">
        <v>2020</v>
      </c>
      <c r="E1381">
        <v>1</v>
      </c>
      <c r="F1381">
        <v>20</v>
      </c>
      <c r="G1381">
        <v>2</v>
      </c>
      <c r="H1381">
        <v>6</v>
      </c>
      <c r="I1381">
        <v>0</v>
      </c>
      <c r="J1381">
        <v>209.54000000000002</v>
      </c>
      <c r="K1381" t="s">
        <v>737</v>
      </c>
      <c r="L1381" t="s">
        <v>1601</v>
      </c>
    </row>
    <row r="1382" spans="1:12">
      <c r="A1382">
        <v>1380</v>
      </c>
      <c r="B1382" t="s">
        <v>3</v>
      </c>
      <c r="C1382" t="s">
        <v>738</v>
      </c>
      <c r="D1382">
        <v>2020</v>
      </c>
      <c r="E1382">
        <v>1</v>
      </c>
      <c r="F1382">
        <v>23</v>
      </c>
      <c r="G1382">
        <v>2</v>
      </c>
      <c r="H1382">
        <v>6</v>
      </c>
      <c r="I1382">
        <v>42458</v>
      </c>
      <c r="J1382">
        <v>0</v>
      </c>
      <c r="K1382" t="s">
        <v>737</v>
      </c>
      <c r="L1382" t="s">
        <v>1602</v>
      </c>
    </row>
    <row r="1383" spans="1:12">
      <c r="A1383">
        <v>1381</v>
      </c>
      <c r="B1383" t="s">
        <v>3</v>
      </c>
      <c r="C1383" t="s">
        <v>738</v>
      </c>
      <c r="D1383">
        <v>2020</v>
      </c>
      <c r="E1383">
        <v>1</v>
      </c>
      <c r="F1383">
        <v>25</v>
      </c>
      <c r="G1383">
        <v>2</v>
      </c>
      <c r="H1383">
        <v>6</v>
      </c>
      <c r="I1383">
        <v>0</v>
      </c>
      <c r="J1383">
        <v>367.86</v>
      </c>
      <c r="K1383" t="s">
        <v>737</v>
      </c>
      <c r="L1383" t="s">
        <v>1616</v>
      </c>
    </row>
    <row r="1384" spans="1:12">
      <c r="A1384">
        <v>1382</v>
      </c>
      <c r="B1384" t="s">
        <v>3</v>
      </c>
      <c r="C1384" t="s">
        <v>738</v>
      </c>
      <c r="D1384">
        <v>2020</v>
      </c>
      <c r="E1384">
        <v>1</v>
      </c>
      <c r="F1384">
        <v>29</v>
      </c>
      <c r="G1384">
        <v>2</v>
      </c>
      <c r="H1384">
        <v>6</v>
      </c>
      <c r="I1384">
        <v>0</v>
      </c>
      <c r="J1384">
        <v>7980</v>
      </c>
      <c r="K1384" t="s">
        <v>737</v>
      </c>
      <c r="L1384" t="s">
        <v>1617</v>
      </c>
    </row>
    <row r="1385" spans="1:12">
      <c r="A1385">
        <v>1383</v>
      </c>
      <c r="B1385" t="s">
        <v>3</v>
      </c>
      <c r="C1385" t="s">
        <v>738</v>
      </c>
      <c r="D1385">
        <v>2020</v>
      </c>
      <c r="E1385">
        <v>1</v>
      </c>
      <c r="F1385">
        <v>40</v>
      </c>
      <c r="G1385">
        <v>2</v>
      </c>
      <c r="H1385">
        <v>6</v>
      </c>
      <c r="I1385">
        <v>9203</v>
      </c>
      <c r="J1385">
        <v>974.54</v>
      </c>
      <c r="K1385" t="s">
        <v>737</v>
      </c>
      <c r="L1385" t="s">
        <v>1603</v>
      </c>
    </row>
    <row r="1386" spans="1:12">
      <c r="A1386">
        <v>1384</v>
      </c>
      <c r="B1386" t="s">
        <v>3</v>
      </c>
      <c r="C1386" t="s">
        <v>738</v>
      </c>
      <c r="D1386">
        <v>2020</v>
      </c>
      <c r="E1386">
        <v>1</v>
      </c>
      <c r="F1386">
        <v>40</v>
      </c>
      <c r="G1386">
        <v>2</v>
      </c>
      <c r="H1386">
        <v>6</v>
      </c>
      <c r="I1386">
        <v>0</v>
      </c>
      <c r="J1386">
        <v>974.54</v>
      </c>
      <c r="K1386" t="s">
        <v>737</v>
      </c>
      <c r="L1386" t="s">
        <v>1604</v>
      </c>
    </row>
    <row r="1387" spans="1:12">
      <c r="A1387">
        <v>1385</v>
      </c>
      <c r="B1387" t="s">
        <v>3</v>
      </c>
      <c r="C1387" t="s">
        <v>738</v>
      </c>
      <c r="D1387">
        <v>2020</v>
      </c>
      <c r="E1387">
        <v>1</v>
      </c>
      <c r="F1387">
        <v>41</v>
      </c>
      <c r="G1387">
        <v>2</v>
      </c>
      <c r="H1387">
        <v>6</v>
      </c>
      <c r="I1387">
        <v>808</v>
      </c>
      <c r="J1387">
        <v>171.17000000000002</v>
      </c>
      <c r="K1387" t="s">
        <v>737</v>
      </c>
      <c r="L1387" t="s">
        <v>1605</v>
      </c>
    </row>
    <row r="1388" spans="1:12">
      <c r="A1388">
        <v>1386</v>
      </c>
      <c r="B1388" t="s">
        <v>3</v>
      </c>
      <c r="C1388" t="s">
        <v>738</v>
      </c>
      <c r="D1388">
        <v>2020</v>
      </c>
      <c r="E1388">
        <v>2</v>
      </c>
      <c r="F1388">
        <v>17</v>
      </c>
      <c r="G1388">
        <v>2</v>
      </c>
      <c r="H1388">
        <v>10</v>
      </c>
      <c r="I1388">
        <v>0</v>
      </c>
      <c r="J1388">
        <v>49545.310000000005</v>
      </c>
      <c r="K1388" t="s">
        <v>737</v>
      </c>
      <c r="L1388" t="s">
        <v>1600</v>
      </c>
    </row>
    <row r="1389" spans="1:12">
      <c r="A1389">
        <v>1387</v>
      </c>
      <c r="B1389" t="s">
        <v>3</v>
      </c>
      <c r="C1389" t="s">
        <v>738</v>
      </c>
      <c r="D1389">
        <v>2020</v>
      </c>
      <c r="E1389">
        <v>2</v>
      </c>
      <c r="F1389">
        <v>17</v>
      </c>
      <c r="G1389">
        <v>2</v>
      </c>
      <c r="H1389">
        <v>10</v>
      </c>
      <c r="I1389">
        <v>0</v>
      </c>
      <c r="J1389">
        <v>389.52</v>
      </c>
      <c r="K1389" t="s">
        <v>737</v>
      </c>
      <c r="L1389" t="s">
        <v>1613</v>
      </c>
    </row>
    <row r="1390" spans="1:12">
      <c r="A1390">
        <v>1388</v>
      </c>
      <c r="B1390" t="s">
        <v>3</v>
      </c>
      <c r="C1390" t="s">
        <v>738</v>
      </c>
      <c r="D1390">
        <v>2020</v>
      </c>
      <c r="E1390">
        <v>2</v>
      </c>
      <c r="F1390">
        <v>20</v>
      </c>
      <c r="G1390">
        <v>2</v>
      </c>
      <c r="H1390">
        <v>10</v>
      </c>
      <c r="I1390">
        <v>0</v>
      </c>
      <c r="J1390">
        <v>549.29</v>
      </c>
      <c r="K1390" t="s">
        <v>737</v>
      </c>
      <c r="L1390" t="s">
        <v>1601</v>
      </c>
    </row>
    <row r="1391" spans="1:12">
      <c r="A1391">
        <v>1389</v>
      </c>
      <c r="B1391" t="s">
        <v>3</v>
      </c>
      <c r="C1391" t="s">
        <v>738</v>
      </c>
      <c r="D1391">
        <v>2020</v>
      </c>
      <c r="E1391">
        <v>2</v>
      </c>
      <c r="F1391">
        <v>25</v>
      </c>
      <c r="G1391">
        <v>2</v>
      </c>
      <c r="H1391">
        <v>10</v>
      </c>
      <c r="I1391">
        <v>0</v>
      </c>
      <c r="J1391">
        <v>367.86</v>
      </c>
      <c r="K1391" t="s">
        <v>737</v>
      </c>
      <c r="L1391" t="s">
        <v>1616</v>
      </c>
    </row>
    <row r="1392" spans="1:12">
      <c r="A1392">
        <v>1390</v>
      </c>
      <c r="B1392" t="s">
        <v>3</v>
      </c>
      <c r="C1392" t="s">
        <v>738</v>
      </c>
      <c r="D1392">
        <v>2020</v>
      </c>
      <c r="E1392">
        <v>2</v>
      </c>
      <c r="F1392">
        <v>29</v>
      </c>
      <c r="G1392">
        <v>2</v>
      </c>
      <c r="H1392">
        <v>10</v>
      </c>
      <c r="I1392">
        <v>0</v>
      </c>
      <c r="J1392">
        <v>11012.4</v>
      </c>
      <c r="K1392" t="s">
        <v>737</v>
      </c>
      <c r="L1392" t="s">
        <v>1617</v>
      </c>
    </row>
    <row r="1393" spans="1:12">
      <c r="A1393">
        <v>1391</v>
      </c>
      <c r="B1393" t="s">
        <v>3</v>
      </c>
      <c r="C1393" t="s">
        <v>738</v>
      </c>
      <c r="D1393">
        <v>2020</v>
      </c>
      <c r="E1393">
        <v>2</v>
      </c>
      <c r="F1393">
        <v>40</v>
      </c>
      <c r="G1393">
        <v>2</v>
      </c>
      <c r="H1393">
        <v>10</v>
      </c>
      <c r="I1393">
        <v>0</v>
      </c>
      <c r="J1393">
        <v>2183.8000000000002</v>
      </c>
      <c r="K1393" t="s">
        <v>737</v>
      </c>
      <c r="L1393" t="s">
        <v>1603</v>
      </c>
    </row>
    <row r="1394" spans="1:12">
      <c r="A1394">
        <v>1392</v>
      </c>
      <c r="B1394" t="s">
        <v>3</v>
      </c>
      <c r="C1394" t="s">
        <v>738</v>
      </c>
      <c r="D1394">
        <v>2020</v>
      </c>
      <c r="E1394">
        <v>2</v>
      </c>
      <c r="F1394">
        <v>40</v>
      </c>
      <c r="G1394">
        <v>2</v>
      </c>
      <c r="H1394">
        <v>10</v>
      </c>
      <c r="I1394">
        <v>0</v>
      </c>
      <c r="J1394">
        <v>2183.8199999999997</v>
      </c>
      <c r="K1394" t="s">
        <v>737</v>
      </c>
      <c r="L1394" t="s">
        <v>1604</v>
      </c>
    </row>
    <row r="1395" spans="1:12">
      <c r="A1395">
        <v>1393</v>
      </c>
      <c r="B1395" t="s">
        <v>3</v>
      </c>
      <c r="C1395" t="s">
        <v>738</v>
      </c>
      <c r="D1395">
        <v>2020</v>
      </c>
      <c r="E1395">
        <v>2</v>
      </c>
      <c r="F1395">
        <v>41</v>
      </c>
      <c r="G1395">
        <v>2</v>
      </c>
      <c r="H1395">
        <v>10</v>
      </c>
      <c r="I1395">
        <v>0</v>
      </c>
      <c r="J1395">
        <v>383.56</v>
      </c>
      <c r="K1395" t="s">
        <v>737</v>
      </c>
      <c r="L1395" t="s">
        <v>1605</v>
      </c>
    </row>
    <row r="1396" spans="1:12">
      <c r="A1396">
        <v>1394</v>
      </c>
      <c r="B1396" t="s">
        <v>3</v>
      </c>
      <c r="C1396" t="s">
        <v>738</v>
      </c>
      <c r="D1396">
        <v>2020</v>
      </c>
      <c r="E1396">
        <v>3</v>
      </c>
      <c r="F1396">
        <v>8</v>
      </c>
      <c r="G1396">
        <v>2</v>
      </c>
      <c r="H1396">
        <v>14</v>
      </c>
      <c r="I1396">
        <v>0</v>
      </c>
      <c r="J1396">
        <v>-70183</v>
      </c>
      <c r="K1396" t="s">
        <v>737</v>
      </c>
      <c r="L1396" t="s">
        <v>1611</v>
      </c>
    </row>
    <row r="1397" spans="1:12">
      <c r="A1397">
        <v>1395</v>
      </c>
      <c r="B1397" t="s">
        <v>3</v>
      </c>
      <c r="C1397" t="s">
        <v>738</v>
      </c>
      <c r="D1397">
        <v>2020</v>
      </c>
      <c r="E1397">
        <v>3</v>
      </c>
      <c r="F1397">
        <v>17</v>
      </c>
      <c r="G1397">
        <v>2</v>
      </c>
      <c r="H1397">
        <v>14</v>
      </c>
      <c r="I1397">
        <v>0</v>
      </c>
      <c r="J1397">
        <v>36512.769999999997</v>
      </c>
      <c r="K1397" t="s">
        <v>737</v>
      </c>
      <c r="L1397" t="s">
        <v>1600</v>
      </c>
    </row>
    <row r="1398" spans="1:12">
      <c r="A1398">
        <v>1396</v>
      </c>
      <c r="B1398" t="s">
        <v>3</v>
      </c>
      <c r="C1398" t="s">
        <v>738</v>
      </c>
      <c r="D1398">
        <v>2020</v>
      </c>
      <c r="E1398">
        <v>3</v>
      </c>
      <c r="F1398">
        <v>20</v>
      </c>
      <c r="G1398">
        <v>2</v>
      </c>
      <c r="H1398">
        <v>14</v>
      </c>
      <c r="I1398">
        <v>0</v>
      </c>
      <c r="J1398">
        <v>401.65</v>
      </c>
      <c r="K1398" t="s">
        <v>737</v>
      </c>
      <c r="L1398" t="s">
        <v>1601</v>
      </c>
    </row>
    <row r="1399" spans="1:12">
      <c r="A1399">
        <v>1397</v>
      </c>
      <c r="B1399" t="s">
        <v>3</v>
      </c>
      <c r="C1399" t="s">
        <v>738</v>
      </c>
      <c r="D1399">
        <v>2020</v>
      </c>
      <c r="E1399">
        <v>3</v>
      </c>
      <c r="F1399">
        <v>25</v>
      </c>
      <c r="G1399">
        <v>2</v>
      </c>
      <c r="H1399">
        <v>14</v>
      </c>
      <c r="I1399">
        <v>0</v>
      </c>
      <c r="J1399">
        <v>367.86</v>
      </c>
      <c r="K1399" t="s">
        <v>737</v>
      </c>
      <c r="L1399" t="s">
        <v>1616</v>
      </c>
    </row>
    <row r="1400" spans="1:12">
      <c r="A1400">
        <v>1398</v>
      </c>
      <c r="B1400" t="s">
        <v>3</v>
      </c>
      <c r="C1400" t="s">
        <v>738</v>
      </c>
      <c r="D1400">
        <v>2020</v>
      </c>
      <c r="E1400">
        <v>3</v>
      </c>
      <c r="F1400">
        <v>29</v>
      </c>
      <c r="G1400">
        <v>2</v>
      </c>
      <c r="H1400">
        <v>14</v>
      </c>
      <c r="I1400">
        <v>0</v>
      </c>
      <c r="J1400">
        <v>6384</v>
      </c>
      <c r="K1400" t="s">
        <v>737</v>
      </c>
      <c r="L1400" t="s">
        <v>1617</v>
      </c>
    </row>
    <row r="1401" spans="1:12">
      <c r="A1401">
        <v>1399</v>
      </c>
      <c r="B1401" t="s">
        <v>3</v>
      </c>
      <c r="C1401" t="s">
        <v>738</v>
      </c>
      <c r="D1401">
        <v>2020</v>
      </c>
      <c r="E1401">
        <v>3</v>
      </c>
      <c r="F1401">
        <v>40</v>
      </c>
      <c r="G1401">
        <v>2</v>
      </c>
      <c r="H1401">
        <v>14</v>
      </c>
      <c r="I1401">
        <v>0</v>
      </c>
      <c r="J1401">
        <v>1541.4099999999999</v>
      </c>
      <c r="K1401" t="s">
        <v>737</v>
      </c>
      <c r="L1401" t="s">
        <v>1603</v>
      </c>
    </row>
    <row r="1402" spans="1:12">
      <c r="A1402">
        <v>1400</v>
      </c>
      <c r="B1402" t="s">
        <v>3</v>
      </c>
      <c r="C1402" t="s">
        <v>738</v>
      </c>
      <c r="D1402">
        <v>2020</v>
      </c>
      <c r="E1402">
        <v>3</v>
      </c>
      <c r="F1402">
        <v>40</v>
      </c>
      <c r="G1402">
        <v>2</v>
      </c>
      <c r="H1402">
        <v>14</v>
      </c>
      <c r="I1402">
        <v>0</v>
      </c>
      <c r="J1402">
        <v>1541.4299999999998</v>
      </c>
      <c r="K1402" t="s">
        <v>737</v>
      </c>
      <c r="L1402" t="s">
        <v>1604</v>
      </c>
    </row>
    <row r="1403" spans="1:12">
      <c r="A1403">
        <v>1401</v>
      </c>
      <c r="B1403" t="s">
        <v>3</v>
      </c>
      <c r="C1403" t="s">
        <v>738</v>
      </c>
      <c r="D1403">
        <v>2020</v>
      </c>
      <c r="E1403">
        <v>3</v>
      </c>
      <c r="F1403">
        <v>41</v>
      </c>
      <c r="G1403">
        <v>2</v>
      </c>
      <c r="H1403">
        <v>14</v>
      </c>
      <c r="I1403">
        <v>0</v>
      </c>
      <c r="J1403">
        <v>270.73</v>
      </c>
      <c r="K1403" t="s">
        <v>737</v>
      </c>
      <c r="L1403" t="s">
        <v>1605</v>
      </c>
    </row>
    <row r="1404" spans="1:12">
      <c r="A1404">
        <v>1402</v>
      </c>
      <c r="B1404" t="s">
        <v>3</v>
      </c>
      <c r="C1404" t="s">
        <v>738</v>
      </c>
      <c r="D1404">
        <v>2020</v>
      </c>
      <c r="E1404">
        <v>4</v>
      </c>
      <c r="F1404">
        <v>11</v>
      </c>
      <c r="G1404">
        <v>2</v>
      </c>
      <c r="H1404">
        <v>18</v>
      </c>
      <c r="I1404">
        <v>0</v>
      </c>
      <c r="J1404">
        <v>-55092.17</v>
      </c>
      <c r="K1404" t="s">
        <v>737</v>
      </c>
      <c r="L1404" t="s">
        <v>1607</v>
      </c>
    </row>
    <row r="1405" spans="1:12">
      <c r="A1405">
        <v>1403</v>
      </c>
      <c r="B1405" t="s">
        <v>3</v>
      </c>
      <c r="C1405" t="s">
        <v>738</v>
      </c>
      <c r="D1405">
        <v>2020</v>
      </c>
      <c r="E1405">
        <v>4</v>
      </c>
      <c r="F1405">
        <v>17</v>
      </c>
      <c r="G1405">
        <v>2</v>
      </c>
      <c r="H1405">
        <v>18</v>
      </c>
      <c r="I1405">
        <v>0</v>
      </c>
      <c r="J1405">
        <v>36306.440000000046</v>
      </c>
      <c r="K1405" t="s">
        <v>737</v>
      </c>
      <c r="L1405" t="s">
        <v>1600</v>
      </c>
    </row>
    <row r="1406" spans="1:12">
      <c r="A1406">
        <v>1404</v>
      </c>
      <c r="B1406" t="s">
        <v>3</v>
      </c>
      <c r="C1406" t="s">
        <v>738</v>
      </c>
      <c r="D1406">
        <v>2020</v>
      </c>
      <c r="E1406">
        <v>4</v>
      </c>
      <c r="F1406">
        <v>20</v>
      </c>
      <c r="G1406">
        <v>2</v>
      </c>
      <c r="H1406">
        <v>18</v>
      </c>
      <c r="I1406">
        <v>0</v>
      </c>
      <c r="J1406">
        <v>399.37</v>
      </c>
      <c r="K1406" t="s">
        <v>737</v>
      </c>
      <c r="L1406" t="s">
        <v>1601</v>
      </c>
    </row>
    <row r="1407" spans="1:12">
      <c r="A1407">
        <v>1405</v>
      </c>
      <c r="B1407" t="s">
        <v>3</v>
      </c>
      <c r="C1407" t="s">
        <v>738</v>
      </c>
      <c r="D1407">
        <v>2020</v>
      </c>
      <c r="E1407">
        <v>4</v>
      </c>
      <c r="F1407">
        <v>25</v>
      </c>
      <c r="G1407">
        <v>2</v>
      </c>
      <c r="H1407">
        <v>18</v>
      </c>
      <c r="I1407">
        <v>0</v>
      </c>
      <c r="J1407">
        <v>367.86</v>
      </c>
      <c r="K1407" t="s">
        <v>737</v>
      </c>
      <c r="L1407" t="s">
        <v>1616</v>
      </c>
    </row>
    <row r="1408" spans="1:12">
      <c r="A1408">
        <v>1406</v>
      </c>
      <c r="B1408" t="s">
        <v>3</v>
      </c>
      <c r="C1408" t="s">
        <v>738</v>
      </c>
      <c r="D1408">
        <v>2020</v>
      </c>
      <c r="E1408">
        <v>4</v>
      </c>
      <c r="F1408">
        <v>29</v>
      </c>
      <c r="G1408">
        <v>2</v>
      </c>
      <c r="H1408">
        <v>18</v>
      </c>
      <c r="I1408">
        <v>0</v>
      </c>
      <c r="J1408">
        <v>11305</v>
      </c>
      <c r="K1408" t="s">
        <v>737</v>
      </c>
      <c r="L1408" t="s">
        <v>1617</v>
      </c>
    </row>
    <row r="1409" spans="1:12">
      <c r="A1409">
        <v>1407</v>
      </c>
      <c r="B1409" t="s">
        <v>3</v>
      </c>
      <c r="C1409" t="s">
        <v>738</v>
      </c>
      <c r="D1409">
        <v>2020</v>
      </c>
      <c r="E1409">
        <v>4</v>
      </c>
      <c r="F1409">
        <v>40</v>
      </c>
      <c r="G1409">
        <v>2</v>
      </c>
      <c r="H1409">
        <v>18</v>
      </c>
      <c r="I1409">
        <v>0</v>
      </c>
      <c r="J1409">
        <v>1707.75</v>
      </c>
      <c r="K1409" t="s">
        <v>737</v>
      </c>
      <c r="L1409" t="s">
        <v>1603</v>
      </c>
    </row>
    <row r="1410" spans="1:12">
      <c r="A1410">
        <v>1408</v>
      </c>
      <c r="B1410" t="s">
        <v>3</v>
      </c>
      <c r="C1410" t="s">
        <v>738</v>
      </c>
      <c r="D1410">
        <v>2020</v>
      </c>
      <c r="E1410">
        <v>4</v>
      </c>
      <c r="F1410">
        <v>40</v>
      </c>
      <c r="G1410">
        <v>2</v>
      </c>
      <c r="H1410">
        <v>18</v>
      </c>
      <c r="I1410">
        <v>0</v>
      </c>
      <c r="J1410">
        <v>1707.78</v>
      </c>
      <c r="K1410" t="s">
        <v>737</v>
      </c>
      <c r="L1410" t="s">
        <v>1604</v>
      </c>
    </row>
    <row r="1411" spans="1:12">
      <c r="A1411">
        <v>1409</v>
      </c>
      <c r="B1411" t="s">
        <v>3</v>
      </c>
      <c r="C1411" t="s">
        <v>738</v>
      </c>
      <c r="D1411">
        <v>2020</v>
      </c>
      <c r="E1411">
        <v>4</v>
      </c>
      <c r="F1411">
        <v>41</v>
      </c>
      <c r="G1411">
        <v>2</v>
      </c>
      <c r="H1411">
        <v>18</v>
      </c>
      <c r="I1411">
        <v>0</v>
      </c>
      <c r="J1411">
        <v>299.95000000000005</v>
      </c>
      <c r="K1411" t="s">
        <v>737</v>
      </c>
      <c r="L1411" t="s">
        <v>1605</v>
      </c>
    </row>
    <row r="1412" spans="1:12">
      <c r="A1412">
        <v>1410</v>
      </c>
      <c r="B1412" t="s">
        <v>3</v>
      </c>
      <c r="C1412" t="s">
        <v>740</v>
      </c>
      <c r="D1412">
        <v>2018</v>
      </c>
      <c r="E1412">
        <v>2</v>
      </c>
      <c r="F1412">
        <v>15</v>
      </c>
      <c r="G1412">
        <v>4</v>
      </c>
      <c r="H1412">
        <v>12</v>
      </c>
      <c r="I1412">
        <v>0</v>
      </c>
      <c r="J1412">
        <v>0</v>
      </c>
      <c r="K1412" t="s">
        <v>739</v>
      </c>
      <c r="L1412" t="s">
        <v>1665</v>
      </c>
    </row>
    <row r="1413" spans="1:12">
      <c r="A1413">
        <v>1411</v>
      </c>
      <c r="B1413" t="s">
        <v>3</v>
      </c>
      <c r="C1413" t="s">
        <v>740</v>
      </c>
      <c r="D1413">
        <v>2018</v>
      </c>
      <c r="E1413">
        <v>4</v>
      </c>
      <c r="F1413">
        <v>17</v>
      </c>
      <c r="G1413">
        <v>4</v>
      </c>
      <c r="H1413">
        <v>20</v>
      </c>
      <c r="I1413">
        <v>0</v>
      </c>
      <c r="J1413">
        <v>0</v>
      </c>
      <c r="K1413" t="s">
        <v>739</v>
      </c>
      <c r="L1413" t="s">
        <v>1600</v>
      </c>
    </row>
    <row r="1414" spans="1:12">
      <c r="A1414">
        <v>1412</v>
      </c>
      <c r="B1414" t="s">
        <v>3</v>
      </c>
      <c r="C1414" t="s">
        <v>740</v>
      </c>
      <c r="D1414">
        <v>2019</v>
      </c>
      <c r="E1414">
        <v>1</v>
      </c>
      <c r="F1414">
        <v>17</v>
      </c>
      <c r="G1414">
        <v>3</v>
      </c>
      <c r="H1414">
        <v>7</v>
      </c>
      <c r="I1414">
        <v>0</v>
      </c>
      <c r="J1414">
        <v>189.14</v>
      </c>
      <c r="K1414" t="s">
        <v>739</v>
      </c>
      <c r="L1414" t="s">
        <v>1600</v>
      </c>
    </row>
    <row r="1415" spans="1:12">
      <c r="A1415">
        <v>1413</v>
      </c>
      <c r="B1415" t="s">
        <v>3</v>
      </c>
      <c r="C1415" t="s">
        <v>740</v>
      </c>
      <c r="D1415">
        <v>2019</v>
      </c>
      <c r="E1415">
        <v>1</v>
      </c>
      <c r="F1415">
        <v>20</v>
      </c>
      <c r="G1415">
        <v>3</v>
      </c>
      <c r="H1415">
        <v>7</v>
      </c>
      <c r="I1415">
        <v>0</v>
      </c>
      <c r="J1415">
        <v>1.51</v>
      </c>
      <c r="K1415" t="s">
        <v>739</v>
      </c>
      <c r="L1415" t="s">
        <v>1601</v>
      </c>
    </row>
    <row r="1416" spans="1:12">
      <c r="A1416">
        <v>1414</v>
      </c>
      <c r="B1416" t="s">
        <v>3</v>
      </c>
      <c r="C1416" t="s">
        <v>740</v>
      </c>
      <c r="D1416">
        <v>2019</v>
      </c>
      <c r="E1416">
        <v>1</v>
      </c>
      <c r="F1416">
        <v>40</v>
      </c>
      <c r="G1416">
        <v>3</v>
      </c>
      <c r="H1416">
        <v>7</v>
      </c>
      <c r="I1416">
        <v>0</v>
      </c>
      <c r="J1416">
        <v>6.45</v>
      </c>
      <c r="K1416" t="s">
        <v>739</v>
      </c>
      <c r="L1416" t="s">
        <v>1603</v>
      </c>
    </row>
    <row r="1417" spans="1:12">
      <c r="A1417">
        <v>1415</v>
      </c>
      <c r="B1417" t="s">
        <v>3</v>
      </c>
      <c r="C1417" t="s">
        <v>740</v>
      </c>
      <c r="D1417">
        <v>2019</v>
      </c>
      <c r="E1417">
        <v>1</v>
      </c>
      <c r="F1417">
        <v>40</v>
      </c>
      <c r="G1417">
        <v>3</v>
      </c>
      <c r="H1417">
        <v>7</v>
      </c>
      <c r="I1417">
        <v>0</v>
      </c>
      <c r="J1417">
        <v>6.44</v>
      </c>
      <c r="K1417" t="s">
        <v>739</v>
      </c>
      <c r="L1417" t="s">
        <v>1604</v>
      </c>
    </row>
    <row r="1418" spans="1:12">
      <c r="A1418">
        <v>1416</v>
      </c>
      <c r="B1418" t="s">
        <v>3</v>
      </c>
      <c r="C1418" t="s">
        <v>740</v>
      </c>
      <c r="D1418">
        <v>2019</v>
      </c>
      <c r="E1418">
        <v>1</v>
      </c>
      <c r="F1418">
        <v>41</v>
      </c>
      <c r="G1418">
        <v>3</v>
      </c>
      <c r="H1418">
        <v>7</v>
      </c>
      <c r="I1418">
        <v>0</v>
      </c>
      <c r="J1418">
        <v>1.18</v>
      </c>
      <c r="K1418" t="s">
        <v>739</v>
      </c>
      <c r="L1418" t="s">
        <v>1605</v>
      </c>
    </row>
    <row r="1419" spans="1:12">
      <c r="A1419">
        <v>1417</v>
      </c>
      <c r="B1419" t="s">
        <v>3</v>
      </c>
      <c r="C1419" t="s">
        <v>740</v>
      </c>
      <c r="D1419">
        <v>2019</v>
      </c>
      <c r="E1419">
        <v>2</v>
      </c>
      <c r="F1419">
        <v>17</v>
      </c>
      <c r="G1419">
        <v>3</v>
      </c>
      <c r="H1419">
        <v>11</v>
      </c>
      <c r="I1419">
        <v>0</v>
      </c>
      <c r="J1419">
        <v>-189.14000000000001</v>
      </c>
      <c r="K1419" t="s">
        <v>739</v>
      </c>
      <c r="L1419" t="s">
        <v>1600</v>
      </c>
    </row>
    <row r="1420" spans="1:12">
      <c r="A1420">
        <v>1418</v>
      </c>
      <c r="B1420" t="s">
        <v>3</v>
      </c>
      <c r="C1420" t="s">
        <v>740</v>
      </c>
      <c r="D1420">
        <v>2019</v>
      </c>
      <c r="E1420">
        <v>2</v>
      </c>
      <c r="F1420">
        <v>20</v>
      </c>
      <c r="G1420">
        <v>3</v>
      </c>
      <c r="H1420">
        <v>11</v>
      </c>
      <c r="I1420">
        <v>0</v>
      </c>
      <c r="J1420">
        <v>-1.51</v>
      </c>
      <c r="K1420" t="s">
        <v>739</v>
      </c>
      <c r="L1420" t="s">
        <v>1601</v>
      </c>
    </row>
    <row r="1421" spans="1:12">
      <c r="A1421">
        <v>1419</v>
      </c>
      <c r="B1421" t="s">
        <v>3</v>
      </c>
      <c r="C1421" t="s">
        <v>740</v>
      </c>
      <c r="D1421">
        <v>2019</v>
      </c>
      <c r="E1421">
        <v>2</v>
      </c>
      <c r="F1421">
        <v>40</v>
      </c>
      <c r="G1421">
        <v>3</v>
      </c>
      <c r="H1421">
        <v>11</v>
      </c>
      <c r="I1421">
        <v>0</v>
      </c>
      <c r="J1421">
        <v>-6.45</v>
      </c>
      <c r="K1421" t="s">
        <v>739</v>
      </c>
      <c r="L1421" t="s">
        <v>1603</v>
      </c>
    </row>
    <row r="1422" spans="1:12">
      <c r="A1422">
        <v>1420</v>
      </c>
      <c r="B1422" t="s">
        <v>3</v>
      </c>
      <c r="C1422" t="s">
        <v>740</v>
      </c>
      <c r="D1422">
        <v>2019</v>
      </c>
      <c r="E1422">
        <v>2</v>
      </c>
      <c r="F1422">
        <v>40</v>
      </c>
      <c r="G1422">
        <v>3</v>
      </c>
      <c r="H1422">
        <v>11</v>
      </c>
      <c r="I1422">
        <v>0</v>
      </c>
      <c r="J1422">
        <v>-6.44</v>
      </c>
      <c r="K1422" t="s">
        <v>739</v>
      </c>
      <c r="L1422" t="s">
        <v>1604</v>
      </c>
    </row>
    <row r="1423" spans="1:12">
      <c r="A1423">
        <v>1421</v>
      </c>
      <c r="B1423" t="s">
        <v>3</v>
      </c>
      <c r="C1423" t="s">
        <v>740</v>
      </c>
      <c r="D1423">
        <v>2019</v>
      </c>
      <c r="E1423">
        <v>2</v>
      </c>
      <c r="F1423">
        <v>41</v>
      </c>
      <c r="G1423">
        <v>3</v>
      </c>
      <c r="H1423">
        <v>11</v>
      </c>
      <c r="I1423">
        <v>0</v>
      </c>
      <c r="J1423">
        <v>-1.18</v>
      </c>
      <c r="K1423" t="s">
        <v>739</v>
      </c>
      <c r="L1423" t="s">
        <v>1605</v>
      </c>
    </row>
    <row r="1424" spans="1:12">
      <c r="A1424">
        <v>1422</v>
      </c>
      <c r="B1424" t="s">
        <v>3</v>
      </c>
      <c r="C1424" t="s">
        <v>740</v>
      </c>
      <c r="D1424">
        <v>2019</v>
      </c>
      <c r="E1424">
        <v>3</v>
      </c>
      <c r="F1424">
        <v>17</v>
      </c>
      <c r="G1424">
        <v>3</v>
      </c>
      <c r="H1424">
        <v>15</v>
      </c>
      <c r="I1424">
        <v>0</v>
      </c>
      <c r="J1424">
        <v>1.4210854715202004E-14</v>
      </c>
      <c r="K1424" t="s">
        <v>739</v>
      </c>
      <c r="L1424" t="s">
        <v>1600</v>
      </c>
    </row>
    <row r="1425" spans="1:12">
      <c r="A1425">
        <v>1423</v>
      </c>
      <c r="B1425" t="s">
        <v>3</v>
      </c>
      <c r="C1425" t="s">
        <v>740</v>
      </c>
      <c r="D1425">
        <v>2019</v>
      </c>
      <c r="E1425">
        <v>4</v>
      </c>
      <c r="F1425">
        <v>29</v>
      </c>
      <c r="G1425">
        <v>3</v>
      </c>
      <c r="H1425">
        <v>19</v>
      </c>
      <c r="I1425">
        <v>0</v>
      </c>
      <c r="J1425">
        <v>0</v>
      </c>
      <c r="K1425" t="s">
        <v>739</v>
      </c>
      <c r="L1425" t="s">
        <v>1617</v>
      </c>
    </row>
    <row r="1426" spans="1:12">
      <c r="A1426">
        <v>1424</v>
      </c>
      <c r="B1426" t="s">
        <v>3</v>
      </c>
      <c r="C1426" t="s">
        <v>740</v>
      </c>
      <c r="D1426">
        <v>2020</v>
      </c>
      <c r="E1426">
        <v>1</v>
      </c>
      <c r="F1426">
        <v>17</v>
      </c>
      <c r="G1426">
        <v>2</v>
      </c>
      <c r="H1426">
        <v>6</v>
      </c>
      <c r="I1426">
        <v>0</v>
      </c>
      <c r="J1426">
        <v>0</v>
      </c>
      <c r="K1426" t="s">
        <v>739</v>
      </c>
      <c r="L1426" t="s">
        <v>1600</v>
      </c>
    </row>
    <row r="1427" spans="1:12">
      <c r="A1427">
        <v>1425</v>
      </c>
      <c r="B1427" t="s">
        <v>3</v>
      </c>
      <c r="C1427" t="s">
        <v>740</v>
      </c>
      <c r="D1427">
        <v>2020</v>
      </c>
      <c r="E1427">
        <v>1</v>
      </c>
      <c r="F1427">
        <v>29</v>
      </c>
      <c r="G1427">
        <v>2</v>
      </c>
      <c r="H1427">
        <v>6</v>
      </c>
      <c r="I1427">
        <v>0</v>
      </c>
      <c r="J1427">
        <v>100</v>
      </c>
      <c r="K1427" t="s">
        <v>739</v>
      </c>
      <c r="L1427" t="s">
        <v>1617</v>
      </c>
    </row>
    <row r="1428" spans="1:12">
      <c r="A1428">
        <v>1426</v>
      </c>
      <c r="B1428" t="s">
        <v>3</v>
      </c>
      <c r="C1428" t="s">
        <v>740</v>
      </c>
      <c r="D1428">
        <v>2020</v>
      </c>
      <c r="E1428">
        <v>1</v>
      </c>
      <c r="F1428">
        <v>40</v>
      </c>
      <c r="G1428">
        <v>2</v>
      </c>
      <c r="H1428">
        <v>6</v>
      </c>
      <c r="I1428">
        <v>0</v>
      </c>
      <c r="J1428">
        <v>3.53</v>
      </c>
      <c r="K1428" t="s">
        <v>739</v>
      </c>
      <c r="L1428" t="s">
        <v>1603</v>
      </c>
    </row>
    <row r="1429" spans="1:12">
      <c r="A1429">
        <v>1427</v>
      </c>
      <c r="B1429" t="s">
        <v>3</v>
      </c>
      <c r="C1429" t="s">
        <v>740</v>
      </c>
      <c r="D1429">
        <v>2020</v>
      </c>
      <c r="E1429">
        <v>1</v>
      </c>
      <c r="F1429">
        <v>40</v>
      </c>
      <c r="G1429">
        <v>2</v>
      </c>
      <c r="H1429">
        <v>6</v>
      </c>
      <c r="I1429">
        <v>0</v>
      </c>
      <c r="J1429">
        <v>3.53</v>
      </c>
      <c r="K1429" t="s">
        <v>739</v>
      </c>
      <c r="L1429" t="s">
        <v>1604</v>
      </c>
    </row>
    <row r="1430" spans="1:12">
      <c r="A1430">
        <v>1428</v>
      </c>
      <c r="B1430" t="s">
        <v>3</v>
      </c>
      <c r="C1430" t="s">
        <v>740</v>
      </c>
      <c r="D1430">
        <v>2020</v>
      </c>
      <c r="E1430">
        <v>1</v>
      </c>
      <c r="F1430">
        <v>41</v>
      </c>
      <c r="G1430">
        <v>2</v>
      </c>
      <c r="H1430">
        <v>6</v>
      </c>
      <c r="I1430">
        <v>0</v>
      </c>
      <c r="J1430">
        <v>0.62</v>
      </c>
      <c r="K1430" t="s">
        <v>739</v>
      </c>
      <c r="L1430" t="s">
        <v>1605</v>
      </c>
    </row>
    <row r="1431" spans="1:12">
      <c r="A1431">
        <v>1429</v>
      </c>
      <c r="B1431" t="s">
        <v>3</v>
      </c>
      <c r="C1431" t="s">
        <v>740</v>
      </c>
      <c r="D1431">
        <v>2020</v>
      </c>
      <c r="E1431">
        <v>2</v>
      </c>
      <c r="F1431">
        <v>17</v>
      </c>
      <c r="G1431">
        <v>2</v>
      </c>
      <c r="H1431">
        <v>10</v>
      </c>
      <c r="I1431">
        <v>0</v>
      </c>
      <c r="J1431">
        <v>0</v>
      </c>
      <c r="K1431" t="s">
        <v>739</v>
      </c>
      <c r="L1431" t="s">
        <v>1600</v>
      </c>
    </row>
    <row r="1432" spans="1:12">
      <c r="A1432">
        <v>1430</v>
      </c>
      <c r="B1432" t="s">
        <v>3</v>
      </c>
      <c r="C1432" t="s">
        <v>740</v>
      </c>
      <c r="D1432">
        <v>2020</v>
      </c>
      <c r="E1432">
        <v>2</v>
      </c>
      <c r="F1432">
        <v>20</v>
      </c>
      <c r="G1432">
        <v>2</v>
      </c>
      <c r="H1432">
        <v>10</v>
      </c>
      <c r="I1432">
        <v>0</v>
      </c>
      <c r="J1432">
        <v>0</v>
      </c>
      <c r="K1432" t="s">
        <v>739</v>
      </c>
      <c r="L1432" t="s">
        <v>1601</v>
      </c>
    </row>
    <row r="1433" spans="1:12">
      <c r="A1433">
        <v>1431</v>
      </c>
      <c r="B1433" t="s">
        <v>3</v>
      </c>
      <c r="C1433" t="s">
        <v>740</v>
      </c>
      <c r="D1433">
        <v>2020</v>
      </c>
      <c r="E1433">
        <v>2</v>
      </c>
      <c r="F1433">
        <v>29</v>
      </c>
      <c r="G1433">
        <v>2</v>
      </c>
      <c r="H1433">
        <v>10</v>
      </c>
      <c r="I1433">
        <v>0</v>
      </c>
      <c r="J1433">
        <v>-100</v>
      </c>
      <c r="K1433" t="s">
        <v>739</v>
      </c>
      <c r="L1433" t="s">
        <v>1617</v>
      </c>
    </row>
    <row r="1434" spans="1:12">
      <c r="A1434">
        <v>1432</v>
      </c>
      <c r="B1434" t="s">
        <v>3</v>
      </c>
      <c r="C1434" t="s">
        <v>740</v>
      </c>
      <c r="D1434">
        <v>2020</v>
      </c>
      <c r="E1434">
        <v>2</v>
      </c>
      <c r="F1434">
        <v>40</v>
      </c>
      <c r="G1434">
        <v>2</v>
      </c>
      <c r="H1434">
        <v>10</v>
      </c>
      <c r="I1434">
        <v>0</v>
      </c>
      <c r="J1434">
        <v>-3.5300000000000007</v>
      </c>
      <c r="K1434" t="s">
        <v>739</v>
      </c>
      <c r="L1434" t="s">
        <v>1603</v>
      </c>
    </row>
    <row r="1435" spans="1:12">
      <c r="A1435">
        <v>1433</v>
      </c>
      <c r="B1435" t="s">
        <v>3</v>
      </c>
      <c r="C1435" t="s">
        <v>740</v>
      </c>
      <c r="D1435">
        <v>2020</v>
      </c>
      <c r="E1435">
        <v>2</v>
      </c>
      <c r="F1435">
        <v>40</v>
      </c>
      <c r="G1435">
        <v>2</v>
      </c>
      <c r="H1435">
        <v>10</v>
      </c>
      <c r="I1435">
        <v>0</v>
      </c>
      <c r="J1435">
        <v>-3.53</v>
      </c>
      <c r="K1435" t="s">
        <v>739</v>
      </c>
      <c r="L1435" t="s">
        <v>1604</v>
      </c>
    </row>
    <row r="1436" spans="1:12">
      <c r="A1436">
        <v>1434</v>
      </c>
      <c r="B1436" t="s">
        <v>3</v>
      </c>
      <c r="C1436" t="s">
        <v>740</v>
      </c>
      <c r="D1436">
        <v>2020</v>
      </c>
      <c r="E1436">
        <v>2</v>
      </c>
      <c r="F1436">
        <v>41</v>
      </c>
      <c r="G1436">
        <v>2</v>
      </c>
      <c r="H1436">
        <v>10</v>
      </c>
      <c r="I1436">
        <v>0</v>
      </c>
      <c r="J1436">
        <v>-0.62</v>
      </c>
      <c r="K1436" t="s">
        <v>739</v>
      </c>
      <c r="L1436" t="s">
        <v>1605</v>
      </c>
    </row>
    <row r="1437" spans="1:12">
      <c r="A1437">
        <v>1435</v>
      </c>
      <c r="B1437" t="s">
        <v>3</v>
      </c>
      <c r="C1437" t="s">
        <v>742</v>
      </c>
      <c r="D1437">
        <v>2017</v>
      </c>
      <c r="E1437">
        <v>1</v>
      </c>
      <c r="F1437">
        <v>26</v>
      </c>
      <c r="G1437">
        <v>5</v>
      </c>
      <c r="H1437">
        <v>9</v>
      </c>
      <c r="I1437">
        <v>0</v>
      </c>
      <c r="J1437">
        <v>1169.3499999999999</v>
      </c>
      <c r="K1437" t="s">
        <v>741</v>
      </c>
      <c r="L1437" t="s">
        <v>1618</v>
      </c>
    </row>
    <row r="1438" spans="1:12">
      <c r="A1438">
        <v>1436</v>
      </c>
      <c r="B1438" t="s">
        <v>3</v>
      </c>
      <c r="C1438" t="s">
        <v>742</v>
      </c>
      <c r="D1438">
        <v>2017</v>
      </c>
      <c r="E1438">
        <v>1</v>
      </c>
      <c r="F1438">
        <v>29</v>
      </c>
      <c r="G1438">
        <v>5</v>
      </c>
      <c r="H1438">
        <v>9</v>
      </c>
      <c r="I1438">
        <v>0</v>
      </c>
      <c r="J1438">
        <v>37.979999999999997</v>
      </c>
      <c r="K1438" t="s">
        <v>741</v>
      </c>
      <c r="L1438" t="s">
        <v>1608</v>
      </c>
    </row>
    <row r="1439" spans="1:12">
      <c r="A1439">
        <v>1437</v>
      </c>
      <c r="B1439" t="s">
        <v>3</v>
      </c>
      <c r="C1439" t="s">
        <v>742</v>
      </c>
      <c r="D1439">
        <v>2017</v>
      </c>
      <c r="E1439">
        <v>1</v>
      </c>
      <c r="F1439">
        <v>40</v>
      </c>
      <c r="G1439">
        <v>5</v>
      </c>
      <c r="H1439">
        <v>9</v>
      </c>
      <c r="I1439">
        <v>0</v>
      </c>
      <c r="J1439">
        <v>36.46</v>
      </c>
      <c r="K1439" t="s">
        <v>741</v>
      </c>
      <c r="L1439" t="s">
        <v>1603</v>
      </c>
    </row>
    <row r="1440" spans="1:12">
      <c r="A1440">
        <v>1438</v>
      </c>
      <c r="B1440" t="s">
        <v>3</v>
      </c>
      <c r="C1440" t="s">
        <v>742</v>
      </c>
      <c r="D1440">
        <v>2017</v>
      </c>
      <c r="E1440">
        <v>1</v>
      </c>
      <c r="F1440">
        <v>40</v>
      </c>
      <c r="G1440">
        <v>5</v>
      </c>
      <c r="H1440">
        <v>9</v>
      </c>
      <c r="I1440">
        <v>0</v>
      </c>
      <c r="J1440">
        <v>36.46</v>
      </c>
      <c r="K1440" t="s">
        <v>741</v>
      </c>
      <c r="L1440" t="s">
        <v>1604</v>
      </c>
    </row>
    <row r="1441" spans="1:12">
      <c r="A1441">
        <v>1439</v>
      </c>
      <c r="B1441" t="s">
        <v>3</v>
      </c>
      <c r="C1441" t="s">
        <v>742</v>
      </c>
      <c r="D1441">
        <v>2017</v>
      </c>
      <c r="E1441">
        <v>1</v>
      </c>
      <c r="F1441">
        <v>41</v>
      </c>
      <c r="G1441">
        <v>5</v>
      </c>
      <c r="H1441">
        <v>9</v>
      </c>
      <c r="I1441">
        <v>0</v>
      </c>
      <c r="J1441">
        <v>6.04</v>
      </c>
      <c r="K1441" t="s">
        <v>741</v>
      </c>
      <c r="L1441" t="s">
        <v>1605</v>
      </c>
    </row>
    <row r="1442" spans="1:12">
      <c r="A1442">
        <v>1440</v>
      </c>
      <c r="B1442" t="s">
        <v>3</v>
      </c>
      <c r="C1442" t="s">
        <v>742</v>
      </c>
      <c r="D1442">
        <v>2017</v>
      </c>
      <c r="E1442">
        <v>2</v>
      </c>
      <c r="F1442">
        <v>8</v>
      </c>
      <c r="G1442">
        <v>5</v>
      </c>
      <c r="H1442">
        <v>13</v>
      </c>
      <c r="I1442">
        <v>-29007</v>
      </c>
      <c r="J1442">
        <v>0</v>
      </c>
      <c r="K1442" t="s">
        <v>741</v>
      </c>
      <c r="L1442" t="s">
        <v>1599</v>
      </c>
    </row>
    <row r="1443" spans="1:12">
      <c r="A1443">
        <v>1441</v>
      </c>
      <c r="B1443" t="s">
        <v>3</v>
      </c>
      <c r="C1443" t="s">
        <v>742</v>
      </c>
      <c r="D1443">
        <v>2017</v>
      </c>
      <c r="E1443">
        <v>2</v>
      </c>
      <c r="F1443">
        <v>9</v>
      </c>
      <c r="G1443">
        <v>5</v>
      </c>
      <c r="H1443">
        <v>13</v>
      </c>
      <c r="I1443">
        <v>0</v>
      </c>
      <c r="J1443">
        <v>-3248</v>
      </c>
      <c r="K1443" t="s">
        <v>741</v>
      </c>
      <c r="L1443" t="s">
        <v>1667</v>
      </c>
    </row>
    <row r="1444" spans="1:12">
      <c r="A1444">
        <v>1442</v>
      </c>
      <c r="B1444" t="s">
        <v>3</v>
      </c>
      <c r="C1444" t="s">
        <v>742</v>
      </c>
      <c r="D1444">
        <v>2017</v>
      </c>
      <c r="E1444">
        <v>2</v>
      </c>
      <c r="F1444">
        <v>23</v>
      </c>
      <c r="G1444">
        <v>5</v>
      </c>
      <c r="H1444">
        <v>13</v>
      </c>
      <c r="I1444">
        <v>27226</v>
      </c>
      <c r="J1444">
        <v>0</v>
      </c>
      <c r="K1444" t="s">
        <v>741</v>
      </c>
      <c r="L1444" t="s">
        <v>1602</v>
      </c>
    </row>
    <row r="1445" spans="1:12">
      <c r="A1445">
        <v>1443</v>
      </c>
      <c r="B1445" t="s">
        <v>3</v>
      </c>
      <c r="C1445" t="s">
        <v>742</v>
      </c>
      <c r="D1445">
        <v>2017</v>
      </c>
      <c r="E1445">
        <v>2</v>
      </c>
      <c r="F1445">
        <v>26</v>
      </c>
      <c r="G1445">
        <v>5</v>
      </c>
      <c r="H1445">
        <v>13</v>
      </c>
      <c r="I1445">
        <v>0</v>
      </c>
      <c r="J1445">
        <v>5235.2</v>
      </c>
      <c r="K1445" t="s">
        <v>741</v>
      </c>
      <c r="L1445" t="s">
        <v>1622</v>
      </c>
    </row>
    <row r="1446" spans="1:12">
      <c r="A1446">
        <v>1444</v>
      </c>
      <c r="B1446" t="s">
        <v>3</v>
      </c>
      <c r="C1446" t="s">
        <v>742</v>
      </c>
      <c r="D1446">
        <v>2017</v>
      </c>
      <c r="E1446">
        <v>2</v>
      </c>
      <c r="F1446">
        <v>26</v>
      </c>
      <c r="G1446">
        <v>5</v>
      </c>
      <c r="H1446">
        <v>13</v>
      </c>
      <c r="I1446">
        <v>0</v>
      </c>
      <c r="J1446">
        <v>414.74</v>
      </c>
      <c r="K1446" t="s">
        <v>741</v>
      </c>
      <c r="L1446" t="s">
        <v>1618</v>
      </c>
    </row>
    <row r="1447" spans="1:12">
      <c r="A1447">
        <v>1445</v>
      </c>
      <c r="B1447" t="s">
        <v>3</v>
      </c>
      <c r="C1447" t="s">
        <v>742</v>
      </c>
      <c r="D1447">
        <v>2017</v>
      </c>
      <c r="E1447">
        <v>2</v>
      </c>
      <c r="F1447">
        <v>27</v>
      </c>
      <c r="G1447">
        <v>5</v>
      </c>
      <c r="H1447">
        <v>13</v>
      </c>
      <c r="I1447">
        <v>0</v>
      </c>
      <c r="J1447">
        <v>585.1</v>
      </c>
      <c r="K1447" t="s">
        <v>741</v>
      </c>
      <c r="L1447" t="s">
        <v>1626</v>
      </c>
    </row>
    <row r="1448" spans="1:12">
      <c r="A1448">
        <v>1446</v>
      </c>
      <c r="B1448" t="s">
        <v>3</v>
      </c>
      <c r="C1448" t="s">
        <v>742</v>
      </c>
      <c r="D1448">
        <v>2017</v>
      </c>
      <c r="E1448">
        <v>2</v>
      </c>
      <c r="F1448">
        <v>28</v>
      </c>
      <c r="G1448">
        <v>5</v>
      </c>
      <c r="H1448">
        <v>13</v>
      </c>
      <c r="I1448">
        <v>0</v>
      </c>
      <c r="J1448">
        <v>29</v>
      </c>
      <c r="K1448" t="s">
        <v>741</v>
      </c>
      <c r="L1448" t="s">
        <v>1636</v>
      </c>
    </row>
    <row r="1449" spans="1:12">
      <c r="A1449">
        <v>1447</v>
      </c>
      <c r="B1449" t="s">
        <v>3</v>
      </c>
      <c r="C1449" t="s">
        <v>742</v>
      </c>
      <c r="D1449">
        <v>2017</v>
      </c>
      <c r="E1449">
        <v>2</v>
      </c>
      <c r="F1449">
        <v>28</v>
      </c>
      <c r="G1449">
        <v>5</v>
      </c>
      <c r="H1449">
        <v>13</v>
      </c>
      <c r="I1449">
        <v>0</v>
      </c>
      <c r="J1449">
        <v>42</v>
      </c>
      <c r="K1449" t="s">
        <v>741</v>
      </c>
      <c r="L1449" t="s">
        <v>1644</v>
      </c>
    </row>
    <row r="1450" spans="1:12">
      <c r="A1450">
        <v>1448</v>
      </c>
      <c r="B1450" t="s">
        <v>3</v>
      </c>
      <c r="C1450" t="s">
        <v>742</v>
      </c>
      <c r="D1450">
        <v>2017</v>
      </c>
      <c r="E1450">
        <v>2</v>
      </c>
      <c r="F1450">
        <v>29</v>
      </c>
      <c r="G1450">
        <v>5</v>
      </c>
      <c r="H1450">
        <v>13</v>
      </c>
      <c r="I1450">
        <v>0</v>
      </c>
      <c r="J1450">
        <v>228.29</v>
      </c>
      <c r="K1450" t="s">
        <v>741</v>
      </c>
      <c r="L1450" t="s">
        <v>1620</v>
      </c>
    </row>
    <row r="1451" spans="1:12">
      <c r="A1451">
        <v>1449</v>
      </c>
      <c r="B1451" t="s">
        <v>3</v>
      </c>
      <c r="C1451" t="s">
        <v>742</v>
      </c>
      <c r="D1451">
        <v>2017</v>
      </c>
      <c r="E1451">
        <v>2</v>
      </c>
      <c r="F1451">
        <v>29</v>
      </c>
      <c r="G1451">
        <v>5</v>
      </c>
      <c r="H1451">
        <v>13</v>
      </c>
      <c r="I1451">
        <v>0</v>
      </c>
      <c r="J1451">
        <v>9691</v>
      </c>
      <c r="K1451" t="s">
        <v>741</v>
      </c>
      <c r="L1451" t="s">
        <v>1625</v>
      </c>
    </row>
    <row r="1452" spans="1:12">
      <c r="A1452">
        <v>1450</v>
      </c>
      <c r="B1452" t="s">
        <v>3</v>
      </c>
      <c r="C1452" t="s">
        <v>742</v>
      </c>
      <c r="D1452">
        <v>2017</v>
      </c>
      <c r="E1452">
        <v>2</v>
      </c>
      <c r="F1452">
        <v>29</v>
      </c>
      <c r="G1452">
        <v>5</v>
      </c>
      <c r="H1452">
        <v>13</v>
      </c>
      <c r="I1452">
        <v>0</v>
      </c>
      <c r="J1452">
        <v>155</v>
      </c>
      <c r="K1452" t="s">
        <v>741</v>
      </c>
      <c r="L1452" t="s">
        <v>1629</v>
      </c>
    </row>
    <row r="1453" spans="1:12">
      <c r="A1453">
        <v>1451</v>
      </c>
      <c r="B1453" t="s">
        <v>3</v>
      </c>
      <c r="C1453" t="s">
        <v>742</v>
      </c>
      <c r="D1453">
        <v>2017</v>
      </c>
      <c r="E1453">
        <v>2</v>
      </c>
      <c r="F1453">
        <v>33</v>
      </c>
      <c r="G1453">
        <v>5</v>
      </c>
      <c r="H1453">
        <v>13</v>
      </c>
      <c r="I1453">
        <v>0</v>
      </c>
      <c r="J1453">
        <v>2760.6</v>
      </c>
      <c r="K1453" t="s">
        <v>741</v>
      </c>
      <c r="L1453" t="s">
        <v>1624</v>
      </c>
    </row>
    <row r="1454" spans="1:12">
      <c r="A1454">
        <v>1452</v>
      </c>
      <c r="B1454" t="s">
        <v>3</v>
      </c>
      <c r="C1454" t="s">
        <v>742</v>
      </c>
      <c r="D1454">
        <v>2017</v>
      </c>
      <c r="E1454">
        <v>2</v>
      </c>
      <c r="F1454">
        <v>40</v>
      </c>
      <c r="G1454">
        <v>5</v>
      </c>
      <c r="H1454">
        <v>13</v>
      </c>
      <c r="I1454">
        <v>1645</v>
      </c>
      <c r="J1454">
        <v>578.07000000000005</v>
      </c>
      <c r="K1454" t="s">
        <v>741</v>
      </c>
      <c r="L1454" t="s">
        <v>1603</v>
      </c>
    </row>
    <row r="1455" spans="1:12">
      <c r="A1455">
        <v>1453</v>
      </c>
      <c r="B1455" t="s">
        <v>3</v>
      </c>
      <c r="C1455" t="s">
        <v>742</v>
      </c>
      <c r="D1455">
        <v>2017</v>
      </c>
      <c r="E1455">
        <v>2</v>
      </c>
      <c r="F1455">
        <v>40</v>
      </c>
      <c r="G1455">
        <v>5</v>
      </c>
      <c r="H1455">
        <v>13</v>
      </c>
      <c r="I1455">
        <v>0</v>
      </c>
      <c r="J1455">
        <v>578.04999999999995</v>
      </c>
      <c r="K1455" t="s">
        <v>741</v>
      </c>
      <c r="L1455" t="s">
        <v>1604</v>
      </c>
    </row>
    <row r="1456" spans="1:12">
      <c r="A1456">
        <v>1454</v>
      </c>
      <c r="B1456" t="s">
        <v>3</v>
      </c>
      <c r="C1456" t="s">
        <v>742</v>
      </c>
      <c r="D1456">
        <v>2017</v>
      </c>
      <c r="E1456">
        <v>2</v>
      </c>
      <c r="F1456">
        <v>41</v>
      </c>
      <c r="G1456">
        <v>5</v>
      </c>
      <c r="H1456">
        <v>13</v>
      </c>
      <c r="I1456">
        <v>136</v>
      </c>
      <c r="J1456">
        <v>95.710000000000008</v>
      </c>
      <c r="K1456" t="s">
        <v>741</v>
      </c>
      <c r="L1456" t="s">
        <v>1605</v>
      </c>
    </row>
    <row r="1457" spans="1:12">
      <c r="A1457">
        <v>1455</v>
      </c>
      <c r="B1457" t="s">
        <v>3</v>
      </c>
      <c r="C1457" t="s">
        <v>742</v>
      </c>
      <c r="D1457">
        <v>2017</v>
      </c>
      <c r="E1457">
        <v>3</v>
      </c>
      <c r="F1457">
        <v>25</v>
      </c>
      <c r="G1457">
        <v>5</v>
      </c>
      <c r="H1457">
        <v>17</v>
      </c>
      <c r="I1457">
        <v>0</v>
      </c>
      <c r="J1457">
        <v>186.07</v>
      </c>
      <c r="K1457" t="s">
        <v>741</v>
      </c>
      <c r="L1457" t="s">
        <v>1632</v>
      </c>
    </row>
    <row r="1458" spans="1:12">
      <c r="A1458">
        <v>1456</v>
      </c>
      <c r="B1458" t="s">
        <v>3</v>
      </c>
      <c r="C1458" t="s">
        <v>742</v>
      </c>
      <c r="D1458">
        <v>2017</v>
      </c>
      <c r="E1458">
        <v>3</v>
      </c>
      <c r="F1458">
        <v>25</v>
      </c>
      <c r="G1458">
        <v>5</v>
      </c>
      <c r="H1458">
        <v>17</v>
      </c>
      <c r="I1458">
        <v>0</v>
      </c>
      <c r="J1458">
        <v>4</v>
      </c>
      <c r="K1458" t="s">
        <v>741</v>
      </c>
      <c r="L1458" t="s">
        <v>1637</v>
      </c>
    </row>
    <row r="1459" spans="1:12">
      <c r="A1459">
        <v>1457</v>
      </c>
      <c r="B1459" t="s">
        <v>3</v>
      </c>
      <c r="C1459" t="s">
        <v>742</v>
      </c>
      <c r="D1459">
        <v>2017</v>
      </c>
      <c r="E1459">
        <v>3</v>
      </c>
      <c r="F1459">
        <v>25</v>
      </c>
      <c r="G1459">
        <v>5</v>
      </c>
      <c r="H1459">
        <v>17</v>
      </c>
      <c r="I1459">
        <v>0</v>
      </c>
      <c r="J1459">
        <v>9.39</v>
      </c>
      <c r="K1459" t="s">
        <v>741</v>
      </c>
      <c r="L1459" t="s">
        <v>1654</v>
      </c>
    </row>
    <row r="1460" spans="1:12">
      <c r="A1460">
        <v>1458</v>
      </c>
      <c r="B1460" t="s">
        <v>3</v>
      </c>
      <c r="C1460" t="s">
        <v>742</v>
      </c>
      <c r="D1460">
        <v>2017</v>
      </c>
      <c r="E1460">
        <v>3</v>
      </c>
      <c r="F1460">
        <v>25</v>
      </c>
      <c r="G1460">
        <v>5</v>
      </c>
      <c r="H1460">
        <v>17</v>
      </c>
      <c r="I1460">
        <v>0</v>
      </c>
      <c r="J1460">
        <v>300</v>
      </c>
      <c r="K1460" t="s">
        <v>741</v>
      </c>
      <c r="L1460" t="s">
        <v>1641</v>
      </c>
    </row>
    <row r="1461" spans="1:12">
      <c r="A1461">
        <v>1459</v>
      </c>
      <c r="B1461" t="s">
        <v>3</v>
      </c>
      <c r="C1461" t="s">
        <v>742</v>
      </c>
      <c r="D1461">
        <v>2017</v>
      </c>
      <c r="E1461">
        <v>3</v>
      </c>
      <c r="F1461">
        <v>25</v>
      </c>
      <c r="G1461">
        <v>5</v>
      </c>
      <c r="H1461">
        <v>17</v>
      </c>
      <c r="I1461">
        <v>0</v>
      </c>
      <c r="J1461">
        <v>1907.1</v>
      </c>
      <c r="K1461" t="s">
        <v>741</v>
      </c>
      <c r="L1461" t="s">
        <v>1685</v>
      </c>
    </row>
    <row r="1462" spans="1:12">
      <c r="A1462">
        <v>1460</v>
      </c>
      <c r="B1462" t="s">
        <v>3</v>
      </c>
      <c r="C1462" t="s">
        <v>742</v>
      </c>
      <c r="D1462">
        <v>2017</v>
      </c>
      <c r="E1462">
        <v>3</v>
      </c>
      <c r="F1462">
        <v>26</v>
      </c>
      <c r="G1462">
        <v>5</v>
      </c>
      <c r="H1462">
        <v>17</v>
      </c>
      <c r="I1462">
        <v>0</v>
      </c>
      <c r="J1462">
        <v>1888.68</v>
      </c>
      <c r="K1462" t="s">
        <v>741</v>
      </c>
      <c r="L1462" t="s">
        <v>1622</v>
      </c>
    </row>
    <row r="1463" spans="1:12">
      <c r="A1463">
        <v>1461</v>
      </c>
      <c r="B1463" t="s">
        <v>3</v>
      </c>
      <c r="C1463" t="s">
        <v>742</v>
      </c>
      <c r="D1463">
        <v>2017</v>
      </c>
      <c r="E1463">
        <v>3</v>
      </c>
      <c r="F1463">
        <v>26</v>
      </c>
      <c r="G1463">
        <v>5</v>
      </c>
      <c r="H1463">
        <v>17</v>
      </c>
      <c r="I1463">
        <v>0</v>
      </c>
      <c r="J1463">
        <v>538.57999999999993</v>
      </c>
      <c r="K1463" t="s">
        <v>741</v>
      </c>
      <c r="L1463" t="s">
        <v>1618</v>
      </c>
    </row>
    <row r="1464" spans="1:12">
      <c r="A1464">
        <v>1462</v>
      </c>
      <c r="B1464" t="s">
        <v>3</v>
      </c>
      <c r="C1464" t="s">
        <v>742</v>
      </c>
      <c r="D1464">
        <v>2017</v>
      </c>
      <c r="E1464">
        <v>3</v>
      </c>
      <c r="F1464">
        <v>27</v>
      </c>
      <c r="G1464">
        <v>5</v>
      </c>
      <c r="H1464">
        <v>17</v>
      </c>
      <c r="I1464">
        <v>0</v>
      </c>
      <c r="J1464">
        <v>87.2</v>
      </c>
      <c r="K1464" t="s">
        <v>741</v>
      </c>
      <c r="L1464" t="s">
        <v>1626</v>
      </c>
    </row>
    <row r="1465" spans="1:12">
      <c r="A1465">
        <v>1463</v>
      </c>
      <c r="B1465" t="s">
        <v>3</v>
      </c>
      <c r="C1465" t="s">
        <v>742</v>
      </c>
      <c r="D1465">
        <v>2017</v>
      </c>
      <c r="E1465">
        <v>3</v>
      </c>
      <c r="F1465">
        <v>28</v>
      </c>
      <c r="G1465">
        <v>5</v>
      </c>
      <c r="H1465">
        <v>17</v>
      </c>
      <c r="I1465">
        <v>0</v>
      </c>
      <c r="J1465">
        <v>522.85</v>
      </c>
      <c r="K1465" t="s">
        <v>741</v>
      </c>
      <c r="L1465" t="s">
        <v>1636</v>
      </c>
    </row>
    <row r="1466" spans="1:12">
      <c r="A1466">
        <v>1464</v>
      </c>
      <c r="B1466" t="s">
        <v>3</v>
      </c>
      <c r="C1466" t="s">
        <v>742</v>
      </c>
      <c r="D1466">
        <v>2017</v>
      </c>
      <c r="E1466">
        <v>3</v>
      </c>
      <c r="F1466">
        <v>28</v>
      </c>
      <c r="G1466">
        <v>5</v>
      </c>
      <c r="H1466">
        <v>17</v>
      </c>
      <c r="I1466">
        <v>0</v>
      </c>
      <c r="J1466">
        <v>115</v>
      </c>
      <c r="K1466" t="s">
        <v>741</v>
      </c>
      <c r="L1466" t="s">
        <v>1644</v>
      </c>
    </row>
    <row r="1467" spans="1:12">
      <c r="A1467">
        <v>1465</v>
      </c>
      <c r="B1467" t="s">
        <v>3</v>
      </c>
      <c r="C1467" t="s">
        <v>742</v>
      </c>
      <c r="D1467">
        <v>2017</v>
      </c>
      <c r="E1467">
        <v>3</v>
      </c>
      <c r="F1467">
        <v>29</v>
      </c>
      <c r="G1467">
        <v>5</v>
      </c>
      <c r="H1467">
        <v>17</v>
      </c>
      <c r="I1467">
        <v>0</v>
      </c>
      <c r="J1467">
        <v>330</v>
      </c>
      <c r="K1467" t="s">
        <v>741</v>
      </c>
      <c r="L1467" t="s">
        <v>1621</v>
      </c>
    </row>
    <row r="1468" spans="1:12">
      <c r="A1468">
        <v>1466</v>
      </c>
      <c r="B1468" t="s">
        <v>3</v>
      </c>
      <c r="C1468" t="s">
        <v>742</v>
      </c>
      <c r="D1468">
        <v>2017</v>
      </c>
      <c r="E1468">
        <v>3</v>
      </c>
      <c r="F1468">
        <v>40</v>
      </c>
      <c r="G1468">
        <v>5</v>
      </c>
      <c r="H1468">
        <v>17</v>
      </c>
      <c r="I1468">
        <v>0</v>
      </c>
      <c r="J1468">
        <v>177.84000000000003</v>
      </c>
      <c r="K1468" t="s">
        <v>741</v>
      </c>
      <c r="L1468" t="s">
        <v>1603</v>
      </c>
    </row>
    <row r="1469" spans="1:12">
      <c r="A1469">
        <v>1467</v>
      </c>
      <c r="B1469" t="s">
        <v>3</v>
      </c>
      <c r="C1469" t="s">
        <v>742</v>
      </c>
      <c r="D1469">
        <v>2017</v>
      </c>
      <c r="E1469">
        <v>3</v>
      </c>
      <c r="F1469">
        <v>40</v>
      </c>
      <c r="G1469">
        <v>5</v>
      </c>
      <c r="H1469">
        <v>17</v>
      </c>
      <c r="I1469">
        <v>0</v>
      </c>
      <c r="J1469">
        <v>177.85</v>
      </c>
      <c r="K1469" t="s">
        <v>741</v>
      </c>
      <c r="L1469" t="s">
        <v>1604</v>
      </c>
    </row>
    <row r="1470" spans="1:12">
      <c r="A1470">
        <v>1468</v>
      </c>
      <c r="B1470" t="s">
        <v>3</v>
      </c>
      <c r="C1470" t="s">
        <v>742</v>
      </c>
      <c r="D1470">
        <v>2017</v>
      </c>
      <c r="E1470">
        <v>3</v>
      </c>
      <c r="F1470">
        <v>41</v>
      </c>
      <c r="G1470">
        <v>5</v>
      </c>
      <c r="H1470">
        <v>17</v>
      </c>
      <c r="I1470">
        <v>0</v>
      </c>
      <c r="J1470">
        <v>29.450000000000003</v>
      </c>
      <c r="K1470" t="s">
        <v>741</v>
      </c>
      <c r="L1470" t="s">
        <v>1605</v>
      </c>
    </row>
    <row r="1471" spans="1:12">
      <c r="A1471">
        <v>1469</v>
      </c>
      <c r="B1471" t="s">
        <v>3</v>
      </c>
      <c r="C1471" t="s">
        <v>742</v>
      </c>
      <c r="D1471">
        <v>2017</v>
      </c>
      <c r="E1471">
        <v>4</v>
      </c>
      <c r="F1471">
        <v>9</v>
      </c>
      <c r="G1471">
        <v>5</v>
      </c>
      <c r="H1471">
        <v>21</v>
      </c>
      <c r="I1471">
        <v>0</v>
      </c>
      <c r="J1471">
        <v>-5375</v>
      </c>
      <c r="K1471" t="s">
        <v>741</v>
      </c>
      <c r="L1471" t="s">
        <v>1667</v>
      </c>
    </row>
    <row r="1472" spans="1:12">
      <c r="A1472">
        <v>1470</v>
      </c>
      <c r="B1472" t="s">
        <v>3</v>
      </c>
      <c r="C1472" t="s">
        <v>742</v>
      </c>
      <c r="D1472">
        <v>2017</v>
      </c>
      <c r="E1472">
        <v>4</v>
      </c>
      <c r="F1472">
        <v>11</v>
      </c>
      <c r="G1472">
        <v>5</v>
      </c>
      <c r="H1472">
        <v>21</v>
      </c>
      <c r="I1472">
        <v>0</v>
      </c>
      <c r="J1472">
        <v>-23632.87</v>
      </c>
      <c r="K1472" t="s">
        <v>741</v>
      </c>
      <c r="L1472" t="s">
        <v>1607</v>
      </c>
    </row>
    <row r="1473" spans="1:12">
      <c r="A1473">
        <v>1471</v>
      </c>
      <c r="B1473" t="s">
        <v>3</v>
      </c>
      <c r="C1473" t="s">
        <v>742</v>
      </c>
      <c r="D1473">
        <v>2017</v>
      </c>
      <c r="E1473">
        <v>4</v>
      </c>
      <c r="F1473">
        <v>25</v>
      </c>
      <c r="G1473">
        <v>5</v>
      </c>
      <c r="H1473">
        <v>21</v>
      </c>
      <c r="I1473">
        <v>0</v>
      </c>
      <c r="J1473">
        <v>18</v>
      </c>
      <c r="K1473" t="s">
        <v>741</v>
      </c>
      <c r="L1473" t="s">
        <v>1637</v>
      </c>
    </row>
    <row r="1474" spans="1:12">
      <c r="A1474">
        <v>1472</v>
      </c>
      <c r="B1474" t="s">
        <v>3</v>
      </c>
      <c r="C1474" t="s">
        <v>742</v>
      </c>
      <c r="D1474">
        <v>2017</v>
      </c>
      <c r="E1474">
        <v>4</v>
      </c>
      <c r="F1474">
        <v>26</v>
      </c>
      <c r="G1474">
        <v>5</v>
      </c>
      <c r="H1474">
        <v>21</v>
      </c>
      <c r="I1474">
        <v>0</v>
      </c>
      <c r="J1474">
        <v>68.81</v>
      </c>
      <c r="K1474" t="s">
        <v>741</v>
      </c>
      <c r="L1474" t="s">
        <v>1647</v>
      </c>
    </row>
    <row r="1475" spans="1:12">
      <c r="A1475">
        <v>1473</v>
      </c>
      <c r="B1475" t="s">
        <v>3</v>
      </c>
      <c r="C1475" t="s">
        <v>742</v>
      </c>
      <c r="D1475">
        <v>2017</v>
      </c>
      <c r="E1475">
        <v>4</v>
      </c>
      <c r="F1475">
        <v>26</v>
      </c>
      <c r="G1475">
        <v>5</v>
      </c>
      <c r="H1475">
        <v>21</v>
      </c>
      <c r="I1475">
        <v>0</v>
      </c>
      <c r="J1475">
        <v>1638.07</v>
      </c>
      <c r="K1475" t="s">
        <v>741</v>
      </c>
      <c r="L1475" t="s">
        <v>1618</v>
      </c>
    </row>
    <row r="1476" spans="1:12">
      <c r="A1476">
        <v>1474</v>
      </c>
      <c r="B1476" t="s">
        <v>3</v>
      </c>
      <c r="C1476" t="s">
        <v>742</v>
      </c>
      <c r="D1476">
        <v>2017</v>
      </c>
      <c r="E1476">
        <v>4</v>
      </c>
      <c r="F1476">
        <v>28</v>
      </c>
      <c r="G1476">
        <v>5</v>
      </c>
      <c r="H1476">
        <v>21</v>
      </c>
      <c r="I1476">
        <v>0</v>
      </c>
      <c r="J1476">
        <v>10</v>
      </c>
      <c r="K1476" t="s">
        <v>741</v>
      </c>
      <c r="L1476" t="s">
        <v>1643</v>
      </c>
    </row>
    <row r="1477" spans="1:12">
      <c r="A1477">
        <v>1475</v>
      </c>
      <c r="B1477" t="s">
        <v>3</v>
      </c>
      <c r="C1477" t="s">
        <v>742</v>
      </c>
      <c r="D1477">
        <v>2017</v>
      </c>
      <c r="E1477">
        <v>4</v>
      </c>
      <c r="F1477">
        <v>28</v>
      </c>
      <c r="G1477">
        <v>5</v>
      </c>
      <c r="H1477">
        <v>21</v>
      </c>
      <c r="I1477">
        <v>0</v>
      </c>
      <c r="J1477">
        <v>864</v>
      </c>
      <c r="K1477" t="s">
        <v>741</v>
      </c>
      <c r="L1477" t="s">
        <v>1634</v>
      </c>
    </row>
    <row r="1478" spans="1:12">
      <c r="A1478">
        <v>1476</v>
      </c>
      <c r="B1478" t="s">
        <v>3</v>
      </c>
      <c r="C1478" t="s">
        <v>742</v>
      </c>
      <c r="D1478">
        <v>2017</v>
      </c>
      <c r="E1478">
        <v>4</v>
      </c>
      <c r="F1478">
        <v>28</v>
      </c>
      <c r="G1478">
        <v>5</v>
      </c>
      <c r="H1478">
        <v>21</v>
      </c>
      <c r="I1478">
        <v>0</v>
      </c>
      <c r="J1478">
        <v>306</v>
      </c>
      <c r="K1478" t="s">
        <v>741</v>
      </c>
      <c r="L1478" t="s">
        <v>1644</v>
      </c>
    </row>
    <row r="1479" spans="1:12">
      <c r="A1479">
        <v>1477</v>
      </c>
      <c r="B1479" t="s">
        <v>3</v>
      </c>
      <c r="C1479" t="s">
        <v>742</v>
      </c>
      <c r="D1479">
        <v>2017</v>
      </c>
      <c r="E1479">
        <v>4</v>
      </c>
      <c r="F1479">
        <v>29</v>
      </c>
      <c r="G1479">
        <v>5</v>
      </c>
      <c r="H1479">
        <v>21</v>
      </c>
      <c r="I1479">
        <v>0</v>
      </c>
      <c r="J1479">
        <v>198.95999999999998</v>
      </c>
      <c r="K1479" t="s">
        <v>741</v>
      </c>
      <c r="L1479" t="s">
        <v>1608</v>
      </c>
    </row>
    <row r="1480" spans="1:12">
      <c r="A1480">
        <v>1478</v>
      </c>
      <c r="B1480" t="s">
        <v>3</v>
      </c>
      <c r="C1480" t="s">
        <v>742</v>
      </c>
      <c r="D1480">
        <v>2017</v>
      </c>
      <c r="E1480">
        <v>4</v>
      </c>
      <c r="F1480">
        <v>29</v>
      </c>
      <c r="G1480">
        <v>5</v>
      </c>
      <c r="H1480">
        <v>21</v>
      </c>
      <c r="I1480">
        <v>0</v>
      </c>
      <c r="J1480">
        <v>275</v>
      </c>
      <c r="K1480" t="s">
        <v>741</v>
      </c>
      <c r="L1480" t="s">
        <v>1635</v>
      </c>
    </row>
    <row r="1481" spans="1:12">
      <c r="A1481">
        <v>1479</v>
      </c>
      <c r="B1481" t="s">
        <v>3</v>
      </c>
      <c r="C1481" t="s">
        <v>742</v>
      </c>
      <c r="D1481">
        <v>2017</v>
      </c>
      <c r="E1481">
        <v>4</v>
      </c>
      <c r="F1481">
        <v>40</v>
      </c>
      <c r="G1481">
        <v>5</v>
      </c>
      <c r="H1481">
        <v>21</v>
      </c>
      <c r="I1481">
        <v>0</v>
      </c>
      <c r="J1481">
        <v>102.03</v>
      </c>
      <c r="K1481" t="s">
        <v>741</v>
      </c>
      <c r="L1481" t="s">
        <v>1603</v>
      </c>
    </row>
    <row r="1482" spans="1:12">
      <c r="A1482">
        <v>1480</v>
      </c>
      <c r="B1482" t="s">
        <v>3</v>
      </c>
      <c r="C1482" t="s">
        <v>742</v>
      </c>
      <c r="D1482">
        <v>2017</v>
      </c>
      <c r="E1482">
        <v>4</v>
      </c>
      <c r="F1482">
        <v>40</v>
      </c>
      <c r="G1482">
        <v>5</v>
      </c>
      <c r="H1482">
        <v>21</v>
      </c>
      <c r="I1482">
        <v>0</v>
      </c>
      <c r="J1482">
        <v>102.05</v>
      </c>
      <c r="K1482" t="s">
        <v>741</v>
      </c>
      <c r="L1482" t="s">
        <v>1604</v>
      </c>
    </row>
    <row r="1483" spans="1:12">
      <c r="A1483">
        <v>1481</v>
      </c>
      <c r="B1483" t="s">
        <v>3</v>
      </c>
      <c r="C1483" t="s">
        <v>742</v>
      </c>
      <c r="D1483">
        <v>2017</v>
      </c>
      <c r="E1483">
        <v>4</v>
      </c>
      <c r="F1483">
        <v>41</v>
      </c>
      <c r="G1483">
        <v>5</v>
      </c>
      <c r="H1483">
        <v>21</v>
      </c>
      <c r="I1483">
        <v>0</v>
      </c>
      <c r="J1483">
        <v>16.89</v>
      </c>
      <c r="K1483" t="s">
        <v>741</v>
      </c>
      <c r="L1483" t="s">
        <v>1605</v>
      </c>
    </row>
    <row r="1484" spans="1:12">
      <c r="A1484">
        <v>1482</v>
      </c>
      <c r="B1484" t="s">
        <v>3</v>
      </c>
      <c r="C1484" t="s">
        <v>742</v>
      </c>
      <c r="D1484">
        <v>2017</v>
      </c>
      <c r="E1484">
        <v>4</v>
      </c>
      <c r="F1484">
        <v>45</v>
      </c>
      <c r="G1484">
        <v>5</v>
      </c>
      <c r="H1484">
        <v>21</v>
      </c>
      <c r="I1484">
        <v>0</v>
      </c>
      <c r="J1484">
        <v>703</v>
      </c>
      <c r="K1484" t="s">
        <v>741</v>
      </c>
      <c r="L1484" t="s">
        <v>1606</v>
      </c>
    </row>
    <row r="1485" spans="1:12">
      <c r="A1485">
        <v>1483</v>
      </c>
      <c r="B1485" t="s">
        <v>3</v>
      </c>
      <c r="C1485" t="s">
        <v>742</v>
      </c>
      <c r="D1485">
        <v>2018</v>
      </c>
      <c r="E1485">
        <v>1</v>
      </c>
      <c r="F1485">
        <v>8</v>
      </c>
      <c r="G1485">
        <v>4</v>
      </c>
      <c r="H1485">
        <v>8</v>
      </c>
      <c r="I1485">
        <v>-29007</v>
      </c>
      <c r="J1485">
        <v>0</v>
      </c>
      <c r="K1485" t="s">
        <v>741</v>
      </c>
      <c r="L1485" t="s">
        <v>1599</v>
      </c>
    </row>
    <row r="1486" spans="1:12">
      <c r="A1486">
        <v>1484</v>
      </c>
      <c r="B1486" t="s">
        <v>3</v>
      </c>
      <c r="C1486" t="s">
        <v>742</v>
      </c>
      <c r="D1486">
        <v>2018</v>
      </c>
      <c r="E1486">
        <v>1</v>
      </c>
      <c r="F1486">
        <v>23</v>
      </c>
      <c r="G1486">
        <v>4</v>
      </c>
      <c r="H1486">
        <v>8</v>
      </c>
      <c r="I1486">
        <v>27227</v>
      </c>
      <c r="J1486">
        <v>0</v>
      </c>
      <c r="K1486" t="s">
        <v>741</v>
      </c>
      <c r="L1486" t="s">
        <v>1602</v>
      </c>
    </row>
    <row r="1487" spans="1:12">
      <c r="A1487">
        <v>1485</v>
      </c>
      <c r="B1487" t="s">
        <v>3</v>
      </c>
      <c r="C1487" t="s">
        <v>742</v>
      </c>
      <c r="D1487">
        <v>2018</v>
      </c>
      <c r="E1487">
        <v>1</v>
      </c>
      <c r="F1487">
        <v>40</v>
      </c>
      <c r="G1487">
        <v>4</v>
      </c>
      <c r="H1487">
        <v>8</v>
      </c>
      <c r="I1487">
        <v>1644</v>
      </c>
      <c r="J1487">
        <v>0</v>
      </c>
      <c r="K1487" t="s">
        <v>741</v>
      </c>
      <c r="L1487" t="s">
        <v>1603</v>
      </c>
    </row>
    <row r="1488" spans="1:12">
      <c r="A1488">
        <v>1486</v>
      </c>
      <c r="B1488" t="s">
        <v>3</v>
      </c>
      <c r="C1488" t="s">
        <v>742</v>
      </c>
      <c r="D1488">
        <v>2018</v>
      </c>
      <c r="E1488">
        <v>1</v>
      </c>
      <c r="F1488">
        <v>41</v>
      </c>
      <c r="G1488">
        <v>4</v>
      </c>
      <c r="H1488">
        <v>8</v>
      </c>
      <c r="I1488">
        <v>136</v>
      </c>
      <c r="J1488">
        <v>0</v>
      </c>
      <c r="K1488" t="s">
        <v>741</v>
      </c>
      <c r="L1488" t="s">
        <v>1605</v>
      </c>
    </row>
    <row r="1489" spans="1:12">
      <c r="A1489">
        <v>1487</v>
      </c>
      <c r="B1489" t="s">
        <v>3</v>
      </c>
      <c r="C1489" t="s">
        <v>742</v>
      </c>
      <c r="D1489">
        <v>2018</v>
      </c>
      <c r="E1489">
        <v>2</v>
      </c>
      <c r="F1489">
        <v>8</v>
      </c>
      <c r="G1489">
        <v>4</v>
      </c>
      <c r="H1489">
        <v>12</v>
      </c>
      <c r="I1489">
        <v>0</v>
      </c>
      <c r="J1489">
        <v>-14503</v>
      </c>
      <c r="K1489" t="s">
        <v>741</v>
      </c>
      <c r="L1489" t="s">
        <v>1599</v>
      </c>
    </row>
    <row r="1490" spans="1:12">
      <c r="A1490">
        <v>1488</v>
      </c>
      <c r="B1490" t="s">
        <v>3</v>
      </c>
      <c r="C1490" t="s">
        <v>742</v>
      </c>
      <c r="D1490">
        <v>2018</v>
      </c>
      <c r="E1490">
        <v>2</v>
      </c>
      <c r="F1490">
        <v>26</v>
      </c>
      <c r="G1490">
        <v>4</v>
      </c>
      <c r="H1490">
        <v>12</v>
      </c>
      <c r="I1490">
        <v>0</v>
      </c>
      <c r="J1490">
        <v>765</v>
      </c>
      <c r="K1490" t="s">
        <v>741</v>
      </c>
      <c r="L1490" t="s">
        <v>1622</v>
      </c>
    </row>
    <row r="1491" spans="1:12">
      <c r="A1491">
        <v>1489</v>
      </c>
      <c r="B1491" t="s">
        <v>3</v>
      </c>
      <c r="C1491" t="s">
        <v>742</v>
      </c>
      <c r="D1491">
        <v>2018</v>
      </c>
      <c r="E1491">
        <v>2</v>
      </c>
      <c r="F1491">
        <v>26</v>
      </c>
      <c r="G1491">
        <v>4</v>
      </c>
      <c r="H1491">
        <v>12</v>
      </c>
      <c r="I1491">
        <v>0</v>
      </c>
      <c r="J1491">
        <v>5375</v>
      </c>
      <c r="K1491" t="s">
        <v>741</v>
      </c>
      <c r="L1491" t="s">
        <v>1618</v>
      </c>
    </row>
    <row r="1492" spans="1:12">
      <c r="A1492">
        <v>1490</v>
      </c>
      <c r="B1492" t="s">
        <v>3</v>
      </c>
      <c r="C1492" t="s">
        <v>742</v>
      </c>
      <c r="D1492">
        <v>2018</v>
      </c>
      <c r="E1492">
        <v>2</v>
      </c>
      <c r="F1492">
        <v>26</v>
      </c>
      <c r="G1492">
        <v>4</v>
      </c>
      <c r="H1492">
        <v>12</v>
      </c>
      <c r="I1492">
        <v>0</v>
      </c>
      <c r="J1492">
        <v>1000</v>
      </c>
      <c r="K1492" t="s">
        <v>741</v>
      </c>
      <c r="L1492" t="s">
        <v>1657</v>
      </c>
    </row>
    <row r="1493" spans="1:12">
      <c r="A1493">
        <v>1491</v>
      </c>
      <c r="B1493" t="s">
        <v>3</v>
      </c>
      <c r="C1493" t="s">
        <v>742</v>
      </c>
      <c r="D1493">
        <v>2018</v>
      </c>
      <c r="E1493">
        <v>2</v>
      </c>
      <c r="F1493">
        <v>28</v>
      </c>
      <c r="G1493">
        <v>4</v>
      </c>
      <c r="H1493">
        <v>12</v>
      </c>
      <c r="I1493">
        <v>0</v>
      </c>
      <c r="J1493">
        <v>2640</v>
      </c>
      <c r="K1493" t="s">
        <v>741</v>
      </c>
      <c r="L1493" t="s">
        <v>1634</v>
      </c>
    </row>
    <row r="1494" spans="1:12">
      <c r="A1494">
        <v>1492</v>
      </c>
      <c r="B1494" t="s">
        <v>3</v>
      </c>
      <c r="C1494" t="s">
        <v>742</v>
      </c>
      <c r="D1494">
        <v>2018</v>
      </c>
      <c r="E1494">
        <v>2</v>
      </c>
      <c r="F1494">
        <v>29</v>
      </c>
      <c r="G1494">
        <v>4</v>
      </c>
      <c r="H1494">
        <v>12</v>
      </c>
      <c r="I1494">
        <v>0</v>
      </c>
      <c r="J1494">
        <v>350</v>
      </c>
      <c r="K1494" t="s">
        <v>741</v>
      </c>
      <c r="L1494" t="s">
        <v>1625</v>
      </c>
    </row>
    <row r="1495" spans="1:12">
      <c r="A1495">
        <v>1493</v>
      </c>
      <c r="B1495" t="s">
        <v>3</v>
      </c>
      <c r="C1495" t="s">
        <v>742</v>
      </c>
      <c r="D1495">
        <v>2018</v>
      </c>
      <c r="E1495">
        <v>2</v>
      </c>
      <c r="F1495">
        <v>29</v>
      </c>
      <c r="G1495">
        <v>4</v>
      </c>
      <c r="H1495">
        <v>12</v>
      </c>
      <c r="I1495">
        <v>0</v>
      </c>
      <c r="J1495">
        <v>36.83</v>
      </c>
      <c r="K1495" t="s">
        <v>741</v>
      </c>
      <c r="L1495" t="s">
        <v>1629</v>
      </c>
    </row>
    <row r="1496" spans="1:12">
      <c r="A1496">
        <v>1494</v>
      </c>
      <c r="B1496" t="s">
        <v>3</v>
      </c>
      <c r="C1496" t="s">
        <v>742</v>
      </c>
      <c r="D1496">
        <v>2018</v>
      </c>
      <c r="E1496">
        <v>2</v>
      </c>
      <c r="F1496">
        <v>40</v>
      </c>
      <c r="G1496">
        <v>4</v>
      </c>
      <c r="H1496">
        <v>12</v>
      </c>
      <c r="I1496">
        <v>0</v>
      </c>
      <c r="J1496">
        <v>319.74</v>
      </c>
      <c r="K1496" t="s">
        <v>741</v>
      </c>
      <c r="L1496" t="s">
        <v>1603</v>
      </c>
    </row>
    <row r="1497" spans="1:12">
      <c r="A1497">
        <v>1495</v>
      </c>
      <c r="B1497" t="s">
        <v>3</v>
      </c>
      <c r="C1497" t="s">
        <v>742</v>
      </c>
      <c r="D1497">
        <v>2018</v>
      </c>
      <c r="E1497">
        <v>2</v>
      </c>
      <c r="F1497">
        <v>40</v>
      </c>
      <c r="G1497">
        <v>4</v>
      </c>
      <c r="H1497">
        <v>12</v>
      </c>
      <c r="I1497">
        <v>0</v>
      </c>
      <c r="J1497">
        <v>319.75</v>
      </c>
      <c r="K1497" t="s">
        <v>741</v>
      </c>
      <c r="L1497" t="s">
        <v>1604</v>
      </c>
    </row>
    <row r="1498" spans="1:12">
      <c r="A1498">
        <v>1496</v>
      </c>
      <c r="B1498" t="s">
        <v>3</v>
      </c>
      <c r="C1498" t="s">
        <v>742</v>
      </c>
      <c r="D1498">
        <v>2018</v>
      </c>
      <c r="E1498">
        <v>2</v>
      </c>
      <c r="F1498">
        <v>41</v>
      </c>
      <c r="G1498">
        <v>4</v>
      </c>
      <c r="H1498">
        <v>12</v>
      </c>
      <c r="I1498">
        <v>0</v>
      </c>
      <c r="J1498">
        <v>51.849999999999994</v>
      </c>
      <c r="K1498" t="s">
        <v>741</v>
      </c>
      <c r="L1498" t="s">
        <v>1605</v>
      </c>
    </row>
    <row r="1499" spans="1:12">
      <c r="A1499">
        <v>1497</v>
      </c>
      <c r="B1499" t="s">
        <v>3</v>
      </c>
      <c r="C1499" t="s">
        <v>742</v>
      </c>
      <c r="D1499">
        <v>2018</v>
      </c>
      <c r="E1499">
        <v>3</v>
      </c>
      <c r="F1499">
        <v>8</v>
      </c>
      <c r="G1499">
        <v>4</v>
      </c>
      <c r="H1499">
        <v>16</v>
      </c>
      <c r="I1499">
        <v>0</v>
      </c>
      <c r="J1499">
        <v>-14504</v>
      </c>
      <c r="K1499" t="s">
        <v>741</v>
      </c>
      <c r="L1499" t="s">
        <v>1599</v>
      </c>
    </row>
    <row r="1500" spans="1:12">
      <c r="A1500">
        <v>1498</v>
      </c>
      <c r="B1500" t="s">
        <v>3</v>
      </c>
      <c r="C1500" t="s">
        <v>742</v>
      </c>
      <c r="D1500">
        <v>2018</v>
      </c>
      <c r="E1500">
        <v>3</v>
      </c>
      <c r="F1500">
        <v>9</v>
      </c>
      <c r="G1500">
        <v>4</v>
      </c>
      <c r="H1500">
        <v>16</v>
      </c>
      <c r="I1500">
        <v>0</v>
      </c>
      <c r="J1500">
        <v>-306.75</v>
      </c>
      <c r="K1500" t="s">
        <v>741</v>
      </c>
      <c r="L1500" t="s">
        <v>1688</v>
      </c>
    </row>
    <row r="1501" spans="1:12">
      <c r="A1501">
        <v>1499</v>
      </c>
      <c r="B1501" t="s">
        <v>3</v>
      </c>
      <c r="C1501" t="s">
        <v>742</v>
      </c>
      <c r="D1501">
        <v>2018</v>
      </c>
      <c r="E1501">
        <v>3</v>
      </c>
      <c r="F1501">
        <v>25</v>
      </c>
      <c r="G1501">
        <v>4</v>
      </c>
      <c r="H1501">
        <v>16</v>
      </c>
      <c r="I1501">
        <v>0</v>
      </c>
      <c r="J1501">
        <v>77.989999999999995</v>
      </c>
      <c r="K1501" t="s">
        <v>741</v>
      </c>
      <c r="L1501" t="s">
        <v>1632</v>
      </c>
    </row>
    <row r="1502" spans="1:12">
      <c r="A1502">
        <v>1500</v>
      </c>
      <c r="B1502" t="s">
        <v>3</v>
      </c>
      <c r="C1502" t="s">
        <v>742</v>
      </c>
      <c r="D1502">
        <v>2018</v>
      </c>
      <c r="E1502">
        <v>3</v>
      </c>
      <c r="F1502">
        <v>26</v>
      </c>
      <c r="G1502">
        <v>4</v>
      </c>
      <c r="H1502">
        <v>16</v>
      </c>
      <c r="I1502">
        <v>0</v>
      </c>
      <c r="J1502">
        <v>1582.08</v>
      </c>
      <c r="K1502" t="s">
        <v>741</v>
      </c>
      <c r="L1502" t="s">
        <v>1622</v>
      </c>
    </row>
    <row r="1503" spans="1:12">
      <c r="A1503">
        <v>1501</v>
      </c>
      <c r="B1503" t="s">
        <v>3</v>
      </c>
      <c r="C1503" t="s">
        <v>742</v>
      </c>
      <c r="D1503">
        <v>2018</v>
      </c>
      <c r="E1503">
        <v>3</v>
      </c>
      <c r="F1503">
        <v>26</v>
      </c>
      <c r="G1503">
        <v>4</v>
      </c>
      <c r="H1503">
        <v>16</v>
      </c>
      <c r="I1503">
        <v>0</v>
      </c>
      <c r="J1503">
        <v>516.33000000000004</v>
      </c>
      <c r="K1503" t="s">
        <v>741</v>
      </c>
      <c r="L1503" t="s">
        <v>1618</v>
      </c>
    </row>
    <row r="1504" spans="1:12">
      <c r="A1504">
        <v>1502</v>
      </c>
      <c r="B1504" t="s">
        <v>3</v>
      </c>
      <c r="C1504" t="s">
        <v>742</v>
      </c>
      <c r="D1504">
        <v>2018</v>
      </c>
      <c r="E1504">
        <v>3</v>
      </c>
      <c r="F1504">
        <v>26</v>
      </c>
      <c r="G1504">
        <v>4</v>
      </c>
      <c r="H1504">
        <v>16</v>
      </c>
      <c r="I1504">
        <v>0</v>
      </c>
      <c r="J1504">
        <v>300</v>
      </c>
      <c r="K1504" t="s">
        <v>741</v>
      </c>
      <c r="L1504" t="s">
        <v>1657</v>
      </c>
    </row>
    <row r="1505" spans="1:12">
      <c r="A1505">
        <v>1503</v>
      </c>
      <c r="B1505" t="s">
        <v>3</v>
      </c>
      <c r="C1505" t="s">
        <v>742</v>
      </c>
      <c r="D1505">
        <v>2018</v>
      </c>
      <c r="E1505">
        <v>3</v>
      </c>
      <c r="F1505">
        <v>27</v>
      </c>
      <c r="G1505">
        <v>4</v>
      </c>
      <c r="H1505">
        <v>16</v>
      </c>
      <c r="I1505">
        <v>0</v>
      </c>
      <c r="J1505">
        <v>36</v>
      </c>
      <c r="K1505" t="s">
        <v>741</v>
      </c>
      <c r="L1505" t="s">
        <v>1626</v>
      </c>
    </row>
    <row r="1506" spans="1:12">
      <c r="A1506">
        <v>1504</v>
      </c>
      <c r="B1506" t="s">
        <v>3</v>
      </c>
      <c r="C1506" t="s">
        <v>742</v>
      </c>
      <c r="D1506">
        <v>2018</v>
      </c>
      <c r="E1506">
        <v>3</v>
      </c>
      <c r="F1506">
        <v>28</v>
      </c>
      <c r="G1506">
        <v>4</v>
      </c>
      <c r="H1506">
        <v>16</v>
      </c>
      <c r="I1506">
        <v>0</v>
      </c>
      <c r="J1506">
        <v>157.15</v>
      </c>
      <c r="K1506" t="s">
        <v>741</v>
      </c>
      <c r="L1506" t="s">
        <v>1636</v>
      </c>
    </row>
    <row r="1507" spans="1:12">
      <c r="A1507">
        <v>1505</v>
      </c>
      <c r="B1507" t="s">
        <v>3</v>
      </c>
      <c r="C1507" t="s">
        <v>742</v>
      </c>
      <c r="D1507">
        <v>2018</v>
      </c>
      <c r="E1507">
        <v>3</v>
      </c>
      <c r="F1507">
        <v>40</v>
      </c>
      <c r="G1507">
        <v>4</v>
      </c>
      <c r="H1507">
        <v>16</v>
      </c>
      <c r="I1507">
        <v>0</v>
      </c>
      <c r="J1507">
        <v>83.960000000000008</v>
      </c>
      <c r="K1507" t="s">
        <v>741</v>
      </c>
      <c r="L1507" t="s">
        <v>1603</v>
      </c>
    </row>
    <row r="1508" spans="1:12">
      <c r="A1508">
        <v>1506</v>
      </c>
      <c r="B1508" t="s">
        <v>3</v>
      </c>
      <c r="C1508" t="s">
        <v>742</v>
      </c>
      <c r="D1508">
        <v>2018</v>
      </c>
      <c r="E1508">
        <v>3</v>
      </c>
      <c r="F1508">
        <v>40</v>
      </c>
      <c r="G1508">
        <v>4</v>
      </c>
      <c r="H1508">
        <v>16</v>
      </c>
      <c r="I1508">
        <v>0</v>
      </c>
      <c r="J1508">
        <v>83.96</v>
      </c>
      <c r="K1508" t="s">
        <v>741</v>
      </c>
      <c r="L1508" t="s">
        <v>1604</v>
      </c>
    </row>
    <row r="1509" spans="1:12">
      <c r="A1509">
        <v>1507</v>
      </c>
      <c r="B1509" t="s">
        <v>3</v>
      </c>
      <c r="C1509" t="s">
        <v>742</v>
      </c>
      <c r="D1509">
        <v>2018</v>
      </c>
      <c r="E1509">
        <v>3</v>
      </c>
      <c r="F1509">
        <v>41</v>
      </c>
      <c r="G1509">
        <v>4</v>
      </c>
      <c r="H1509">
        <v>16</v>
      </c>
      <c r="I1509">
        <v>0</v>
      </c>
      <c r="J1509">
        <v>13.620000000000001</v>
      </c>
      <c r="K1509" t="s">
        <v>741</v>
      </c>
      <c r="L1509" t="s">
        <v>1605</v>
      </c>
    </row>
    <row r="1510" spans="1:12">
      <c r="A1510">
        <v>1508</v>
      </c>
      <c r="B1510" t="s">
        <v>3</v>
      </c>
      <c r="C1510" t="s">
        <v>742</v>
      </c>
      <c r="D1510">
        <v>2018</v>
      </c>
      <c r="E1510">
        <v>4</v>
      </c>
      <c r="F1510">
        <v>25</v>
      </c>
      <c r="G1510">
        <v>4</v>
      </c>
      <c r="H1510">
        <v>20</v>
      </c>
      <c r="I1510">
        <v>0</v>
      </c>
      <c r="J1510">
        <v>158.25</v>
      </c>
      <c r="K1510" t="s">
        <v>741</v>
      </c>
      <c r="L1510" t="s">
        <v>1632</v>
      </c>
    </row>
    <row r="1511" spans="1:12">
      <c r="A1511">
        <v>1509</v>
      </c>
      <c r="B1511" t="s">
        <v>3</v>
      </c>
      <c r="C1511" t="s">
        <v>742</v>
      </c>
      <c r="D1511">
        <v>2018</v>
      </c>
      <c r="E1511">
        <v>4</v>
      </c>
      <c r="F1511">
        <v>26</v>
      </c>
      <c r="G1511">
        <v>4</v>
      </c>
      <c r="H1511">
        <v>20</v>
      </c>
      <c r="I1511">
        <v>0</v>
      </c>
      <c r="J1511">
        <v>696.24</v>
      </c>
      <c r="K1511" t="s">
        <v>741</v>
      </c>
      <c r="L1511" t="s">
        <v>1622</v>
      </c>
    </row>
    <row r="1512" spans="1:12">
      <c r="A1512">
        <v>1510</v>
      </c>
      <c r="B1512" t="s">
        <v>3</v>
      </c>
      <c r="C1512" t="s">
        <v>742</v>
      </c>
      <c r="D1512">
        <v>2018</v>
      </c>
      <c r="E1512">
        <v>4</v>
      </c>
      <c r="F1512">
        <v>26</v>
      </c>
      <c r="G1512">
        <v>4</v>
      </c>
      <c r="H1512">
        <v>20</v>
      </c>
      <c r="I1512">
        <v>0</v>
      </c>
      <c r="J1512">
        <v>123.5</v>
      </c>
      <c r="K1512" t="s">
        <v>741</v>
      </c>
      <c r="L1512" t="s">
        <v>1633</v>
      </c>
    </row>
    <row r="1513" spans="1:12">
      <c r="A1513">
        <v>1511</v>
      </c>
      <c r="B1513" t="s">
        <v>3</v>
      </c>
      <c r="C1513" t="s">
        <v>742</v>
      </c>
      <c r="D1513">
        <v>2018</v>
      </c>
      <c r="E1513">
        <v>4</v>
      </c>
      <c r="F1513">
        <v>26</v>
      </c>
      <c r="G1513">
        <v>4</v>
      </c>
      <c r="H1513">
        <v>20</v>
      </c>
      <c r="I1513">
        <v>0</v>
      </c>
      <c r="J1513">
        <v>3501.04</v>
      </c>
      <c r="K1513" t="s">
        <v>741</v>
      </c>
      <c r="L1513" t="s">
        <v>1618</v>
      </c>
    </row>
    <row r="1514" spans="1:12">
      <c r="A1514">
        <v>1512</v>
      </c>
      <c r="B1514" t="s">
        <v>3</v>
      </c>
      <c r="C1514" t="s">
        <v>742</v>
      </c>
      <c r="D1514">
        <v>2018</v>
      </c>
      <c r="E1514">
        <v>4</v>
      </c>
      <c r="F1514">
        <v>27</v>
      </c>
      <c r="G1514">
        <v>4</v>
      </c>
      <c r="H1514">
        <v>20</v>
      </c>
      <c r="I1514">
        <v>0</v>
      </c>
      <c r="J1514">
        <v>30</v>
      </c>
      <c r="K1514" t="s">
        <v>741</v>
      </c>
      <c r="L1514" t="s">
        <v>1626</v>
      </c>
    </row>
    <row r="1515" spans="1:12">
      <c r="A1515">
        <v>1513</v>
      </c>
      <c r="B1515" t="s">
        <v>3</v>
      </c>
      <c r="C1515" t="s">
        <v>742</v>
      </c>
      <c r="D1515">
        <v>2018</v>
      </c>
      <c r="E1515">
        <v>4</v>
      </c>
      <c r="F1515">
        <v>28</v>
      </c>
      <c r="G1515">
        <v>4</v>
      </c>
      <c r="H1515">
        <v>20</v>
      </c>
      <c r="I1515">
        <v>0</v>
      </c>
      <c r="J1515">
        <v>301.38</v>
      </c>
      <c r="K1515" t="s">
        <v>741</v>
      </c>
      <c r="L1515" t="s">
        <v>1634</v>
      </c>
    </row>
    <row r="1516" spans="1:12">
      <c r="A1516">
        <v>1514</v>
      </c>
      <c r="B1516" t="s">
        <v>3</v>
      </c>
      <c r="C1516" t="s">
        <v>742</v>
      </c>
      <c r="D1516">
        <v>2018</v>
      </c>
      <c r="E1516">
        <v>4</v>
      </c>
      <c r="F1516">
        <v>29</v>
      </c>
      <c r="G1516">
        <v>4</v>
      </c>
      <c r="H1516">
        <v>20</v>
      </c>
      <c r="I1516">
        <v>0</v>
      </c>
      <c r="J1516">
        <v>-350</v>
      </c>
      <c r="K1516" t="s">
        <v>741</v>
      </c>
      <c r="L1516" t="s">
        <v>1625</v>
      </c>
    </row>
    <row r="1517" spans="1:12">
      <c r="A1517">
        <v>1515</v>
      </c>
      <c r="B1517" t="s">
        <v>3</v>
      </c>
      <c r="C1517" t="s">
        <v>742</v>
      </c>
      <c r="D1517">
        <v>2018</v>
      </c>
      <c r="E1517">
        <v>4</v>
      </c>
      <c r="F1517">
        <v>29</v>
      </c>
      <c r="G1517">
        <v>4</v>
      </c>
      <c r="H1517">
        <v>20</v>
      </c>
      <c r="I1517">
        <v>0</v>
      </c>
      <c r="J1517">
        <v>0</v>
      </c>
      <c r="K1517" t="s">
        <v>741</v>
      </c>
      <c r="L1517" t="s">
        <v>1648</v>
      </c>
    </row>
    <row r="1518" spans="1:12">
      <c r="A1518">
        <v>1516</v>
      </c>
      <c r="B1518" t="s">
        <v>3</v>
      </c>
      <c r="C1518" t="s">
        <v>742</v>
      </c>
      <c r="D1518">
        <v>2018</v>
      </c>
      <c r="E1518">
        <v>4</v>
      </c>
      <c r="F1518">
        <v>40</v>
      </c>
      <c r="G1518">
        <v>4</v>
      </c>
      <c r="H1518">
        <v>20</v>
      </c>
      <c r="I1518">
        <v>0</v>
      </c>
      <c r="J1518">
        <v>140.27000000000001</v>
      </c>
      <c r="K1518" t="s">
        <v>741</v>
      </c>
      <c r="L1518" t="s">
        <v>1603</v>
      </c>
    </row>
    <row r="1519" spans="1:12">
      <c r="A1519">
        <v>1517</v>
      </c>
      <c r="B1519" t="s">
        <v>3</v>
      </c>
      <c r="C1519" t="s">
        <v>742</v>
      </c>
      <c r="D1519">
        <v>2018</v>
      </c>
      <c r="E1519">
        <v>4</v>
      </c>
      <c r="F1519">
        <v>40</v>
      </c>
      <c r="G1519">
        <v>4</v>
      </c>
      <c r="H1519">
        <v>20</v>
      </c>
      <c r="I1519">
        <v>0</v>
      </c>
      <c r="J1519">
        <v>140.28</v>
      </c>
      <c r="K1519" t="s">
        <v>741</v>
      </c>
      <c r="L1519" t="s">
        <v>1604</v>
      </c>
    </row>
    <row r="1520" spans="1:12">
      <c r="A1520">
        <v>1518</v>
      </c>
      <c r="B1520" t="s">
        <v>3</v>
      </c>
      <c r="C1520" t="s">
        <v>742</v>
      </c>
      <c r="D1520">
        <v>2018</v>
      </c>
      <c r="E1520">
        <v>4</v>
      </c>
      <c r="F1520">
        <v>41</v>
      </c>
      <c r="G1520">
        <v>4</v>
      </c>
      <c r="H1520">
        <v>20</v>
      </c>
      <c r="I1520">
        <v>0</v>
      </c>
      <c r="J1520">
        <v>22.75</v>
      </c>
      <c r="K1520" t="s">
        <v>741</v>
      </c>
      <c r="L1520" t="s">
        <v>1605</v>
      </c>
    </row>
    <row r="1521" spans="1:12">
      <c r="A1521">
        <v>1519</v>
      </c>
      <c r="B1521" t="s">
        <v>3</v>
      </c>
      <c r="C1521" t="s">
        <v>742</v>
      </c>
      <c r="D1521">
        <v>2018</v>
      </c>
      <c r="E1521">
        <v>4</v>
      </c>
      <c r="F1521">
        <v>45</v>
      </c>
      <c r="G1521">
        <v>4</v>
      </c>
      <c r="H1521">
        <v>20</v>
      </c>
      <c r="I1521">
        <v>0</v>
      </c>
      <c r="J1521">
        <v>10840.78</v>
      </c>
      <c r="K1521" t="s">
        <v>741</v>
      </c>
      <c r="L1521" t="s">
        <v>1606</v>
      </c>
    </row>
    <row r="1522" spans="1:12">
      <c r="A1522">
        <v>1520</v>
      </c>
      <c r="B1522" t="s">
        <v>3</v>
      </c>
      <c r="C1522" t="s">
        <v>742</v>
      </c>
      <c r="D1522">
        <v>2019</v>
      </c>
      <c r="E1522">
        <v>1</v>
      </c>
      <c r="F1522">
        <v>8</v>
      </c>
      <c r="G1522">
        <v>3</v>
      </c>
      <c r="H1522">
        <v>7</v>
      </c>
      <c r="I1522">
        <v>-29079</v>
      </c>
      <c r="J1522">
        <v>-14539</v>
      </c>
      <c r="K1522" t="s">
        <v>741</v>
      </c>
      <c r="L1522" t="s">
        <v>1599</v>
      </c>
    </row>
    <row r="1523" spans="1:12">
      <c r="A1523">
        <v>1521</v>
      </c>
      <c r="B1523" t="s">
        <v>3</v>
      </c>
      <c r="C1523" t="s">
        <v>742</v>
      </c>
      <c r="D1523">
        <v>2019</v>
      </c>
      <c r="E1523">
        <v>1</v>
      </c>
      <c r="F1523">
        <v>23</v>
      </c>
      <c r="G1523">
        <v>3</v>
      </c>
      <c r="H1523">
        <v>7</v>
      </c>
      <c r="I1523">
        <v>27227</v>
      </c>
      <c r="J1523">
        <v>0</v>
      </c>
      <c r="K1523" t="s">
        <v>741</v>
      </c>
      <c r="L1523" t="s">
        <v>1602</v>
      </c>
    </row>
    <row r="1524" spans="1:12">
      <c r="A1524">
        <v>1522</v>
      </c>
      <c r="B1524" t="s">
        <v>3</v>
      </c>
      <c r="C1524" t="s">
        <v>742</v>
      </c>
      <c r="D1524">
        <v>2019</v>
      </c>
      <c r="E1524">
        <v>1</v>
      </c>
      <c r="F1524">
        <v>26</v>
      </c>
      <c r="G1524">
        <v>3</v>
      </c>
      <c r="H1524">
        <v>7</v>
      </c>
      <c r="I1524">
        <v>0</v>
      </c>
      <c r="J1524">
        <v>709.21</v>
      </c>
      <c r="K1524" t="s">
        <v>741</v>
      </c>
      <c r="L1524" t="s">
        <v>1622</v>
      </c>
    </row>
    <row r="1525" spans="1:12">
      <c r="A1525">
        <v>1523</v>
      </c>
      <c r="B1525" t="s">
        <v>3</v>
      </c>
      <c r="C1525" t="s">
        <v>742</v>
      </c>
      <c r="D1525">
        <v>2019</v>
      </c>
      <c r="E1525">
        <v>1</v>
      </c>
      <c r="F1525">
        <v>26</v>
      </c>
      <c r="G1525">
        <v>3</v>
      </c>
      <c r="H1525">
        <v>7</v>
      </c>
      <c r="I1525">
        <v>0</v>
      </c>
      <c r="J1525">
        <v>24.79</v>
      </c>
      <c r="K1525" t="s">
        <v>741</v>
      </c>
      <c r="L1525" t="s">
        <v>1618</v>
      </c>
    </row>
    <row r="1526" spans="1:12">
      <c r="A1526">
        <v>1524</v>
      </c>
      <c r="B1526" t="s">
        <v>3</v>
      </c>
      <c r="C1526" t="s">
        <v>742</v>
      </c>
      <c r="D1526">
        <v>2019</v>
      </c>
      <c r="E1526">
        <v>1</v>
      </c>
      <c r="F1526">
        <v>26</v>
      </c>
      <c r="G1526">
        <v>3</v>
      </c>
      <c r="H1526">
        <v>7</v>
      </c>
      <c r="I1526">
        <v>0</v>
      </c>
      <c r="J1526">
        <v>1000</v>
      </c>
      <c r="K1526" t="s">
        <v>741</v>
      </c>
      <c r="L1526" t="s">
        <v>1657</v>
      </c>
    </row>
    <row r="1527" spans="1:12">
      <c r="A1527">
        <v>1525</v>
      </c>
      <c r="B1527" t="s">
        <v>3</v>
      </c>
      <c r="C1527" t="s">
        <v>742</v>
      </c>
      <c r="D1527">
        <v>2019</v>
      </c>
      <c r="E1527">
        <v>1</v>
      </c>
      <c r="F1527">
        <v>27</v>
      </c>
      <c r="G1527">
        <v>3</v>
      </c>
      <c r="H1527">
        <v>7</v>
      </c>
      <c r="I1527">
        <v>0</v>
      </c>
      <c r="J1527">
        <v>100</v>
      </c>
      <c r="K1527" t="s">
        <v>741</v>
      </c>
      <c r="L1527" t="s">
        <v>1626</v>
      </c>
    </row>
    <row r="1528" spans="1:12">
      <c r="A1528">
        <v>1526</v>
      </c>
      <c r="B1528" t="s">
        <v>3</v>
      </c>
      <c r="C1528" t="s">
        <v>742</v>
      </c>
      <c r="D1528">
        <v>2019</v>
      </c>
      <c r="E1528">
        <v>1</v>
      </c>
      <c r="F1528">
        <v>29</v>
      </c>
      <c r="G1528">
        <v>3</v>
      </c>
      <c r="H1528">
        <v>7</v>
      </c>
      <c r="I1528">
        <v>0</v>
      </c>
      <c r="J1528">
        <v>10000</v>
      </c>
      <c r="K1528" t="s">
        <v>741</v>
      </c>
      <c r="L1528" t="s">
        <v>1625</v>
      </c>
    </row>
    <row r="1529" spans="1:12">
      <c r="A1529">
        <v>1527</v>
      </c>
      <c r="B1529" t="s">
        <v>3</v>
      </c>
      <c r="C1529" t="s">
        <v>742</v>
      </c>
      <c r="D1529">
        <v>2019</v>
      </c>
      <c r="E1529">
        <v>1</v>
      </c>
      <c r="F1529">
        <v>40</v>
      </c>
      <c r="G1529">
        <v>3</v>
      </c>
      <c r="H1529">
        <v>7</v>
      </c>
      <c r="I1529">
        <v>1713</v>
      </c>
      <c r="J1529">
        <v>399.98</v>
      </c>
      <c r="K1529" t="s">
        <v>741</v>
      </c>
      <c r="L1529" t="s">
        <v>1603</v>
      </c>
    </row>
    <row r="1530" spans="1:12">
      <c r="A1530">
        <v>1528</v>
      </c>
      <c r="B1530" t="s">
        <v>3</v>
      </c>
      <c r="C1530" t="s">
        <v>742</v>
      </c>
      <c r="D1530">
        <v>2019</v>
      </c>
      <c r="E1530">
        <v>1</v>
      </c>
      <c r="F1530">
        <v>40</v>
      </c>
      <c r="G1530">
        <v>3</v>
      </c>
      <c r="H1530">
        <v>7</v>
      </c>
      <c r="I1530">
        <v>0</v>
      </c>
      <c r="J1530">
        <v>400</v>
      </c>
      <c r="K1530" t="s">
        <v>741</v>
      </c>
      <c r="L1530" t="s">
        <v>1604</v>
      </c>
    </row>
    <row r="1531" spans="1:12">
      <c r="A1531">
        <v>1529</v>
      </c>
      <c r="B1531" t="s">
        <v>3</v>
      </c>
      <c r="C1531" t="s">
        <v>742</v>
      </c>
      <c r="D1531">
        <v>2019</v>
      </c>
      <c r="E1531">
        <v>1</v>
      </c>
      <c r="F1531">
        <v>41</v>
      </c>
      <c r="G1531">
        <v>3</v>
      </c>
      <c r="H1531">
        <v>7</v>
      </c>
      <c r="I1531">
        <v>139</v>
      </c>
      <c r="J1531">
        <v>73.37</v>
      </c>
      <c r="K1531" t="s">
        <v>741</v>
      </c>
      <c r="L1531" t="s">
        <v>1605</v>
      </c>
    </row>
    <row r="1532" spans="1:12">
      <c r="A1532">
        <v>1530</v>
      </c>
      <c r="B1532" t="s">
        <v>3</v>
      </c>
      <c r="C1532" t="s">
        <v>742</v>
      </c>
      <c r="D1532">
        <v>2019</v>
      </c>
      <c r="E1532">
        <v>2</v>
      </c>
      <c r="F1532">
        <v>11</v>
      </c>
      <c r="G1532">
        <v>3</v>
      </c>
      <c r="H1532">
        <v>11</v>
      </c>
      <c r="I1532">
        <v>0</v>
      </c>
      <c r="J1532">
        <v>-1200</v>
      </c>
      <c r="K1532" t="s">
        <v>741</v>
      </c>
      <c r="L1532" t="s">
        <v>1607</v>
      </c>
    </row>
    <row r="1533" spans="1:12">
      <c r="A1533">
        <v>1531</v>
      </c>
      <c r="B1533" t="s">
        <v>3</v>
      </c>
      <c r="C1533" t="s">
        <v>742</v>
      </c>
      <c r="D1533">
        <v>2019</v>
      </c>
      <c r="E1533">
        <v>2</v>
      </c>
      <c r="F1533">
        <v>25</v>
      </c>
      <c r="G1533">
        <v>3</v>
      </c>
      <c r="H1533">
        <v>11</v>
      </c>
      <c r="I1533">
        <v>0</v>
      </c>
      <c r="J1533">
        <v>221.1</v>
      </c>
      <c r="K1533" t="s">
        <v>741</v>
      </c>
      <c r="L1533" t="s">
        <v>1632</v>
      </c>
    </row>
    <row r="1534" spans="1:12">
      <c r="A1534">
        <v>1532</v>
      </c>
      <c r="B1534" t="s">
        <v>3</v>
      </c>
      <c r="C1534" t="s">
        <v>742</v>
      </c>
      <c r="D1534">
        <v>2019</v>
      </c>
      <c r="E1534">
        <v>2</v>
      </c>
      <c r="F1534">
        <v>26</v>
      </c>
      <c r="G1534">
        <v>3</v>
      </c>
      <c r="H1534">
        <v>11</v>
      </c>
      <c r="I1534">
        <v>0</v>
      </c>
      <c r="J1534">
        <v>3791.9</v>
      </c>
      <c r="K1534" t="s">
        <v>741</v>
      </c>
      <c r="L1534" t="s">
        <v>1622</v>
      </c>
    </row>
    <row r="1535" spans="1:12">
      <c r="A1535">
        <v>1533</v>
      </c>
      <c r="B1535" t="s">
        <v>3</v>
      </c>
      <c r="C1535" t="s">
        <v>742</v>
      </c>
      <c r="D1535">
        <v>2019</v>
      </c>
      <c r="E1535">
        <v>2</v>
      </c>
      <c r="F1535">
        <v>26</v>
      </c>
      <c r="G1535">
        <v>3</v>
      </c>
      <c r="H1535">
        <v>11</v>
      </c>
      <c r="I1535">
        <v>0</v>
      </c>
      <c r="J1535">
        <v>30.98</v>
      </c>
      <c r="K1535" t="s">
        <v>741</v>
      </c>
      <c r="L1535" t="s">
        <v>1618</v>
      </c>
    </row>
    <row r="1536" spans="1:12">
      <c r="A1536">
        <v>1534</v>
      </c>
      <c r="B1536" t="s">
        <v>3</v>
      </c>
      <c r="C1536" t="s">
        <v>742</v>
      </c>
      <c r="D1536">
        <v>2019</v>
      </c>
      <c r="E1536">
        <v>2</v>
      </c>
      <c r="F1536">
        <v>26</v>
      </c>
      <c r="G1536">
        <v>3</v>
      </c>
      <c r="H1536">
        <v>11</v>
      </c>
      <c r="I1536">
        <v>0</v>
      </c>
      <c r="J1536">
        <v>397.75</v>
      </c>
      <c r="K1536" t="s">
        <v>741</v>
      </c>
      <c r="L1536" t="s">
        <v>1657</v>
      </c>
    </row>
    <row r="1537" spans="1:12">
      <c r="A1537">
        <v>1535</v>
      </c>
      <c r="B1537" t="s">
        <v>3</v>
      </c>
      <c r="C1537" t="s">
        <v>742</v>
      </c>
      <c r="D1537">
        <v>2019</v>
      </c>
      <c r="E1537">
        <v>2</v>
      </c>
      <c r="F1537">
        <v>27</v>
      </c>
      <c r="G1537">
        <v>3</v>
      </c>
      <c r="H1537">
        <v>11</v>
      </c>
      <c r="I1537">
        <v>0</v>
      </c>
      <c r="J1537">
        <v>296</v>
      </c>
      <c r="K1537" t="s">
        <v>741</v>
      </c>
      <c r="L1537" t="s">
        <v>1626</v>
      </c>
    </row>
    <row r="1538" spans="1:12">
      <c r="A1538">
        <v>1536</v>
      </c>
      <c r="B1538" t="s">
        <v>3</v>
      </c>
      <c r="C1538" t="s">
        <v>742</v>
      </c>
      <c r="D1538">
        <v>2019</v>
      </c>
      <c r="E1538">
        <v>2</v>
      </c>
      <c r="F1538">
        <v>28</v>
      </c>
      <c r="G1538">
        <v>3</v>
      </c>
      <c r="H1538">
        <v>11</v>
      </c>
      <c r="I1538">
        <v>0</v>
      </c>
      <c r="J1538">
        <v>300.08</v>
      </c>
      <c r="K1538" t="s">
        <v>741</v>
      </c>
      <c r="L1538" t="s">
        <v>1643</v>
      </c>
    </row>
    <row r="1539" spans="1:12">
      <c r="A1539">
        <v>1537</v>
      </c>
      <c r="B1539" t="s">
        <v>3</v>
      </c>
      <c r="C1539" t="s">
        <v>742</v>
      </c>
      <c r="D1539">
        <v>2019</v>
      </c>
      <c r="E1539">
        <v>2</v>
      </c>
      <c r="F1539">
        <v>29</v>
      </c>
      <c r="G1539">
        <v>3</v>
      </c>
      <c r="H1539">
        <v>11</v>
      </c>
      <c r="I1539">
        <v>0</v>
      </c>
      <c r="J1539">
        <v>365.16999999999996</v>
      </c>
      <c r="K1539" t="s">
        <v>741</v>
      </c>
      <c r="L1539" t="s">
        <v>1608</v>
      </c>
    </row>
    <row r="1540" spans="1:12">
      <c r="A1540">
        <v>1538</v>
      </c>
      <c r="B1540" t="s">
        <v>3</v>
      </c>
      <c r="C1540" t="s">
        <v>742</v>
      </c>
      <c r="D1540">
        <v>2019</v>
      </c>
      <c r="E1540">
        <v>2</v>
      </c>
      <c r="F1540">
        <v>40</v>
      </c>
      <c r="G1540">
        <v>3</v>
      </c>
      <c r="H1540">
        <v>11</v>
      </c>
      <c r="I1540">
        <v>0</v>
      </c>
      <c r="J1540">
        <v>182.62</v>
      </c>
      <c r="K1540" t="s">
        <v>741</v>
      </c>
      <c r="L1540" t="s">
        <v>1603</v>
      </c>
    </row>
    <row r="1541" spans="1:12">
      <c r="A1541">
        <v>1539</v>
      </c>
      <c r="B1541" t="s">
        <v>3</v>
      </c>
      <c r="C1541" t="s">
        <v>742</v>
      </c>
      <c r="D1541">
        <v>2019</v>
      </c>
      <c r="E1541">
        <v>2</v>
      </c>
      <c r="F1541">
        <v>40</v>
      </c>
      <c r="G1541">
        <v>3</v>
      </c>
      <c r="H1541">
        <v>11</v>
      </c>
      <c r="I1541">
        <v>0</v>
      </c>
      <c r="J1541">
        <v>182.62</v>
      </c>
      <c r="K1541" t="s">
        <v>741</v>
      </c>
      <c r="L1541" t="s">
        <v>1604</v>
      </c>
    </row>
    <row r="1542" spans="1:12">
      <c r="A1542">
        <v>1540</v>
      </c>
      <c r="B1542" t="s">
        <v>3</v>
      </c>
      <c r="C1542" t="s">
        <v>742</v>
      </c>
      <c r="D1542">
        <v>2019</v>
      </c>
      <c r="E1542">
        <v>2</v>
      </c>
      <c r="F1542">
        <v>41</v>
      </c>
      <c r="G1542">
        <v>3</v>
      </c>
      <c r="H1542">
        <v>11</v>
      </c>
      <c r="I1542">
        <v>0</v>
      </c>
      <c r="J1542">
        <v>33.5</v>
      </c>
      <c r="K1542" t="s">
        <v>741</v>
      </c>
      <c r="L1542" t="s">
        <v>1605</v>
      </c>
    </row>
    <row r="1543" spans="1:12">
      <c r="A1543">
        <v>1541</v>
      </c>
      <c r="B1543" t="s">
        <v>3</v>
      </c>
      <c r="C1543" t="s">
        <v>742</v>
      </c>
      <c r="D1543">
        <v>2019</v>
      </c>
      <c r="E1543">
        <v>3</v>
      </c>
      <c r="F1543">
        <v>8</v>
      </c>
      <c r="G1543">
        <v>3</v>
      </c>
      <c r="H1543">
        <v>15</v>
      </c>
      <c r="I1543">
        <v>0</v>
      </c>
      <c r="J1543">
        <v>-14540</v>
      </c>
      <c r="K1543" t="s">
        <v>741</v>
      </c>
      <c r="L1543" t="s">
        <v>1599</v>
      </c>
    </row>
    <row r="1544" spans="1:12">
      <c r="A1544">
        <v>1542</v>
      </c>
      <c r="B1544" t="s">
        <v>3</v>
      </c>
      <c r="C1544" t="s">
        <v>742</v>
      </c>
      <c r="D1544">
        <v>2019</v>
      </c>
      <c r="E1544">
        <v>3</v>
      </c>
      <c r="F1544">
        <v>26</v>
      </c>
      <c r="G1544">
        <v>3</v>
      </c>
      <c r="H1544">
        <v>15</v>
      </c>
      <c r="I1544">
        <v>0</v>
      </c>
      <c r="J1544">
        <v>972.45</v>
      </c>
      <c r="K1544" t="s">
        <v>741</v>
      </c>
      <c r="L1544" t="s">
        <v>1622</v>
      </c>
    </row>
    <row r="1545" spans="1:12">
      <c r="A1545">
        <v>1543</v>
      </c>
      <c r="B1545" t="s">
        <v>3</v>
      </c>
      <c r="C1545" t="s">
        <v>742</v>
      </c>
      <c r="D1545">
        <v>2019</v>
      </c>
      <c r="E1545">
        <v>3</v>
      </c>
      <c r="F1545">
        <v>40</v>
      </c>
      <c r="G1545">
        <v>3</v>
      </c>
      <c r="H1545">
        <v>15</v>
      </c>
      <c r="I1545">
        <v>0</v>
      </c>
      <c r="J1545">
        <v>32.869999999999997</v>
      </c>
      <c r="K1545" t="s">
        <v>741</v>
      </c>
      <c r="L1545" t="s">
        <v>1603</v>
      </c>
    </row>
    <row r="1546" spans="1:12">
      <c r="A1546">
        <v>1544</v>
      </c>
      <c r="B1546" t="s">
        <v>3</v>
      </c>
      <c r="C1546" t="s">
        <v>742</v>
      </c>
      <c r="D1546">
        <v>2019</v>
      </c>
      <c r="E1546">
        <v>3</v>
      </c>
      <c r="F1546">
        <v>40</v>
      </c>
      <c r="G1546">
        <v>3</v>
      </c>
      <c r="H1546">
        <v>15</v>
      </c>
      <c r="I1546">
        <v>0</v>
      </c>
      <c r="J1546">
        <v>32.869999999999997</v>
      </c>
      <c r="K1546" t="s">
        <v>741</v>
      </c>
      <c r="L1546" t="s">
        <v>1604</v>
      </c>
    </row>
    <row r="1547" spans="1:12">
      <c r="A1547">
        <v>1545</v>
      </c>
      <c r="B1547" t="s">
        <v>3</v>
      </c>
      <c r="C1547" t="s">
        <v>742</v>
      </c>
      <c r="D1547">
        <v>2019</v>
      </c>
      <c r="E1547">
        <v>3</v>
      </c>
      <c r="F1547">
        <v>41</v>
      </c>
      <c r="G1547">
        <v>3</v>
      </c>
      <c r="H1547">
        <v>15</v>
      </c>
      <c r="I1547">
        <v>0</v>
      </c>
      <c r="J1547">
        <v>6.03</v>
      </c>
      <c r="K1547" t="s">
        <v>741</v>
      </c>
      <c r="L1547" t="s">
        <v>1605</v>
      </c>
    </row>
    <row r="1548" spans="1:12">
      <c r="A1548">
        <v>1546</v>
      </c>
      <c r="B1548" t="s">
        <v>3</v>
      </c>
      <c r="C1548" t="s">
        <v>742</v>
      </c>
      <c r="D1548">
        <v>2019</v>
      </c>
      <c r="E1548">
        <v>4</v>
      </c>
      <c r="F1548">
        <v>26</v>
      </c>
      <c r="G1548">
        <v>3</v>
      </c>
      <c r="H1548">
        <v>19</v>
      </c>
      <c r="I1548">
        <v>0</v>
      </c>
      <c r="J1548">
        <v>3710.4</v>
      </c>
      <c r="K1548" t="s">
        <v>741</v>
      </c>
      <c r="L1548" t="s">
        <v>1622</v>
      </c>
    </row>
    <row r="1549" spans="1:12">
      <c r="A1549">
        <v>1547</v>
      </c>
      <c r="B1549" t="s">
        <v>3</v>
      </c>
      <c r="C1549" t="s">
        <v>742</v>
      </c>
      <c r="D1549">
        <v>2019</v>
      </c>
      <c r="E1549">
        <v>4</v>
      </c>
      <c r="F1549">
        <v>26</v>
      </c>
      <c r="G1549">
        <v>3</v>
      </c>
      <c r="H1549">
        <v>19</v>
      </c>
      <c r="I1549">
        <v>0</v>
      </c>
      <c r="J1549">
        <v>1687.38</v>
      </c>
      <c r="K1549" t="s">
        <v>741</v>
      </c>
      <c r="L1549" t="s">
        <v>1618</v>
      </c>
    </row>
    <row r="1550" spans="1:12">
      <c r="A1550">
        <v>1548</v>
      </c>
      <c r="B1550" t="s">
        <v>3</v>
      </c>
      <c r="C1550" t="s">
        <v>742</v>
      </c>
      <c r="D1550">
        <v>2019</v>
      </c>
      <c r="E1550">
        <v>4</v>
      </c>
      <c r="F1550">
        <v>27</v>
      </c>
      <c r="G1550">
        <v>3</v>
      </c>
      <c r="H1550">
        <v>19</v>
      </c>
      <c r="I1550">
        <v>0</v>
      </c>
      <c r="J1550">
        <v>158.80000000000001</v>
      </c>
      <c r="K1550" t="s">
        <v>741</v>
      </c>
      <c r="L1550" t="s">
        <v>1626</v>
      </c>
    </row>
    <row r="1551" spans="1:12">
      <c r="A1551">
        <v>1549</v>
      </c>
      <c r="B1551" t="s">
        <v>3</v>
      </c>
      <c r="C1551" t="s">
        <v>742</v>
      </c>
      <c r="D1551">
        <v>2019</v>
      </c>
      <c r="E1551">
        <v>4</v>
      </c>
      <c r="F1551">
        <v>40</v>
      </c>
      <c r="G1551">
        <v>3</v>
      </c>
      <c r="H1551">
        <v>19</v>
      </c>
      <c r="I1551">
        <v>0</v>
      </c>
      <c r="J1551">
        <v>187.79999999999995</v>
      </c>
      <c r="K1551" t="s">
        <v>741</v>
      </c>
      <c r="L1551" t="s">
        <v>1603</v>
      </c>
    </row>
    <row r="1552" spans="1:12">
      <c r="A1552">
        <v>1550</v>
      </c>
      <c r="B1552" t="s">
        <v>3</v>
      </c>
      <c r="C1552" t="s">
        <v>742</v>
      </c>
      <c r="D1552">
        <v>2019</v>
      </c>
      <c r="E1552">
        <v>4</v>
      </c>
      <c r="F1552">
        <v>40</v>
      </c>
      <c r="G1552">
        <v>3</v>
      </c>
      <c r="H1552">
        <v>19</v>
      </c>
      <c r="I1552">
        <v>0</v>
      </c>
      <c r="J1552">
        <v>187.82</v>
      </c>
      <c r="K1552" t="s">
        <v>741</v>
      </c>
      <c r="L1552" t="s">
        <v>1604</v>
      </c>
    </row>
    <row r="1553" spans="1:12">
      <c r="A1553">
        <v>1551</v>
      </c>
      <c r="B1553" t="s">
        <v>3</v>
      </c>
      <c r="C1553" t="s">
        <v>742</v>
      </c>
      <c r="D1553">
        <v>2019</v>
      </c>
      <c r="E1553">
        <v>4</v>
      </c>
      <c r="F1553">
        <v>41</v>
      </c>
      <c r="G1553">
        <v>3</v>
      </c>
      <c r="H1553">
        <v>19</v>
      </c>
      <c r="I1553">
        <v>0</v>
      </c>
      <c r="J1553">
        <v>34.449999999999996</v>
      </c>
      <c r="K1553" t="s">
        <v>741</v>
      </c>
      <c r="L1553" t="s">
        <v>1605</v>
      </c>
    </row>
    <row r="1554" spans="1:12">
      <c r="A1554">
        <v>1552</v>
      </c>
      <c r="B1554" t="s">
        <v>3</v>
      </c>
      <c r="C1554" t="s">
        <v>742</v>
      </c>
      <c r="D1554">
        <v>2019</v>
      </c>
      <c r="E1554">
        <v>4</v>
      </c>
      <c r="F1554">
        <v>45</v>
      </c>
      <c r="G1554">
        <v>3</v>
      </c>
      <c r="H1554">
        <v>19</v>
      </c>
      <c r="I1554">
        <v>0</v>
      </c>
      <c r="J1554">
        <v>4759.0600000000004</v>
      </c>
      <c r="K1554" t="s">
        <v>741</v>
      </c>
      <c r="L1554" t="s">
        <v>1606</v>
      </c>
    </row>
    <row r="1555" spans="1:12">
      <c r="A1555">
        <v>1553</v>
      </c>
      <c r="B1555" t="s">
        <v>3</v>
      </c>
      <c r="C1555" t="s">
        <v>742</v>
      </c>
      <c r="D1555">
        <v>2020</v>
      </c>
      <c r="E1555">
        <v>1</v>
      </c>
      <c r="F1555">
        <v>8</v>
      </c>
      <c r="G1555">
        <v>2</v>
      </c>
      <c r="H1555">
        <v>6</v>
      </c>
      <c r="I1555">
        <v>-18550</v>
      </c>
      <c r="J1555">
        <v>0</v>
      </c>
      <c r="K1555" t="s">
        <v>741</v>
      </c>
      <c r="L1555" t="s">
        <v>1599</v>
      </c>
    </row>
    <row r="1556" spans="1:12">
      <c r="A1556">
        <v>1554</v>
      </c>
      <c r="B1556" t="s">
        <v>3</v>
      </c>
      <c r="C1556" t="s">
        <v>742</v>
      </c>
      <c r="D1556">
        <v>2020</v>
      </c>
      <c r="E1556">
        <v>1</v>
      </c>
      <c r="F1556">
        <v>8</v>
      </c>
      <c r="G1556">
        <v>2</v>
      </c>
      <c r="H1556">
        <v>6</v>
      </c>
      <c r="I1556">
        <v>0</v>
      </c>
      <c r="J1556">
        <v>-9275</v>
      </c>
      <c r="K1556" t="s">
        <v>741</v>
      </c>
      <c r="L1556" t="s">
        <v>1611</v>
      </c>
    </row>
    <row r="1557" spans="1:12">
      <c r="A1557">
        <v>1555</v>
      </c>
      <c r="B1557" t="s">
        <v>3</v>
      </c>
      <c r="C1557" t="s">
        <v>742</v>
      </c>
      <c r="D1557">
        <v>2020</v>
      </c>
      <c r="E1557">
        <v>1</v>
      </c>
      <c r="F1557">
        <v>23</v>
      </c>
      <c r="G1557">
        <v>2</v>
      </c>
      <c r="H1557">
        <v>6</v>
      </c>
      <c r="I1557">
        <v>17227</v>
      </c>
      <c r="J1557">
        <v>0</v>
      </c>
      <c r="K1557" t="s">
        <v>741</v>
      </c>
      <c r="L1557" t="s">
        <v>1602</v>
      </c>
    </row>
    <row r="1558" spans="1:12">
      <c r="A1558">
        <v>1556</v>
      </c>
      <c r="B1558" t="s">
        <v>3</v>
      </c>
      <c r="C1558" t="s">
        <v>742</v>
      </c>
      <c r="D1558">
        <v>2020</v>
      </c>
      <c r="E1558">
        <v>1</v>
      </c>
      <c r="F1558">
        <v>26</v>
      </c>
      <c r="G1558">
        <v>2</v>
      </c>
      <c r="H1558">
        <v>6</v>
      </c>
      <c r="I1558">
        <v>0</v>
      </c>
      <c r="J1558">
        <v>1000</v>
      </c>
      <c r="K1558" t="s">
        <v>741</v>
      </c>
      <c r="L1558" t="s">
        <v>1622</v>
      </c>
    </row>
    <row r="1559" spans="1:12">
      <c r="A1559">
        <v>1557</v>
      </c>
      <c r="B1559" t="s">
        <v>3</v>
      </c>
      <c r="C1559" t="s">
        <v>742</v>
      </c>
      <c r="D1559">
        <v>2020</v>
      </c>
      <c r="E1559">
        <v>1</v>
      </c>
      <c r="F1559">
        <v>28</v>
      </c>
      <c r="G1559">
        <v>2</v>
      </c>
      <c r="H1559">
        <v>6</v>
      </c>
      <c r="I1559">
        <v>0</v>
      </c>
      <c r="J1559">
        <v>743</v>
      </c>
      <c r="K1559" t="s">
        <v>741</v>
      </c>
      <c r="L1559" t="s">
        <v>1634</v>
      </c>
    </row>
    <row r="1560" spans="1:12">
      <c r="A1560">
        <v>1558</v>
      </c>
      <c r="B1560" t="s">
        <v>3</v>
      </c>
      <c r="C1560" t="s">
        <v>742</v>
      </c>
      <c r="D1560">
        <v>2020</v>
      </c>
      <c r="E1560">
        <v>1</v>
      </c>
      <c r="F1560">
        <v>29</v>
      </c>
      <c r="G1560">
        <v>2</v>
      </c>
      <c r="H1560">
        <v>6</v>
      </c>
      <c r="I1560">
        <v>0</v>
      </c>
      <c r="J1560">
        <v>1500</v>
      </c>
      <c r="K1560" t="s">
        <v>741</v>
      </c>
      <c r="L1560" t="s">
        <v>1635</v>
      </c>
    </row>
    <row r="1561" spans="1:12">
      <c r="A1561">
        <v>1559</v>
      </c>
      <c r="B1561" t="s">
        <v>3</v>
      </c>
      <c r="C1561" t="s">
        <v>742</v>
      </c>
      <c r="D1561">
        <v>2020</v>
      </c>
      <c r="E1561">
        <v>1</v>
      </c>
      <c r="F1561">
        <v>40</v>
      </c>
      <c r="G1561">
        <v>2</v>
      </c>
      <c r="H1561">
        <v>6</v>
      </c>
      <c r="I1561">
        <v>1216</v>
      </c>
      <c r="J1561">
        <v>114.48</v>
      </c>
      <c r="K1561" t="s">
        <v>741</v>
      </c>
      <c r="L1561" t="s">
        <v>1603</v>
      </c>
    </row>
    <row r="1562" spans="1:12">
      <c r="A1562">
        <v>1560</v>
      </c>
      <c r="B1562" t="s">
        <v>3</v>
      </c>
      <c r="C1562" t="s">
        <v>742</v>
      </c>
      <c r="D1562">
        <v>2020</v>
      </c>
      <c r="E1562">
        <v>1</v>
      </c>
      <c r="F1562">
        <v>40</v>
      </c>
      <c r="G1562">
        <v>2</v>
      </c>
      <c r="H1562">
        <v>6</v>
      </c>
      <c r="I1562">
        <v>0</v>
      </c>
      <c r="J1562">
        <v>114.48</v>
      </c>
      <c r="K1562" t="s">
        <v>741</v>
      </c>
      <c r="L1562" t="s">
        <v>1604</v>
      </c>
    </row>
    <row r="1563" spans="1:12">
      <c r="A1563">
        <v>1561</v>
      </c>
      <c r="B1563" t="s">
        <v>3</v>
      </c>
      <c r="C1563" t="s">
        <v>742</v>
      </c>
      <c r="D1563">
        <v>2020</v>
      </c>
      <c r="E1563">
        <v>1</v>
      </c>
      <c r="F1563">
        <v>41</v>
      </c>
      <c r="G1563">
        <v>2</v>
      </c>
      <c r="H1563">
        <v>6</v>
      </c>
      <c r="I1563">
        <v>107</v>
      </c>
      <c r="J1563">
        <v>20.11</v>
      </c>
      <c r="K1563" t="s">
        <v>741</v>
      </c>
      <c r="L1563" t="s">
        <v>1605</v>
      </c>
    </row>
    <row r="1564" spans="1:12">
      <c r="A1564">
        <v>1562</v>
      </c>
      <c r="B1564" t="s">
        <v>3</v>
      </c>
      <c r="C1564" t="s">
        <v>742</v>
      </c>
      <c r="D1564">
        <v>2020</v>
      </c>
      <c r="E1564">
        <v>2</v>
      </c>
      <c r="F1564">
        <v>26</v>
      </c>
      <c r="G1564">
        <v>2</v>
      </c>
      <c r="H1564">
        <v>10</v>
      </c>
      <c r="I1564">
        <v>0</v>
      </c>
      <c r="J1564">
        <v>6315.2000000000007</v>
      </c>
      <c r="K1564" t="s">
        <v>741</v>
      </c>
      <c r="L1564" t="s">
        <v>1622</v>
      </c>
    </row>
    <row r="1565" spans="1:12">
      <c r="A1565">
        <v>1563</v>
      </c>
      <c r="B1565" t="s">
        <v>3</v>
      </c>
      <c r="C1565" t="s">
        <v>742</v>
      </c>
      <c r="D1565">
        <v>2020</v>
      </c>
      <c r="E1565">
        <v>2</v>
      </c>
      <c r="F1565">
        <v>26</v>
      </c>
      <c r="G1565">
        <v>2</v>
      </c>
      <c r="H1565">
        <v>10</v>
      </c>
      <c r="I1565">
        <v>0</v>
      </c>
      <c r="J1565">
        <v>81.94</v>
      </c>
      <c r="K1565" t="s">
        <v>741</v>
      </c>
      <c r="L1565" t="s">
        <v>1618</v>
      </c>
    </row>
    <row r="1566" spans="1:12">
      <c r="A1566">
        <v>1564</v>
      </c>
      <c r="B1566" t="s">
        <v>3</v>
      </c>
      <c r="C1566" t="s">
        <v>742</v>
      </c>
      <c r="D1566">
        <v>2020</v>
      </c>
      <c r="E1566">
        <v>2</v>
      </c>
      <c r="F1566">
        <v>26</v>
      </c>
      <c r="G1566">
        <v>2</v>
      </c>
      <c r="H1566">
        <v>10</v>
      </c>
      <c r="I1566">
        <v>0</v>
      </c>
      <c r="J1566">
        <v>1000</v>
      </c>
      <c r="K1566" t="s">
        <v>741</v>
      </c>
      <c r="L1566" t="s">
        <v>1657</v>
      </c>
    </row>
    <row r="1567" spans="1:12">
      <c r="A1567">
        <v>1565</v>
      </c>
      <c r="B1567" t="s">
        <v>3</v>
      </c>
      <c r="C1567" t="s">
        <v>742</v>
      </c>
      <c r="D1567">
        <v>2020</v>
      </c>
      <c r="E1567">
        <v>2</v>
      </c>
      <c r="F1567">
        <v>27</v>
      </c>
      <c r="G1567">
        <v>2</v>
      </c>
      <c r="H1567">
        <v>10</v>
      </c>
      <c r="I1567">
        <v>0</v>
      </c>
      <c r="J1567">
        <v>260.7</v>
      </c>
      <c r="K1567" t="s">
        <v>741</v>
      </c>
      <c r="L1567" t="s">
        <v>1626</v>
      </c>
    </row>
    <row r="1568" spans="1:12">
      <c r="A1568">
        <v>1566</v>
      </c>
      <c r="B1568" t="s">
        <v>3</v>
      </c>
      <c r="C1568" t="s">
        <v>742</v>
      </c>
      <c r="D1568">
        <v>2020</v>
      </c>
      <c r="E1568">
        <v>2</v>
      </c>
      <c r="F1568">
        <v>40</v>
      </c>
      <c r="G1568">
        <v>2</v>
      </c>
      <c r="H1568">
        <v>10</v>
      </c>
      <c r="I1568">
        <v>0</v>
      </c>
      <c r="J1568">
        <v>270.33</v>
      </c>
      <c r="K1568" t="s">
        <v>741</v>
      </c>
      <c r="L1568" t="s">
        <v>1603</v>
      </c>
    </row>
    <row r="1569" spans="1:12">
      <c r="A1569">
        <v>1567</v>
      </c>
      <c r="B1569" t="s">
        <v>3</v>
      </c>
      <c r="C1569" t="s">
        <v>742</v>
      </c>
      <c r="D1569">
        <v>2020</v>
      </c>
      <c r="E1569">
        <v>2</v>
      </c>
      <c r="F1569">
        <v>40</v>
      </c>
      <c r="G1569">
        <v>2</v>
      </c>
      <c r="H1569">
        <v>10</v>
      </c>
      <c r="I1569">
        <v>0</v>
      </c>
      <c r="J1569">
        <v>270.32</v>
      </c>
      <c r="K1569" t="s">
        <v>741</v>
      </c>
      <c r="L1569" t="s">
        <v>1604</v>
      </c>
    </row>
    <row r="1570" spans="1:12">
      <c r="A1570">
        <v>1568</v>
      </c>
      <c r="B1570" t="s">
        <v>3</v>
      </c>
      <c r="C1570" t="s">
        <v>742</v>
      </c>
      <c r="D1570">
        <v>2020</v>
      </c>
      <c r="E1570">
        <v>2</v>
      </c>
      <c r="F1570">
        <v>41</v>
      </c>
      <c r="G1570">
        <v>2</v>
      </c>
      <c r="H1570">
        <v>10</v>
      </c>
      <c r="I1570">
        <v>0</v>
      </c>
      <c r="J1570">
        <v>47.480000000000004</v>
      </c>
      <c r="K1570" t="s">
        <v>741</v>
      </c>
      <c r="L1570" t="s">
        <v>1605</v>
      </c>
    </row>
    <row r="1571" spans="1:12">
      <c r="A1571">
        <v>1569</v>
      </c>
      <c r="B1571" t="s">
        <v>3</v>
      </c>
      <c r="C1571" t="s">
        <v>742</v>
      </c>
      <c r="D1571">
        <v>2020</v>
      </c>
      <c r="E1571">
        <v>3</v>
      </c>
      <c r="F1571">
        <v>8</v>
      </c>
      <c r="G1571">
        <v>2</v>
      </c>
      <c r="H1571">
        <v>14</v>
      </c>
      <c r="I1571">
        <v>0</v>
      </c>
      <c r="J1571">
        <v>-9275</v>
      </c>
      <c r="K1571" t="s">
        <v>741</v>
      </c>
      <c r="L1571" t="s">
        <v>1611</v>
      </c>
    </row>
    <row r="1572" spans="1:12">
      <c r="A1572">
        <v>1570</v>
      </c>
      <c r="B1572" t="s">
        <v>3</v>
      </c>
      <c r="C1572" t="s">
        <v>742</v>
      </c>
      <c r="D1572">
        <v>2020</v>
      </c>
      <c r="E1572">
        <v>3</v>
      </c>
      <c r="F1572">
        <v>26</v>
      </c>
      <c r="G1572">
        <v>2</v>
      </c>
      <c r="H1572">
        <v>14</v>
      </c>
      <c r="I1572">
        <v>0</v>
      </c>
      <c r="J1572">
        <v>599.7700000000001</v>
      </c>
      <c r="K1572" t="s">
        <v>741</v>
      </c>
      <c r="L1572" t="s">
        <v>1622</v>
      </c>
    </row>
    <row r="1573" spans="1:12">
      <c r="A1573">
        <v>1571</v>
      </c>
      <c r="B1573" t="s">
        <v>3</v>
      </c>
      <c r="C1573" t="s">
        <v>742</v>
      </c>
      <c r="D1573">
        <v>2020</v>
      </c>
      <c r="E1573">
        <v>3</v>
      </c>
      <c r="F1573">
        <v>26</v>
      </c>
      <c r="G1573">
        <v>2</v>
      </c>
      <c r="H1573">
        <v>14</v>
      </c>
      <c r="I1573">
        <v>0</v>
      </c>
      <c r="J1573">
        <v>352.54</v>
      </c>
      <c r="K1573" t="s">
        <v>741</v>
      </c>
      <c r="L1573" t="s">
        <v>1618</v>
      </c>
    </row>
    <row r="1574" spans="1:12">
      <c r="A1574">
        <v>1572</v>
      </c>
      <c r="B1574" t="s">
        <v>3</v>
      </c>
      <c r="C1574" t="s">
        <v>742</v>
      </c>
      <c r="D1574">
        <v>2020</v>
      </c>
      <c r="E1574">
        <v>3</v>
      </c>
      <c r="F1574">
        <v>27</v>
      </c>
      <c r="G1574">
        <v>2</v>
      </c>
      <c r="H1574">
        <v>14</v>
      </c>
      <c r="I1574">
        <v>0</v>
      </c>
      <c r="J1574">
        <v>30</v>
      </c>
      <c r="K1574" t="s">
        <v>741</v>
      </c>
      <c r="L1574" t="s">
        <v>1626</v>
      </c>
    </row>
    <row r="1575" spans="1:12">
      <c r="A1575">
        <v>1573</v>
      </c>
      <c r="B1575" t="s">
        <v>3</v>
      </c>
      <c r="C1575" t="s">
        <v>742</v>
      </c>
      <c r="D1575">
        <v>2020</v>
      </c>
      <c r="E1575">
        <v>3</v>
      </c>
      <c r="F1575">
        <v>40</v>
      </c>
      <c r="G1575">
        <v>2</v>
      </c>
      <c r="H1575">
        <v>14</v>
      </c>
      <c r="I1575">
        <v>0</v>
      </c>
      <c r="J1575">
        <v>34.67</v>
      </c>
      <c r="K1575" t="s">
        <v>741</v>
      </c>
      <c r="L1575" t="s">
        <v>1603</v>
      </c>
    </row>
    <row r="1576" spans="1:12">
      <c r="A1576">
        <v>1574</v>
      </c>
      <c r="B1576" t="s">
        <v>3</v>
      </c>
      <c r="C1576" t="s">
        <v>742</v>
      </c>
      <c r="D1576">
        <v>2020</v>
      </c>
      <c r="E1576">
        <v>3</v>
      </c>
      <c r="F1576">
        <v>40</v>
      </c>
      <c r="G1576">
        <v>2</v>
      </c>
      <c r="H1576">
        <v>14</v>
      </c>
      <c r="I1576">
        <v>0</v>
      </c>
      <c r="J1576">
        <v>34.68</v>
      </c>
      <c r="K1576" t="s">
        <v>741</v>
      </c>
      <c r="L1576" t="s">
        <v>1604</v>
      </c>
    </row>
    <row r="1577" spans="1:12">
      <c r="A1577">
        <v>1575</v>
      </c>
      <c r="B1577" t="s">
        <v>3</v>
      </c>
      <c r="C1577" t="s">
        <v>742</v>
      </c>
      <c r="D1577">
        <v>2020</v>
      </c>
      <c r="E1577">
        <v>3</v>
      </c>
      <c r="F1577">
        <v>41</v>
      </c>
      <c r="G1577">
        <v>2</v>
      </c>
      <c r="H1577">
        <v>14</v>
      </c>
      <c r="I1577">
        <v>0</v>
      </c>
      <c r="J1577">
        <v>6.09</v>
      </c>
      <c r="K1577" t="s">
        <v>741</v>
      </c>
      <c r="L1577" t="s">
        <v>1605</v>
      </c>
    </row>
    <row r="1578" spans="1:12">
      <c r="A1578">
        <v>1576</v>
      </c>
      <c r="B1578" t="s">
        <v>3</v>
      </c>
      <c r="C1578" t="s">
        <v>742</v>
      </c>
      <c r="D1578">
        <v>2020</v>
      </c>
      <c r="E1578">
        <v>4</v>
      </c>
      <c r="F1578">
        <v>26</v>
      </c>
      <c r="G1578">
        <v>2</v>
      </c>
      <c r="H1578">
        <v>18</v>
      </c>
      <c r="I1578">
        <v>0</v>
      </c>
      <c r="J1578">
        <v>55.53</v>
      </c>
      <c r="K1578" t="s">
        <v>741</v>
      </c>
      <c r="L1578" t="s">
        <v>1618</v>
      </c>
    </row>
    <row r="1579" spans="1:12">
      <c r="A1579">
        <v>1577</v>
      </c>
      <c r="B1579" t="s">
        <v>3</v>
      </c>
      <c r="C1579" t="s">
        <v>742</v>
      </c>
      <c r="D1579">
        <v>2020</v>
      </c>
      <c r="E1579">
        <v>4</v>
      </c>
      <c r="F1579">
        <v>40</v>
      </c>
      <c r="G1579">
        <v>2</v>
      </c>
      <c r="H1579">
        <v>18</v>
      </c>
      <c r="I1579">
        <v>0</v>
      </c>
      <c r="J1579">
        <v>1.96</v>
      </c>
      <c r="K1579" t="s">
        <v>741</v>
      </c>
      <c r="L1579" t="s">
        <v>1603</v>
      </c>
    </row>
    <row r="1580" spans="1:12">
      <c r="A1580">
        <v>1578</v>
      </c>
      <c r="B1580" t="s">
        <v>3</v>
      </c>
      <c r="C1580" t="s">
        <v>742</v>
      </c>
      <c r="D1580">
        <v>2020</v>
      </c>
      <c r="E1580">
        <v>4</v>
      </c>
      <c r="F1580">
        <v>40</v>
      </c>
      <c r="G1580">
        <v>2</v>
      </c>
      <c r="H1580">
        <v>18</v>
      </c>
      <c r="I1580">
        <v>0</v>
      </c>
      <c r="J1580">
        <v>1.96</v>
      </c>
      <c r="K1580" t="s">
        <v>741</v>
      </c>
      <c r="L1580" t="s">
        <v>1604</v>
      </c>
    </row>
    <row r="1581" spans="1:12">
      <c r="A1581">
        <v>1579</v>
      </c>
      <c r="B1581" t="s">
        <v>3</v>
      </c>
      <c r="C1581" t="s">
        <v>742</v>
      </c>
      <c r="D1581">
        <v>2020</v>
      </c>
      <c r="E1581">
        <v>4</v>
      </c>
      <c r="F1581">
        <v>41</v>
      </c>
      <c r="G1581">
        <v>2</v>
      </c>
      <c r="H1581">
        <v>18</v>
      </c>
      <c r="I1581">
        <v>0</v>
      </c>
      <c r="J1581">
        <v>0.34</v>
      </c>
      <c r="K1581" t="s">
        <v>741</v>
      </c>
      <c r="L1581" t="s">
        <v>1605</v>
      </c>
    </row>
    <row r="1582" spans="1:12">
      <c r="A1582">
        <v>1580</v>
      </c>
      <c r="B1582" t="s">
        <v>3</v>
      </c>
      <c r="C1582" t="s">
        <v>742</v>
      </c>
      <c r="D1582">
        <v>2020</v>
      </c>
      <c r="E1582">
        <v>4</v>
      </c>
      <c r="F1582">
        <v>45</v>
      </c>
      <c r="G1582">
        <v>2</v>
      </c>
      <c r="H1582">
        <v>18</v>
      </c>
      <c r="I1582">
        <v>0</v>
      </c>
      <c r="J1582">
        <v>5694.42</v>
      </c>
      <c r="K1582" t="s">
        <v>741</v>
      </c>
      <c r="L1582" t="s">
        <v>1606</v>
      </c>
    </row>
    <row r="1583" spans="1:12">
      <c r="A1583">
        <v>1581</v>
      </c>
      <c r="B1583" t="s">
        <v>3</v>
      </c>
      <c r="C1583" t="s">
        <v>744</v>
      </c>
      <c r="D1583">
        <v>2017</v>
      </c>
      <c r="E1583">
        <v>1</v>
      </c>
      <c r="F1583">
        <v>8</v>
      </c>
      <c r="G1583">
        <v>5</v>
      </c>
      <c r="H1583">
        <v>9</v>
      </c>
      <c r="I1583">
        <v>-3694</v>
      </c>
      <c r="J1583">
        <v>-1847</v>
      </c>
      <c r="K1583" t="s">
        <v>743</v>
      </c>
      <c r="L1583" t="s">
        <v>1599</v>
      </c>
    </row>
    <row r="1584" spans="1:12">
      <c r="A1584">
        <v>1582</v>
      </c>
      <c r="B1584" t="s">
        <v>3</v>
      </c>
      <c r="C1584" t="s">
        <v>744</v>
      </c>
      <c r="D1584">
        <v>2017</v>
      </c>
      <c r="E1584">
        <v>1</v>
      </c>
      <c r="F1584">
        <v>23</v>
      </c>
      <c r="G1584">
        <v>5</v>
      </c>
      <c r="H1584">
        <v>9</v>
      </c>
      <c r="I1584">
        <v>3468</v>
      </c>
      <c r="J1584">
        <v>0</v>
      </c>
      <c r="K1584" t="s">
        <v>743</v>
      </c>
      <c r="L1584" t="s">
        <v>1602</v>
      </c>
    </row>
    <row r="1585" spans="1:12">
      <c r="A1585">
        <v>1583</v>
      </c>
      <c r="B1585" t="s">
        <v>3</v>
      </c>
      <c r="C1585" t="s">
        <v>744</v>
      </c>
      <c r="D1585">
        <v>2017</v>
      </c>
      <c r="E1585">
        <v>1</v>
      </c>
      <c r="F1585">
        <v>40</v>
      </c>
      <c r="G1585">
        <v>5</v>
      </c>
      <c r="H1585">
        <v>9</v>
      </c>
      <c r="I1585">
        <v>209</v>
      </c>
      <c r="J1585">
        <v>0</v>
      </c>
      <c r="K1585" t="s">
        <v>743</v>
      </c>
      <c r="L1585" t="s">
        <v>1603</v>
      </c>
    </row>
    <row r="1586" spans="1:12">
      <c r="A1586">
        <v>1584</v>
      </c>
      <c r="B1586" t="s">
        <v>3</v>
      </c>
      <c r="C1586" t="s">
        <v>744</v>
      </c>
      <c r="D1586">
        <v>2017</v>
      </c>
      <c r="E1586">
        <v>1</v>
      </c>
      <c r="F1586">
        <v>41</v>
      </c>
      <c r="G1586">
        <v>5</v>
      </c>
      <c r="H1586">
        <v>9</v>
      </c>
      <c r="I1586">
        <v>17</v>
      </c>
      <c r="J1586">
        <v>0</v>
      </c>
      <c r="K1586" t="s">
        <v>743</v>
      </c>
      <c r="L1586" t="s">
        <v>1605</v>
      </c>
    </row>
    <row r="1587" spans="1:12">
      <c r="A1587">
        <v>1585</v>
      </c>
      <c r="B1587" t="s">
        <v>3</v>
      </c>
      <c r="C1587" t="s">
        <v>744</v>
      </c>
      <c r="D1587">
        <v>2017</v>
      </c>
      <c r="E1587">
        <v>2</v>
      </c>
      <c r="F1587">
        <v>28</v>
      </c>
      <c r="G1587">
        <v>5</v>
      </c>
      <c r="H1587">
        <v>13</v>
      </c>
      <c r="I1587">
        <v>0</v>
      </c>
      <c r="J1587">
        <v>4.95</v>
      </c>
      <c r="K1587" t="s">
        <v>743</v>
      </c>
      <c r="L1587" t="s">
        <v>1643</v>
      </c>
    </row>
    <row r="1588" spans="1:12">
      <c r="A1588">
        <v>1586</v>
      </c>
      <c r="B1588" t="s">
        <v>3</v>
      </c>
      <c r="C1588" t="s">
        <v>744</v>
      </c>
      <c r="D1588">
        <v>2017</v>
      </c>
      <c r="E1588">
        <v>2</v>
      </c>
      <c r="F1588">
        <v>28</v>
      </c>
      <c r="G1588">
        <v>5</v>
      </c>
      <c r="H1588">
        <v>13</v>
      </c>
      <c r="I1588">
        <v>0</v>
      </c>
      <c r="J1588">
        <v>25.05</v>
      </c>
      <c r="K1588" t="s">
        <v>743</v>
      </c>
      <c r="L1588" t="s">
        <v>1634</v>
      </c>
    </row>
    <row r="1589" spans="1:12">
      <c r="A1589">
        <v>1587</v>
      </c>
      <c r="B1589" t="s">
        <v>3</v>
      </c>
      <c r="C1589" t="s">
        <v>744</v>
      </c>
      <c r="D1589">
        <v>2017</v>
      </c>
      <c r="E1589">
        <v>2</v>
      </c>
      <c r="F1589">
        <v>28</v>
      </c>
      <c r="G1589">
        <v>5</v>
      </c>
      <c r="H1589">
        <v>13</v>
      </c>
      <c r="I1589">
        <v>0</v>
      </c>
      <c r="J1589">
        <v>306</v>
      </c>
      <c r="K1589" t="s">
        <v>743</v>
      </c>
      <c r="L1589" t="s">
        <v>1644</v>
      </c>
    </row>
    <row r="1590" spans="1:12">
      <c r="A1590">
        <v>1588</v>
      </c>
      <c r="B1590" t="s">
        <v>3</v>
      </c>
      <c r="C1590" t="s">
        <v>744</v>
      </c>
      <c r="D1590">
        <v>2017</v>
      </c>
      <c r="E1590">
        <v>2</v>
      </c>
      <c r="F1590">
        <v>40</v>
      </c>
      <c r="G1590">
        <v>5</v>
      </c>
      <c r="H1590">
        <v>13</v>
      </c>
      <c r="I1590">
        <v>0</v>
      </c>
      <c r="J1590">
        <v>10.14</v>
      </c>
      <c r="K1590" t="s">
        <v>743</v>
      </c>
      <c r="L1590" t="s">
        <v>1603</v>
      </c>
    </row>
    <row r="1591" spans="1:12">
      <c r="A1591">
        <v>1589</v>
      </c>
      <c r="B1591" t="s">
        <v>3</v>
      </c>
      <c r="C1591" t="s">
        <v>744</v>
      </c>
      <c r="D1591">
        <v>2017</v>
      </c>
      <c r="E1591">
        <v>2</v>
      </c>
      <c r="F1591">
        <v>40</v>
      </c>
      <c r="G1591">
        <v>5</v>
      </c>
      <c r="H1591">
        <v>13</v>
      </c>
      <c r="I1591">
        <v>0</v>
      </c>
      <c r="J1591">
        <v>10.15</v>
      </c>
      <c r="K1591" t="s">
        <v>743</v>
      </c>
      <c r="L1591" t="s">
        <v>1604</v>
      </c>
    </row>
    <row r="1592" spans="1:12">
      <c r="A1592">
        <v>1590</v>
      </c>
      <c r="B1592" t="s">
        <v>3</v>
      </c>
      <c r="C1592" t="s">
        <v>744</v>
      </c>
      <c r="D1592">
        <v>2017</v>
      </c>
      <c r="E1592">
        <v>2</v>
      </c>
      <c r="F1592">
        <v>41</v>
      </c>
      <c r="G1592">
        <v>5</v>
      </c>
      <c r="H1592">
        <v>13</v>
      </c>
      <c r="I1592">
        <v>0</v>
      </c>
      <c r="J1592">
        <v>1.6900000000000002</v>
      </c>
      <c r="K1592" t="s">
        <v>743</v>
      </c>
      <c r="L1592" t="s">
        <v>1605</v>
      </c>
    </row>
    <row r="1593" spans="1:12">
      <c r="A1593">
        <v>1591</v>
      </c>
      <c r="B1593" t="s">
        <v>3</v>
      </c>
      <c r="C1593" t="s">
        <v>744</v>
      </c>
      <c r="D1593">
        <v>2017</v>
      </c>
      <c r="E1593">
        <v>3</v>
      </c>
      <c r="F1593">
        <v>8</v>
      </c>
      <c r="G1593">
        <v>5</v>
      </c>
      <c r="H1593">
        <v>17</v>
      </c>
      <c r="I1593">
        <v>0</v>
      </c>
      <c r="J1593">
        <v>-1847</v>
      </c>
      <c r="K1593" t="s">
        <v>743</v>
      </c>
      <c r="L1593" t="s">
        <v>1599</v>
      </c>
    </row>
    <row r="1594" spans="1:12">
      <c r="A1594">
        <v>1592</v>
      </c>
      <c r="B1594" t="s">
        <v>3</v>
      </c>
      <c r="C1594" t="s">
        <v>744</v>
      </c>
      <c r="D1594">
        <v>2017</v>
      </c>
      <c r="E1594">
        <v>3</v>
      </c>
      <c r="F1594">
        <v>25</v>
      </c>
      <c r="G1594">
        <v>5</v>
      </c>
      <c r="H1594">
        <v>17</v>
      </c>
      <c r="I1594">
        <v>0</v>
      </c>
      <c r="J1594">
        <v>0</v>
      </c>
      <c r="K1594" t="s">
        <v>743</v>
      </c>
      <c r="L1594" t="s">
        <v>1632</v>
      </c>
    </row>
    <row r="1595" spans="1:12">
      <c r="A1595">
        <v>1593</v>
      </c>
      <c r="B1595" t="s">
        <v>3</v>
      </c>
      <c r="C1595" t="s">
        <v>744</v>
      </c>
      <c r="D1595">
        <v>2017</v>
      </c>
      <c r="E1595">
        <v>3</v>
      </c>
      <c r="F1595">
        <v>26</v>
      </c>
      <c r="G1595">
        <v>5</v>
      </c>
      <c r="H1595">
        <v>17</v>
      </c>
      <c r="I1595">
        <v>0</v>
      </c>
      <c r="J1595">
        <v>68.81</v>
      </c>
      <c r="K1595" t="s">
        <v>743</v>
      </c>
      <c r="L1595" t="s">
        <v>1647</v>
      </c>
    </row>
    <row r="1596" spans="1:12">
      <c r="A1596">
        <v>1594</v>
      </c>
      <c r="B1596" t="s">
        <v>3</v>
      </c>
      <c r="C1596" t="s">
        <v>744</v>
      </c>
      <c r="D1596">
        <v>2017</v>
      </c>
      <c r="E1596">
        <v>3</v>
      </c>
      <c r="F1596">
        <v>26</v>
      </c>
      <c r="G1596">
        <v>5</v>
      </c>
      <c r="H1596">
        <v>17</v>
      </c>
      <c r="I1596">
        <v>0</v>
      </c>
      <c r="J1596">
        <v>16.28</v>
      </c>
      <c r="K1596" t="s">
        <v>743</v>
      </c>
      <c r="L1596" t="s">
        <v>1618</v>
      </c>
    </row>
    <row r="1597" spans="1:12">
      <c r="A1597">
        <v>1595</v>
      </c>
      <c r="B1597" t="s">
        <v>3</v>
      </c>
      <c r="C1597" t="s">
        <v>744</v>
      </c>
      <c r="D1597">
        <v>2017</v>
      </c>
      <c r="E1597">
        <v>3</v>
      </c>
      <c r="F1597">
        <v>28</v>
      </c>
      <c r="G1597">
        <v>5</v>
      </c>
      <c r="H1597">
        <v>17</v>
      </c>
      <c r="I1597">
        <v>0</v>
      </c>
      <c r="J1597">
        <v>30</v>
      </c>
      <c r="K1597" t="s">
        <v>743</v>
      </c>
      <c r="L1597" t="s">
        <v>1634</v>
      </c>
    </row>
    <row r="1598" spans="1:12">
      <c r="A1598">
        <v>1596</v>
      </c>
      <c r="B1598" t="s">
        <v>3</v>
      </c>
      <c r="C1598" t="s">
        <v>744</v>
      </c>
      <c r="D1598">
        <v>2017</v>
      </c>
      <c r="E1598">
        <v>3</v>
      </c>
      <c r="F1598">
        <v>40</v>
      </c>
      <c r="G1598">
        <v>5</v>
      </c>
      <c r="H1598">
        <v>17</v>
      </c>
      <c r="I1598">
        <v>0</v>
      </c>
      <c r="J1598">
        <v>3.4699999999999998</v>
      </c>
      <c r="K1598" t="s">
        <v>743</v>
      </c>
      <c r="L1598" t="s">
        <v>1603</v>
      </c>
    </row>
    <row r="1599" spans="1:12">
      <c r="A1599">
        <v>1597</v>
      </c>
      <c r="B1599" t="s">
        <v>3</v>
      </c>
      <c r="C1599" t="s">
        <v>744</v>
      </c>
      <c r="D1599">
        <v>2017</v>
      </c>
      <c r="E1599">
        <v>3</v>
      </c>
      <c r="F1599">
        <v>40</v>
      </c>
      <c r="G1599">
        <v>5</v>
      </c>
      <c r="H1599">
        <v>17</v>
      </c>
      <c r="I1599">
        <v>0</v>
      </c>
      <c r="J1599">
        <v>3.48</v>
      </c>
      <c r="K1599" t="s">
        <v>743</v>
      </c>
      <c r="L1599" t="s">
        <v>1604</v>
      </c>
    </row>
    <row r="1600" spans="1:12">
      <c r="A1600">
        <v>1598</v>
      </c>
      <c r="B1600" t="s">
        <v>3</v>
      </c>
      <c r="C1600" t="s">
        <v>744</v>
      </c>
      <c r="D1600">
        <v>2017</v>
      </c>
      <c r="E1600">
        <v>3</v>
      </c>
      <c r="F1600">
        <v>41</v>
      </c>
      <c r="G1600">
        <v>5</v>
      </c>
      <c r="H1600">
        <v>17</v>
      </c>
      <c r="I1600">
        <v>0</v>
      </c>
      <c r="J1600">
        <v>0.57999999999999996</v>
      </c>
      <c r="K1600" t="s">
        <v>743</v>
      </c>
      <c r="L1600" t="s">
        <v>1605</v>
      </c>
    </row>
    <row r="1601" spans="1:12">
      <c r="A1601">
        <v>1599</v>
      </c>
      <c r="B1601" t="s">
        <v>3</v>
      </c>
      <c r="C1601" t="s">
        <v>744</v>
      </c>
      <c r="D1601">
        <v>2017</v>
      </c>
      <c r="E1601">
        <v>4</v>
      </c>
      <c r="F1601">
        <v>11</v>
      </c>
      <c r="G1601">
        <v>5</v>
      </c>
      <c r="H1601">
        <v>21</v>
      </c>
      <c r="I1601">
        <v>0</v>
      </c>
      <c r="J1601">
        <v>-3244.56</v>
      </c>
      <c r="K1601" t="s">
        <v>743</v>
      </c>
      <c r="L1601" t="s">
        <v>1607</v>
      </c>
    </row>
    <row r="1602" spans="1:12">
      <c r="A1602">
        <v>1600</v>
      </c>
      <c r="B1602" t="s">
        <v>3</v>
      </c>
      <c r="C1602" t="s">
        <v>744</v>
      </c>
      <c r="D1602">
        <v>2017</v>
      </c>
      <c r="E1602">
        <v>4</v>
      </c>
      <c r="F1602">
        <v>26</v>
      </c>
      <c r="G1602">
        <v>5</v>
      </c>
      <c r="H1602">
        <v>21</v>
      </c>
      <c r="I1602">
        <v>0</v>
      </c>
      <c r="J1602">
        <v>-68.81</v>
      </c>
      <c r="K1602" t="s">
        <v>743</v>
      </c>
      <c r="L1602" t="s">
        <v>1647</v>
      </c>
    </row>
    <row r="1603" spans="1:12">
      <c r="A1603">
        <v>1601</v>
      </c>
      <c r="B1603" t="s">
        <v>3</v>
      </c>
      <c r="C1603" t="s">
        <v>744</v>
      </c>
      <c r="D1603">
        <v>2017</v>
      </c>
      <c r="E1603">
        <v>4</v>
      </c>
      <c r="F1603">
        <v>28</v>
      </c>
      <c r="G1603">
        <v>5</v>
      </c>
      <c r="H1603">
        <v>21</v>
      </c>
      <c r="I1603">
        <v>0</v>
      </c>
      <c r="J1603">
        <v>25</v>
      </c>
      <c r="K1603" t="s">
        <v>743</v>
      </c>
      <c r="L1603" t="s">
        <v>1643</v>
      </c>
    </row>
    <row r="1604" spans="1:12">
      <c r="A1604">
        <v>1602</v>
      </c>
      <c r="B1604" t="s">
        <v>3</v>
      </c>
      <c r="C1604" t="s">
        <v>744</v>
      </c>
      <c r="D1604">
        <v>2017</v>
      </c>
      <c r="E1604">
        <v>4</v>
      </c>
      <c r="F1604">
        <v>28</v>
      </c>
      <c r="G1604">
        <v>5</v>
      </c>
      <c r="H1604">
        <v>21</v>
      </c>
      <c r="I1604">
        <v>0</v>
      </c>
      <c r="J1604">
        <v>5488.5199999999995</v>
      </c>
      <c r="K1604" t="s">
        <v>743</v>
      </c>
      <c r="L1604" t="s">
        <v>1634</v>
      </c>
    </row>
    <row r="1605" spans="1:12">
      <c r="A1605">
        <v>1603</v>
      </c>
      <c r="B1605" t="s">
        <v>3</v>
      </c>
      <c r="C1605" t="s">
        <v>744</v>
      </c>
      <c r="D1605">
        <v>2017</v>
      </c>
      <c r="E1605">
        <v>4</v>
      </c>
      <c r="F1605">
        <v>28</v>
      </c>
      <c r="G1605">
        <v>5</v>
      </c>
      <c r="H1605">
        <v>21</v>
      </c>
      <c r="I1605">
        <v>0</v>
      </c>
      <c r="J1605">
        <v>-306</v>
      </c>
      <c r="K1605" t="s">
        <v>743</v>
      </c>
      <c r="L1605" t="s">
        <v>1644</v>
      </c>
    </row>
    <row r="1606" spans="1:12">
      <c r="A1606">
        <v>1604</v>
      </c>
      <c r="B1606" t="s">
        <v>3</v>
      </c>
      <c r="C1606" t="s">
        <v>744</v>
      </c>
      <c r="D1606">
        <v>2017</v>
      </c>
      <c r="E1606">
        <v>4</v>
      </c>
      <c r="F1606">
        <v>29</v>
      </c>
      <c r="G1606">
        <v>5</v>
      </c>
      <c r="H1606">
        <v>21</v>
      </c>
      <c r="I1606">
        <v>0</v>
      </c>
      <c r="J1606">
        <v>922.82999999999993</v>
      </c>
      <c r="K1606" t="s">
        <v>743</v>
      </c>
      <c r="L1606" t="s">
        <v>1629</v>
      </c>
    </row>
    <row r="1607" spans="1:12">
      <c r="A1607">
        <v>1605</v>
      </c>
      <c r="B1607" t="s">
        <v>3</v>
      </c>
      <c r="C1607" t="s">
        <v>744</v>
      </c>
      <c r="D1607">
        <v>2017</v>
      </c>
      <c r="E1607">
        <v>4</v>
      </c>
      <c r="F1607">
        <v>40</v>
      </c>
      <c r="G1607">
        <v>5</v>
      </c>
      <c r="H1607">
        <v>21</v>
      </c>
      <c r="I1607">
        <v>0</v>
      </c>
      <c r="J1607">
        <v>183.05</v>
      </c>
      <c r="K1607" t="s">
        <v>743</v>
      </c>
      <c r="L1607" t="s">
        <v>1603</v>
      </c>
    </row>
    <row r="1608" spans="1:12">
      <c r="A1608">
        <v>1606</v>
      </c>
      <c r="B1608" t="s">
        <v>3</v>
      </c>
      <c r="C1608" t="s">
        <v>744</v>
      </c>
      <c r="D1608">
        <v>2017</v>
      </c>
      <c r="E1608">
        <v>4</v>
      </c>
      <c r="F1608">
        <v>40</v>
      </c>
      <c r="G1608">
        <v>5</v>
      </c>
      <c r="H1608">
        <v>21</v>
      </c>
      <c r="I1608">
        <v>0</v>
      </c>
      <c r="J1608">
        <v>183.06</v>
      </c>
      <c r="K1608" t="s">
        <v>743</v>
      </c>
      <c r="L1608" t="s">
        <v>1604</v>
      </c>
    </row>
    <row r="1609" spans="1:12">
      <c r="A1609">
        <v>1607</v>
      </c>
      <c r="B1609" t="s">
        <v>3</v>
      </c>
      <c r="C1609" t="s">
        <v>744</v>
      </c>
      <c r="D1609">
        <v>2017</v>
      </c>
      <c r="E1609">
        <v>4</v>
      </c>
      <c r="F1609">
        <v>41</v>
      </c>
      <c r="G1609">
        <v>5</v>
      </c>
      <c r="H1609">
        <v>21</v>
      </c>
      <c r="I1609">
        <v>0</v>
      </c>
      <c r="J1609">
        <v>30.31</v>
      </c>
      <c r="K1609" t="s">
        <v>743</v>
      </c>
      <c r="L1609" t="s">
        <v>1605</v>
      </c>
    </row>
    <row r="1610" spans="1:12">
      <c r="A1610">
        <v>1608</v>
      </c>
      <c r="B1610" t="s">
        <v>3</v>
      </c>
      <c r="C1610" t="s">
        <v>744</v>
      </c>
      <c r="D1610">
        <v>2018</v>
      </c>
      <c r="E1610">
        <v>1</v>
      </c>
      <c r="F1610">
        <v>8</v>
      </c>
      <c r="G1610">
        <v>4</v>
      </c>
      <c r="H1610">
        <v>8</v>
      </c>
      <c r="I1610">
        <v>-3694</v>
      </c>
      <c r="J1610">
        <v>-1847</v>
      </c>
      <c r="K1610" t="s">
        <v>743</v>
      </c>
      <c r="L1610" t="s">
        <v>1599</v>
      </c>
    </row>
    <row r="1611" spans="1:12">
      <c r="A1611">
        <v>1609</v>
      </c>
      <c r="B1611" t="s">
        <v>3</v>
      </c>
      <c r="C1611" t="s">
        <v>744</v>
      </c>
      <c r="D1611">
        <v>2018</v>
      </c>
      <c r="E1611">
        <v>1</v>
      </c>
      <c r="F1611">
        <v>23</v>
      </c>
      <c r="G1611">
        <v>4</v>
      </c>
      <c r="H1611">
        <v>8</v>
      </c>
      <c r="I1611">
        <v>3468</v>
      </c>
      <c r="J1611">
        <v>0</v>
      </c>
      <c r="K1611" t="s">
        <v>743</v>
      </c>
      <c r="L1611" t="s">
        <v>1602</v>
      </c>
    </row>
    <row r="1612" spans="1:12">
      <c r="A1612">
        <v>1610</v>
      </c>
      <c r="B1612" t="s">
        <v>3</v>
      </c>
      <c r="C1612" t="s">
        <v>744</v>
      </c>
      <c r="D1612">
        <v>2018</v>
      </c>
      <c r="E1612">
        <v>1</v>
      </c>
      <c r="F1612">
        <v>28</v>
      </c>
      <c r="G1612">
        <v>4</v>
      </c>
      <c r="H1612">
        <v>8</v>
      </c>
      <c r="I1612">
        <v>0</v>
      </c>
      <c r="J1612">
        <v>31.25</v>
      </c>
      <c r="K1612" t="s">
        <v>743</v>
      </c>
      <c r="L1612" t="s">
        <v>1636</v>
      </c>
    </row>
    <row r="1613" spans="1:12">
      <c r="A1613">
        <v>1611</v>
      </c>
      <c r="B1613" t="s">
        <v>3</v>
      </c>
      <c r="C1613" t="s">
        <v>744</v>
      </c>
      <c r="D1613">
        <v>2018</v>
      </c>
      <c r="E1613">
        <v>1</v>
      </c>
      <c r="F1613">
        <v>40</v>
      </c>
      <c r="G1613">
        <v>4</v>
      </c>
      <c r="H1613">
        <v>8</v>
      </c>
      <c r="I1613">
        <v>209</v>
      </c>
      <c r="J1613">
        <v>0.99</v>
      </c>
      <c r="K1613" t="s">
        <v>743</v>
      </c>
      <c r="L1613" t="s">
        <v>1603</v>
      </c>
    </row>
    <row r="1614" spans="1:12">
      <c r="A1614">
        <v>1612</v>
      </c>
      <c r="B1614" t="s">
        <v>3</v>
      </c>
      <c r="C1614" t="s">
        <v>744</v>
      </c>
      <c r="D1614">
        <v>2018</v>
      </c>
      <c r="E1614">
        <v>1</v>
      </c>
      <c r="F1614">
        <v>40</v>
      </c>
      <c r="G1614">
        <v>4</v>
      </c>
      <c r="H1614">
        <v>8</v>
      </c>
      <c r="I1614">
        <v>0</v>
      </c>
      <c r="J1614">
        <v>0.98</v>
      </c>
      <c r="K1614" t="s">
        <v>743</v>
      </c>
      <c r="L1614" t="s">
        <v>1604</v>
      </c>
    </row>
    <row r="1615" spans="1:12">
      <c r="A1615">
        <v>1613</v>
      </c>
      <c r="B1615" t="s">
        <v>3</v>
      </c>
      <c r="C1615" t="s">
        <v>744</v>
      </c>
      <c r="D1615">
        <v>2018</v>
      </c>
      <c r="E1615">
        <v>1</v>
      </c>
      <c r="F1615">
        <v>41</v>
      </c>
      <c r="G1615">
        <v>4</v>
      </c>
      <c r="H1615">
        <v>8</v>
      </c>
      <c r="I1615">
        <v>17</v>
      </c>
      <c r="J1615">
        <v>0.16</v>
      </c>
      <c r="K1615" t="s">
        <v>743</v>
      </c>
      <c r="L1615" t="s">
        <v>1605</v>
      </c>
    </row>
    <row r="1616" spans="1:12">
      <c r="A1616">
        <v>1614</v>
      </c>
      <c r="B1616" t="s">
        <v>3</v>
      </c>
      <c r="C1616" t="s">
        <v>744</v>
      </c>
      <c r="D1616">
        <v>2018</v>
      </c>
      <c r="E1616">
        <v>2</v>
      </c>
      <c r="F1616">
        <v>26</v>
      </c>
      <c r="G1616">
        <v>4</v>
      </c>
      <c r="H1616">
        <v>12</v>
      </c>
      <c r="I1616">
        <v>0</v>
      </c>
      <c r="J1616">
        <v>25.28</v>
      </c>
      <c r="K1616" t="s">
        <v>743</v>
      </c>
      <c r="L1616" t="s">
        <v>1618</v>
      </c>
    </row>
    <row r="1617" spans="1:12">
      <c r="A1617">
        <v>1615</v>
      </c>
      <c r="B1617" t="s">
        <v>3</v>
      </c>
      <c r="C1617" t="s">
        <v>744</v>
      </c>
      <c r="D1617">
        <v>2018</v>
      </c>
      <c r="E1617">
        <v>2</v>
      </c>
      <c r="F1617">
        <v>28</v>
      </c>
      <c r="G1617">
        <v>4</v>
      </c>
      <c r="H1617">
        <v>12</v>
      </c>
      <c r="I1617">
        <v>0</v>
      </c>
      <c r="J1617">
        <v>1078</v>
      </c>
      <c r="K1617" t="s">
        <v>743</v>
      </c>
      <c r="L1617" t="s">
        <v>1634</v>
      </c>
    </row>
    <row r="1618" spans="1:12">
      <c r="A1618">
        <v>1616</v>
      </c>
      <c r="B1618" t="s">
        <v>3</v>
      </c>
      <c r="C1618" t="s">
        <v>744</v>
      </c>
      <c r="D1618">
        <v>2018</v>
      </c>
      <c r="E1618">
        <v>2</v>
      </c>
      <c r="F1618">
        <v>29</v>
      </c>
      <c r="G1618">
        <v>4</v>
      </c>
      <c r="H1618">
        <v>12</v>
      </c>
      <c r="I1618">
        <v>0</v>
      </c>
      <c r="J1618">
        <v>319.98</v>
      </c>
      <c r="K1618" t="s">
        <v>743</v>
      </c>
      <c r="L1618" t="s">
        <v>1629</v>
      </c>
    </row>
    <row r="1619" spans="1:12">
      <c r="A1619">
        <v>1617</v>
      </c>
      <c r="B1619" t="s">
        <v>3</v>
      </c>
      <c r="C1619" t="s">
        <v>744</v>
      </c>
      <c r="D1619">
        <v>2018</v>
      </c>
      <c r="E1619">
        <v>2</v>
      </c>
      <c r="F1619">
        <v>40</v>
      </c>
      <c r="G1619">
        <v>4</v>
      </c>
      <c r="H1619">
        <v>12</v>
      </c>
      <c r="I1619">
        <v>0</v>
      </c>
      <c r="J1619">
        <v>44.750000000000014</v>
      </c>
      <c r="K1619" t="s">
        <v>743</v>
      </c>
      <c r="L1619" t="s">
        <v>1603</v>
      </c>
    </row>
    <row r="1620" spans="1:12">
      <c r="A1620">
        <v>1618</v>
      </c>
      <c r="B1620" t="s">
        <v>3</v>
      </c>
      <c r="C1620" t="s">
        <v>744</v>
      </c>
      <c r="D1620">
        <v>2018</v>
      </c>
      <c r="E1620">
        <v>2</v>
      </c>
      <c r="F1620">
        <v>40</v>
      </c>
      <c r="G1620">
        <v>4</v>
      </c>
      <c r="H1620">
        <v>12</v>
      </c>
      <c r="I1620">
        <v>0</v>
      </c>
      <c r="J1620">
        <v>44.769999999999996</v>
      </c>
      <c r="K1620" t="s">
        <v>743</v>
      </c>
      <c r="L1620" t="s">
        <v>1604</v>
      </c>
    </row>
    <row r="1621" spans="1:12">
      <c r="A1621">
        <v>1619</v>
      </c>
      <c r="B1621" t="s">
        <v>3</v>
      </c>
      <c r="C1621" t="s">
        <v>744</v>
      </c>
      <c r="D1621">
        <v>2018</v>
      </c>
      <c r="E1621">
        <v>2</v>
      </c>
      <c r="F1621">
        <v>41</v>
      </c>
      <c r="G1621">
        <v>4</v>
      </c>
      <c r="H1621">
        <v>12</v>
      </c>
      <c r="I1621">
        <v>0</v>
      </c>
      <c r="J1621">
        <v>7.26</v>
      </c>
      <c r="K1621" t="s">
        <v>743</v>
      </c>
      <c r="L1621" t="s">
        <v>1605</v>
      </c>
    </row>
    <row r="1622" spans="1:12">
      <c r="A1622">
        <v>1620</v>
      </c>
      <c r="B1622" t="s">
        <v>3</v>
      </c>
      <c r="C1622" t="s">
        <v>744</v>
      </c>
      <c r="D1622">
        <v>2018</v>
      </c>
      <c r="E1622">
        <v>3</v>
      </c>
      <c r="F1622">
        <v>8</v>
      </c>
      <c r="G1622">
        <v>4</v>
      </c>
      <c r="H1622">
        <v>16</v>
      </c>
      <c r="I1622">
        <v>0</v>
      </c>
      <c r="J1622">
        <v>-1847</v>
      </c>
      <c r="K1622" t="s">
        <v>743</v>
      </c>
      <c r="L1622" t="s">
        <v>1599</v>
      </c>
    </row>
    <row r="1623" spans="1:12">
      <c r="A1623">
        <v>1621</v>
      </c>
      <c r="B1623" t="s">
        <v>3</v>
      </c>
      <c r="C1623" t="s">
        <v>744</v>
      </c>
      <c r="D1623">
        <v>2018</v>
      </c>
      <c r="E1623">
        <v>3</v>
      </c>
      <c r="F1623">
        <v>28</v>
      </c>
      <c r="G1623">
        <v>4</v>
      </c>
      <c r="H1623">
        <v>16</v>
      </c>
      <c r="I1623">
        <v>0</v>
      </c>
      <c r="J1623">
        <v>52.12</v>
      </c>
      <c r="K1623" t="s">
        <v>743</v>
      </c>
      <c r="L1623" t="s">
        <v>1636</v>
      </c>
    </row>
    <row r="1624" spans="1:12">
      <c r="A1624">
        <v>1622</v>
      </c>
      <c r="B1624" t="s">
        <v>3</v>
      </c>
      <c r="C1624" t="s">
        <v>744</v>
      </c>
      <c r="D1624">
        <v>2018</v>
      </c>
      <c r="E1624">
        <v>3</v>
      </c>
      <c r="F1624">
        <v>28</v>
      </c>
      <c r="G1624">
        <v>4</v>
      </c>
      <c r="H1624">
        <v>16</v>
      </c>
      <c r="I1624">
        <v>0</v>
      </c>
      <c r="J1624">
        <v>2583.81</v>
      </c>
      <c r="K1624" t="s">
        <v>743</v>
      </c>
      <c r="L1624" t="s">
        <v>1634</v>
      </c>
    </row>
    <row r="1625" spans="1:12">
      <c r="A1625">
        <v>1623</v>
      </c>
      <c r="B1625" t="s">
        <v>3</v>
      </c>
      <c r="C1625" t="s">
        <v>744</v>
      </c>
      <c r="D1625">
        <v>2018</v>
      </c>
      <c r="E1625">
        <v>3</v>
      </c>
      <c r="F1625">
        <v>40</v>
      </c>
      <c r="G1625">
        <v>4</v>
      </c>
      <c r="H1625">
        <v>16</v>
      </c>
      <c r="I1625">
        <v>0</v>
      </c>
      <c r="J1625">
        <v>82.899999999999991</v>
      </c>
      <c r="K1625" t="s">
        <v>743</v>
      </c>
      <c r="L1625" t="s">
        <v>1603</v>
      </c>
    </row>
    <row r="1626" spans="1:12">
      <c r="A1626">
        <v>1624</v>
      </c>
      <c r="B1626" t="s">
        <v>3</v>
      </c>
      <c r="C1626" t="s">
        <v>744</v>
      </c>
      <c r="D1626">
        <v>2018</v>
      </c>
      <c r="E1626">
        <v>3</v>
      </c>
      <c r="F1626">
        <v>40</v>
      </c>
      <c r="G1626">
        <v>4</v>
      </c>
      <c r="H1626">
        <v>16</v>
      </c>
      <c r="I1626">
        <v>0</v>
      </c>
      <c r="J1626">
        <v>82.9</v>
      </c>
      <c r="K1626" t="s">
        <v>743</v>
      </c>
      <c r="L1626" t="s">
        <v>1604</v>
      </c>
    </row>
    <row r="1627" spans="1:12">
      <c r="A1627">
        <v>1625</v>
      </c>
      <c r="B1627" t="s">
        <v>3</v>
      </c>
      <c r="C1627" t="s">
        <v>744</v>
      </c>
      <c r="D1627">
        <v>2018</v>
      </c>
      <c r="E1627">
        <v>3</v>
      </c>
      <c r="F1627">
        <v>41</v>
      </c>
      <c r="G1627">
        <v>4</v>
      </c>
      <c r="H1627">
        <v>16</v>
      </c>
      <c r="I1627">
        <v>0</v>
      </c>
      <c r="J1627">
        <v>13.44</v>
      </c>
      <c r="K1627" t="s">
        <v>743</v>
      </c>
      <c r="L1627" t="s">
        <v>1605</v>
      </c>
    </row>
    <row r="1628" spans="1:12">
      <c r="A1628">
        <v>1626</v>
      </c>
      <c r="B1628" t="s">
        <v>3</v>
      </c>
      <c r="C1628" t="s">
        <v>744</v>
      </c>
      <c r="D1628">
        <v>2018</v>
      </c>
      <c r="E1628">
        <v>4</v>
      </c>
      <c r="F1628">
        <v>11</v>
      </c>
      <c r="G1628">
        <v>4</v>
      </c>
      <c r="H1628">
        <v>20</v>
      </c>
      <c r="I1628">
        <v>0</v>
      </c>
      <c r="J1628">
        <v>-866.88</v>
      </c>
      <c r="K1628" t="s">
        <v>743</v>
      </c>
      <c r="L1628" t="s">
        <v>1607</v>
      </c>
    </row>
    <row r="1629" spans="1:12">
      <c r="A1629">
        <v>1627</v>
      </c>
      <c r="B1629" t="s">
        <v>3</v>
      </c>
      <c r="C1629" t="s">
        <v>744</v>
      </c>
      <c r="D1629">
        <v>2018</v>
      </c>
      <c r="E1629">
        <v>4</v>
      </c>
      <c r="F1629">
        <v>28</v>
      </c>
      <c r="G1629">
        <v>4</v>
      </c>
      <c r="H1629">
        <v>20</v>
      </c>
      <c r="I1629">
        <v>0</v>
      </c>
      <c r="J1629">
        <v>45.75</v>
      </c>
      <c r="K1629" t="s">
        <v>743</v>
      </c>
      <c r="L1629" t="s">
        <v>1636</v>
      </c>
    </row>
    <row r="1630" spans="1:12">
      <c r="A1630">
        <v>1628</v>
      </c>
      <c r="B1630" t="s">
        <v>3</v>
      </c>
      <c r="C1630" t="s">
        <v>744</v>
      </c>
      <c r="D1630">
        <v>2018</v>
      </c>
      <c r="E1630">
        <v>4</v>
      </c>
      <c r="F1630">
        <v>28</v>
      </c>
      <c r="G1630">
        <v>4</v>
      </c>
      <c r="H1630">
        <v>20</v>
      </c>
      <c r="I1630">
        <v>0</v>
      </c>
      <c r="J1630">
        <v>134.29000000000002</v>
      </c>
      <c r="K1630" t="s">
        <v>743</v>
      </c>
      <c r="L1630" t="s">
        <v>1634</v>
      </c>
    </row>
    <row r="1631" spans="1:12">
      <c r="A1631">
        <v>1629</v>
      </c>
      <c r="B1631" t="s">
        <v>3</v>
      </c>
      <c r="C1631" t="s">
        <v>744</v>
      </c>
      <c r="D1631">
        <v>2018</v>
      </c>
      <c r="E1631">
        <v>4</v>
      </c>
      <c r="F1631">
        <v>40</v>
      </c>
      <c r="G1631">
        <v>4</v>
      </c>
      <c r="H1631">
        <v>20</v>
      </c>
      <c r="I1631">
        <v>0</v>
      </c>
      <c r="J1631">
        <v>5.67</v>
      </c>
      <c r="K1631" t="s">
        <v>743</v>
      </c>
      <c r="L1631" t="s">
        <v>1603</v>
      </c>
    </row>
    <row r="1632" spans="1:12">
      <c r="A1632">
        <v>1630</v>
      </c>
      <c r="B1632" t="s">
        <v>3</v>
      </c>
      <c r="C1632" t="s">
        <v>744</v>
      </c>
      <c r="D1632">
        <v>2018</v>
      </c>
      <c r="E1632">
        <v>4</v>
      </c>
      <c r="F1632">
        <v>40</v>
      </c>
      <c r="G1632">
        <v>4</v>
      </c>
      <c r="H1632">
        <v>20</v>
      </c>
      <c r="I1632">
        <v>0</v>
      </c>
      <c r="J1632">
        <v>5.66</v>
      </c>
      <c r="K1632" t="s">
        <v>743</v>
      </c>
      <c r="L1632" t="s">
        <v>1604</v>
      </c>
    </row>
    <row r="1633" spans="1:12">
      <c r="A1633">
        <v>1631</v>
      </c>
      <c r="B1633" t="s">
        <v>3</v>
      </c>
      <c r="C1633" t="s">
        <v>744</v>
      </c>
      <c r="D1633">
        <v>2018</v>
      </c>
      <c r="E1633">
        <v>4</v>
      </c>
      <c r="F1633">
        <v>41</v>
      </c>
      <c r="G1633">
        <v>4</v>
      </c>
      <c r="H1633">
        <v>20</v>
      </c>
      <c r="I1633">
        <v>0</v>
      </c>
      <c r="J1633">
        <v>0.92</v>
      </c>
      <c r="K1633" t="s">
        <v>743</v>
      </c>
      <c r="L1633" t="s">
        <v>1605</v>
      </c>
    </row>
    <row r="1634" spans="1:12">
      <c r="A1634">
        <v>1632</v>
      </c>
      <c r="B1634" t="s">
        <v>3</v>
      </c>
      <c r="C1634" t="s">
        <v>744</v>
      </c>
      <c r="D1634">
        <v>2019</v>
      </c>
      <c r="E1634">
        <v>1</v>
      </c>
      <c r="F1634">
        <v>8</v>
      </c>
      <c r="G1634">
        <v>3</v>
      </c>
      <c r="H1634">
        <v>7</v>
      </c>
      <c r="I1634">
        <v>-3704</v>
      </c>
      <c r="J1634">
        <v>-1852</v>
      </c>
      <c r="K1634" t="s">
        <v>743</v>
      </c>
      <c r="L1634" t="s">
        <v>1599</v>
      </c>
    </row>
    <row r="1635" spans="1:12">
      <c r="A1635">
        <v>1633</v>
      </c>
      <c r="B1635" t="s">
        <v>3</v>
      </c>
      <c r="C1635" t="s">
        <v>744</v>
      </c>
      <c r="D1635">
        <v>2019</v>
      </c>
      <c r="E1635">
        <v>1</v>
      </c>
      <c r="F1635">
        <v>23</v>
      </c>
      <c r="G1635">
        <v>3</v>
      </c>
      <c r="H1635">
        <v>7</v>
      </c>
      <c r="I1635">
        <v>3468</v>
      </c>
      <c r="J1635">
        <v>0</v>
      </c>
      <c r="K1635" t="s">
        <v>743</v>
      </c>
      <c r="L1635" t="s">
        <v>1602</v>
      </c>
    </row>
    <row r="1636" spans="1:12">
      <c r="A1636">
        <v>1634</v>
      </c>
      <c r="B1636" t="s">
        <v>3</v>
      </c>
      <c r="C1636" t="s">
        <v>744</v>
      </c>
      <c r="D1636">
        <v>2019</v>
      </c>
      <c r="E1636">
        <v>1</v>
      </c>
      <c r="F1636">
        <v>40</v>
      </c>
      <c r="G1636">
        <v>3</v>
      </c>
      <c r="H1636">
        <v>7</v>
      </c>
      <c r="I1636">
        <v>218</v>
      </c>
      <c r="J1636">
        <v>0</v>
      </c>
      <c r="K1636" t="s">
        <v>743</v>
      </c>
      <c r="L1636" t="s">
        <v>1603</v>
      </c>
    </row>
    <row r="1637" spans="1:12">
      <c r="A1637">
        <v>1635</v>
      </c>
      <c r="B1637" t="s">
        <v>3</v>
      </c>
      <c r="C1637" t="s">
        <v>744</v>
      </c>
      <c r="D1637">
        <v>2019</v>
      </c>
      <c r="E1637">
        <v>1</v>
      </c>
      <c r="F1637">
        <v>41</v>
      </c>
      <c r="G1637">
        <v>3</v>
      </c>
      <c r="H1637">
        <v>7</v>
      </c>
      <c r="I1637">
        <v>18</v>
      </c>
      <c r="J1637">
        <v>0</v>
      </c>
      <c r="K1637" t="s">
        <v>743</v>
      </c>
      <c r="L1637" t="s">
        <v>1605</v>
      </c>
    </row>
    <row r="1638" spans="1:12">
      <c r="A1638">
        <v>1636</v>
      </c>
      <c r="B1638" t="s">
        <v>3</v>
      </c>
      <c r="C1638" t="s">
        <v>744</v>
      </c>
      <c r="D1638">
        <v>2019</v>
      </c>
      <c r="E1638">
        <v>2</v>
      </c>
      <c r="F1638">
        <v>28</v>
      </c>
      <c r="G1638">
        <v>3</v>
      </c>
      <c r="H1638">
        <v>11</v>
      </c>
      <c r="I1638">
        <v>0</v>
      </c>
      <c r="J1638">
        <v>30</v>
      </c>
      <c r="K1638" t="s">
        <v>743</v>
      </c>
      <c r="L1638" t="s">
        <v>1643</v>
      </c>
    </row>
    <row r="1639" spans="1:12">
      <c r="A1639">
        <v>1637</v>
      </c>
      <c r="B1639" t="s">
        <v>3</v>
      </c>
      <c r="C1639" t="s">
        <v>744</v>
      </c>
      <c r="D1639">
        <v>2019</v>
      </c>
      <c r="E1639">
        <v>2</v>
      </c>
      <c r="F1639">
        <v>28</v>
      </c>
      <c r="G1639">
        <v>3</v>
      </c>
      <c r="H1639">
        <v>11</v>
      </c>
      <c r="I1639">
        <v>0</v>
      </c>
      <c r="J1639">
        <v>50</v>
      </c>
      <c r="K1639" t="s">
        <v>743</v>
      </c>
      <c r="L1639" t="s">
        <v>1634</v>
      </c>
    </row>
    <row r="1640" spans="1:12">
      <c r="A1640">
        <v>1638</v>
      </c>
      <c r="B1640" t="s">
        <v>3</v>
      </c>
      <c r="C1640" t="s">
        <v>744</v>
      </c>
      <c r="D1640">
        <v>2019</v>
      </c>
      <c r="E1640">
        <v>2</v>
      </c>
      <c r="F1640">
        <v>40</v>
      </c>
      <c r="G1640">
        <v>3</v>
      </c>
      <c r="H1640">
        <v>11</v>
      </c>
      <c r="I1640">
        <v>0</v>
      </c>
      <c r="J1640">
        <v>2.71</v>
      </c>
      <c r="K1640" t="s">
        <v>743</v>
      </c>
      <c r="L1640" t="s">
        <v>1603</v>
      </c>
    </row>
    <row r="1641" spans="1:12">
      <c r="A1641">
        <v>1639</v>
      </c>
      <c r="B1641" t="s">
        <v>3</v>
      </c>
      <c r="C1641" t="s">
        <v>744</v>
      </c>
      <c r="D1641">
        <v>2019</v>
      </c>
      <c r="E1641">
        <v>2</v>
      </c>
      <c r="F1641">
        <v>40</v>
      </c>
      <c r="G1641">
        <v>3</v>
      </c>
      <c r="H1641">
        <v>11</v>
      </c>
      <c r="I1641">
        <v>0</v>
      </c>
      <c r="J1641">
        <v>2.7</v>
      </c>
      <c r="K1641" t="s">
        <v>743</v>
      </c>
      <c r="L1641" t="s">
        <v>1604</v>
      </c>
    </row>
    <row r="1642" spans="1:12">
      <c r="A1642">
        <v>1640</v>
      </c>
      <c r="B1642" t="s">
        <v>3</v>
      </c>
      <c r="C1642" t="s">
        <v>744</v>
      </c>
      <c r="D1642">
        <v>2019</v>
      </c>
      <c r="E1642">
        <v>2</v>
      </c>
      <c r="F1642">
        <v>41</v>
      </c>
      <c r="G1642">
        <v>3</v>
      </c>
      <c r="H1642">
        <v>11</v>
      </c>
      <c r="I1642">
        <v>0</v>
      </c>
      <c r="J1642">
        <v>0.5</v>
      </c>
      <c r="K1642" t="s">
        <v>743</v>
      </c>
      <c r="L1642" t="s">
        <v>1605</v>
      </c>
    </row>
    <row r="1643" spans="1:12">
      <c r="A1643">
        <v>1641</v>
      </c>
      <c r="B1643" t="s">
        <v>3</v>
      </c>
      <c r="C1643" t="s">
        <v>744</v>
      </c>
      <c r="D1643">
        <v>2019</v>
      </c>
      <c r="E1643">
        <v>3</v>
      </c>
      <c r="F1643">
        <v>8</v>
      </c>
      <c r="G1643">
        <v>3</v>
      </c>
      <c r="H1643">
        <v>15</v>
      </c>
      <c r="I1643">
        <v>0</v>
      </c>
      <c r="J1643">
        <v>-1852</v>
      </c>
      <c r="K1643" t="s">
        <v>743</v>
      </c>
      <c r="L1643" t="s">
        <v>1599</v>
      </c>
    </row>
    <row r="1644" spans="1:12">
      <c r="A1644">
        <v>1642</v>
      </c>
      <c r="B1644" t="s">
        <v>3</v>
      </c>
      <c r="C1644" t="s">
        <v>744</v>
      </c>
      <c r="D1644">
        <v>2019</v>
      </c>
      <c r="E1644">
        <v>3</v>
      </c>
      <c r="F1644">
        <v>28</v>
      </c>
      <c r="G1644">
        <v>3</v>
      </c>
      <c r="H1644">
        <v>15</v>
      </c>
      <c r="I1644">
        <v>0</v>
      </c>
      <c r="J1644">
        <v>3307.5</v>
      </c>
      <c r="K1644" t="s">
        <v>743</v>
      </c>
      <c r="L1644" t="s">
        <v>1660</v>
      </c>
    </row>
    <row r="1645" spans="1:12">
      <c r="A1645">
        <v>1643</v>
      </c>
      <c r="B1645" t="s">
        <v>3</v>
      </c>
      <c r="C1645" t="s">
        <v>744</v>
      </c>
      <c r="D1645">
        <v>2019</v>
      </c>
      <c r="E1645">
        <v>3</v>
      </c>
      <c r="F1645">
        <v>28</v>
      </c>
      <c r="G1645">
        <v>3</v>
      </c>
      <c r="H1645">
        <v>15</v>
      </c>
      <c r="I1645">
        <v>0</v>
      </c>
      <c r="J1645">
        <v>50</v>
      </c>
      <c r="K1645" t="s">
        <v>743</v>
      </c>
      <c r="L1645" t="s">
        <v>1643</v>
      </c>
    </row>
    <row r="1646" spans="1:12">
      <c r="A1646">
        <v>1644</v>
      </c>
      <c r="B1646" t="s">
        <v>3</v>
      </c>
      <c r="C1646" t="s">
        <v>744</v>
      </c>
      <c r="D1646">
        <v>2019</v>
      </c>
      <c r="E1646">
        <v>3</v>
      </c>
      <c r="F1646">
        <v>40</v>
      </c>
      <c r="G1646">
        <v>3</v>
      </c>
      <c r="H1646">
        <v>15</v>
      </c>
      <c r="I1646">
        <v>0</v>
      </c>
      <c r="J1646">
        <v>113.49</v>
      </c>
      <c r="K1646" t="s">
        <v>743</v>
      </c>
      <c r="L1646" t="s">
        <v>1603</v>
      </c>
    </row>
    <row r="1647" spans="1:12">
      <c r="A1647">
        <v>1645</v>
      </c>
      <c r="B1647" t="s">
        <v>3</v>
      </c>
      <c r="C1647" t="s">
        <v>744</v>
      </c>
      <c r="D1647">
        <v>2019</v>
      </c>
      <c r="E1647">
        <v>3</v>
      </c>
      <c r="F1647">
        <v>40</v>
      </c>
      <c r="G1647">
        <v>3</v>
      </c>
      <c r="H1647">
        <v>15</v>
      </c>
      <c r="I1647">
        <v>0</v>
      </c>
      <c r="J1647">
        <v>113.48</v>
      </c>
      <c r="K1647" t="s">
        <v>743</v>
      </c>
      <c r="L1647" t="s">
        <v>1604</v>
      </c>
    </row>
    <row r="1648" spans="1:12">
      <c r="A1648">
        <v>1646</v>
      </c>
      <c r="B1648" t="s">
        <v>3</v>
      </c>
      <c r="C1648" t="s">
        <v>744</v>
      </c>
      <c r="D1648">
        <v>2019</v>
      </c>
      <c r="E1648">
        <v>3</v>
      </c>
      <c r="F1648">
        <v>41</v>
      </c>
      <c r="G1648">
        <v>3</v>
      </c>
      <c r="H1648">
        <v>15</v>
      </c>
      <c r="I1648">
        <v>0</v>
      </c>
      <c r="J1648">
        <v>20.82</v>
      </c>
      <c r="K1648" t="s">
        <v>743</v>
      </c>
      <c r="L1648" t="s">
        <v>1605</v>
      </c>
    </row>
    <row r="1649" spans="1:12">
      <c r="A1649">
        <v>1647</v>
      </c>
      <c r="B1649" t="s">
        <v>3</v>
      </c>
      <c r="C1649" t="s">
        <v>744</v>
      </c>
      <c r="D1649">
        <v>2019</v>
      </c>
      <c r="E1649">
        <v>4</v>
      </c>
      <c r="F1649">
        <v>45</v>
      </c>
      <c r="G1649">
        <v>3</v>
      </c>
      <c r="H1649">
        <v>19</v>
      </c>
      <c r="I1649">
        <v>0</v>
      </c>
      <c r="J1649">
        <v>12.8</v>
      </c>
      <c r="K1649" t="s">
        <v>743</v>
      </c>
      <c r="L1649" t="s">
        <v>1606</v>
      </c>
    </row>
    <row r="1650" spans="1:12">
      <c r="A1650">
        <v>1648</v>
      </c>
      <c r="B1650" t="s">
        <v>3</v>
      </c>
      <c r="C1650" t="s">
        <v>744</v>
      </c>
      <c r="D1650">
        <v>2020</v>
      </c>
      <c r="E1650">
        <v>1</v>
      </c>
      <c r="F1650">
        <v>8</v>
      </c>
      <c r="G1650">
        <v>2</v>
      </c>
      <c r="H1650">
        <v>6</v>
      </c>
      <c r="I1650">
        <v>-6965</v>
      </c>
      <c r="J1650">
        <v>0</v>
      </c>
      <c r="K1650" t="s">
        <v>743</v>
      </c>
      <c r="L1650" t="s">
        <v>1599</v>
      </c>
    </row>
    <row r="1651" spans="1:12">
      <c r="A1651">
        <v>1649</v>
      </c>
      <c r="B1651" t="s">
        <v>3</v>
      </c>
      <c r="C1651" t="s">
        <v>744</v>
      </c>
      <c r="D1651">
        <v>2020</v>
      </c>
      <c r="E1651">
        <v>1</v>
      </c>
      <c r="F1651">
        <v>8</v>
      </c>
      <c r="G1651">
        <v>2</v>
      </c>
      <c r="H1651">
        <v>6</v>
      </c>
      <c r="I1651">
        <v>0</v>
      </c>
      <c r="J1651">
        <v>-3482</v>
      </c>
      <c r="K1651" t="s">
        <v>743</v>
      </c>
      <c r="L1651" t="s">
        <v>1611</v>
      </c>
    </row>
    <row r="1652" spans="1:12">
      <c r="A1652">
        <v>1650</v>
      </c>
      <c r="B1652" t="s">
        <v>3</v>
      </c>
      <c r="C1652" t="s">
        <v>744</v>
      </c>
      <c r="D1652">
        <v>2020</v>
      </c>
      <c r="E1652">
        <v>1</v>
      </c>
      <c r="F1652">
        <v>23</v>
      </c>
      <c r="G1652">
        <v>2</v>
      </c>
      <c r="H1652">
        <v>6</v>
      </c>
      <c r="I1652">
        <v>6468</v>
      </c>
      <c r="J1652">
        <v>0</v>
      </c>
      <c r="K1652" t="s">
        <v>743</v>
      </c>
      <c r="L1652" t="s">
        <v>1602</v>
      </c>
    </row>
    <row r="1653" spans="1:12">
      <c r="A1653">
        <v>1651</v>
      </c>
      <c r="B1653" t="s">
        <v>3</v>
      </c>
      <c r="C1653" t="s">
        <v>744</v>
      </c>
      <c r="D1653">
        <v>2020</v>
      </c>
      <c r="E1653">
        <v>1</v>
      </c>
      <c r="F1653">
        <v>40</v>
      </c>
      <c r="G1653">
        <v>2</v>
      </c>
      <c r="H1653">
        <v>6</v>
      </c>
      <c r="I1653">
        <v>457</v>
      </c>
      <c r="J1653">
        <v>0</v>
      </c>
      <c r="K1653" t="s">
        <v>743</v>
      </c>
      <c r="L1653" t="s">
        <v>1603</v>
      </c>
    </row>
    <row r="1654" spans="1:12">
      <c r="A1654">
        <v>1652</v>
      </c>
      <c r="B1654" t="s">
        <v>3</v>
      </c>
      <c r="C1654" t="s">
        <v>744</v>
      </c>
      <c r="D1654">
        <v>2020</v>
      </c>
      <c r="E1654">
        <v>1</v>
      </c>
      <c r="F1654">
        <v>41</v>
      </c>
      <c r="G1654">
        <v>2</v>
      </c>
      <c r="H1654">
        <v>6</v>
      </c>
      <c r="I1654">
        <v>40</v>
      </c>
      <c r="J1654">
        <v>0</v>
      </c>
      <c r="K1654" t="s">
        <v>743</v>
      </c>
      <c r="L1654" t="s">
        <v>1605</v>
      </c>
    </row>
    <row r="1655" spans="1:12">
      <c r="A1655">
        <v>1653</v>
      </c>
      <c r="B1655" t="s">
        <v>3</v>
      </c>
      <c r="C1655" t="s">
        <v>744</v>
      </c>
      <c r="D1655">
        <v>2020</v>
      </c>
      <c r="E1655">
        <v>2</v>
      </c>
      <c r="F1655">
        <v>28</v>
      </c>
      <c r="G1655">
        <v>2</v>
      </c>
      <c r="H1655">
        <v>10</v>
      </c>
      <c r="I1655">
        <v>0</v>
      </c>
      <c r="J1655">
        <v>19</v>
      </c>
      <c r="K1655" t="s">
        <v>743</v>
      </c>
      <c r="L1655" t="s">
        <v>1634</v>
      </c>
    </row>
    <row r="1656" spans="1:12">
      <c r="A1656">
        <v>1654</v>
      </c>
      <c r="B1656" t="s">
        <v>3</v>
      </c>
      <c r="C1656" t="s">
        <v>744</v>
      </c>
      <c r="D1656">
        <v>2020</v>
      </c>
      <c r="E1656">
        <v>2</v>
      </c>
      <c r="F1656">
        <v>40</v>
      </c>
      <c r="G1656">
        <v>2</v>
      </c>
      <c r="H1656">
        <v>10</v>
      </c>
      <c r="I1656">
        <v>0</v>
      </c>
      <c r="J1656">
        <v>0.67</v>
      </c>
      <c r="K1656" t="s">
        <v>743</v>
      </c>
      <c r="L1656" t="s">
        <v>1603</v>
      </c>
    </row>
    <row r="1657" spans="1:12">
      <c r="A1657">
        <v>1655</v>
      </c>
      <c r="B1657" t="s">
        <v>3</v>
      </c>
      <c r="C1657" t="s">
        <v>744</v>
      </c>
      <c r="D1657">
        <v>2020</v>
      </c>
      <c r="E1657">
        <v>2</v>
      </c>
      <c r="F1657">
        <v>40</v>
      </c>
      <c r="G1657">
        <v>2</v>
      </c>
      <c r="H1657">
        <v>10</v>
      </c>
      <c r="I1657">
        <v>0</v>
      </c>
      <c r="J1657">
        <v>0.67</v>
      </c>
      <c r="K1657" t="s">
        <v>743</v>
      </c>
      <c r="L1657" t="s">
        <v>1604</v>
      </c>
    </row>
    <row r="1658" spans="1:12">
      <c r="A1658">
        <v>1656</v>
      </c>
      <c r="B1658" t="s">
        <v>3</v>
      </c>
      <c r="C1658" t="s">
        <v>744</v>
      </c>
      <c r="D1658">
        <v>2020</v>
      </c>
      <c r="E1658">
        <v>2</v>
      </c>
      <c r="F1658">
        <v>41</v>
      </c>
      <c r="G1658">
        <v>2</v>
      </c>
      <c r="H1658">
        <v>10</v>
      </c>
      <c r="I1658">
        <v>0</v>
      </c>
      <c r="J1658">
        <v>0.12</v>
      </c>
      <c r="K1658" t="s">
        <v>743</v>
      </c>
      <c r="L1658" t="s">
        <v>1605</v>
      </c>
    </row>
    <row r="1659" spans="1:12">
      <c r="A1659">
        <v>1657</v>
      </c>
      <c r="B1659" t="s">
        <v>3</v>
      </c>
      <c r="C1659" t="s">
        <v>744</v>
      </c>
      <c r="D1659">
        <v>2020</v>
      </c>
      <c r="E1659">
        <v>3</v>
      </c>
      <c r="F1659">
        <v>8</v>
      </c>
      <c r="G1659">
        <v>2</v>
      </c>
      <c r="H1659">
        <v>14</v>
      </c>
      <c r="I1659">
        <v>0</v>
      </c>
      <c r="J1659">
        <v>-3483</v>
      </c>
      <c r="K1659" t="s">
        <v>743</v>
      </c>
      <c r="L1659" t="s">
        <v>1611</v>
      </c>
    </row>
    <row r="1660" spans="1:12">
      <c r="A1660">
        <v>1658</v>
      </c>
      <c r="B1660" t="s">
        <v>3</v>
      </c>
      <c r="C1660" t="s">
        <v>744</v>
      </c>
      <c r="D1660">
        <v>2020</v>
      </c>
      <c r="E1660">
        <v>3</v>
      </c>
      <c r="F1660">
        <v>25</v>
      </c>
      <c r="G1660">
        <v>2</v>
      </c>
      <c r="H1660">
        <v>14</v>
      </c>
      <c r="I1660">
        <v>0</v>
      </c>
      <c r="J1660">
        <v>57</v>
      </c>
      <c r="K1660" t="s">
        <v>743</v>
      </c>
      <c r="L1660" t="s">
        <v>1641</v>
      </c>
    </row>
    <row r="1661" spans="1:12">
      <c r="A1661">
        <v>1659</v>
      </c>
      <c r="B1661" t="s">
        <v>3</v>
      </c>
      <c r="C1661" t="s">
        <v>744</v>
      </c>
      <c r="D1661">
        <v>2020</v>
      </c>
      <c r="E1661">
        <v>3</v>
      </c>
      <c r="F1661">
        <v>28</v>
      </c>
      <c r="G1661">
        <v>2</v>
      </c>
      <c r="H1661">
        <v>14</v>
      </c>
      <c r="I1661">
        <v>0</v>
      </c>
      <c r="J1661">
        <v>25.9</v>
      </c>
      <c r="K1661" t="s">
        <v>743</v>
      </c>
      <c r="L1661" t="s">
        <v>1689</v>
      </c>
    </row>
    <row r="1662" spans="1:12">
      <c r="A1662">
        <v>1660</v>
      </c>
      <c r="B1662" t="s">
        <v>3</v>
      </c>
      <c r="C1662" t="s">
        <v>744</v>
      </c>
      <c r="D1662">
        <v>2020</v>
      </c>
      <c r="E1662">
        <v>3</v>
      </c>
      <c r="F1662">
        <v>28</v>
      </c>
      <c r="G1662">
        <v>2</v>
      </c>
      <c r="H1662">
        <v>14</v>
      </c>
      <c r="I1662">
        <v>0</v>
      </c>
      <c r="J1662">
        <v>12.95</v>
      </c>
      <c r="K1662" t="s">
        <v>743</v>
      </c>
      <c r="L1662" t="s">
        <v>1636</v>
      </c>
    </row>
    <row r="1663" spans="1:12">
      <c r="A1663">
        <v>1661</v>
      </c>
      <c r="B1663" t="s">
        <v>3</v>
      </c>
      <c r="C1663" t="s">
        <v>744</v>
      </c>
      <c r="D1663">
        <v>2020</v>
      </c>
      <c r="E1663">
        <v>3</v>
      </c>
      <c r="F1663">
        <v>28</v>
      </c>
      <c r="G1663">
        <v>2</v>
      </c>
      <c r="H1663">
        <v>14</v>
      </c>
      <c r="I1663">
        <v>0</v>
      </c>
      <c r="J1663">
        <v>14</v>
      </c>
      <c r="K1663" t="s">
        <v>743</v>
      </c>
      <c r="L1663" t="s">
        <v>1643</v>
      </c>
    </row>
    <row r="1664" spans="1:12">
      <c r="A1664">
        <v>1662</v>
      </c>
      <c r="B1664" t="s">
        <v>3</v>
      </c>
      <c r="C1664" t="s">
        <v>744</v>
      </c>
      <c r="D1664">
        <v>2020</v>
      </c>
      <c r="E1664">
        <v>3</v>
      </c>
      <c r="F1664">
        <v>28</v>
      </c>
      <c r="G1664">
        <v>2</v>
      </c>
      <c r="H1664">
        <v>14</v>
      </c>
      <c r="I1664">
        <v>0</v>
      </c>
      <c r="J1664">
        <v>938.5</v>
      </c>
      <c r="K1664" t="s">
        <v>743</v>
      </c>
      <c r="L1664" t="s">
        <v>1634</v>
      </c>
    </row>
    <row r="1665" spans="1:12">
      <c r="A1665">
        <v>1663</v>
      </c>
      <c r="B1665" t="s">
        <v>3</v>
      </c>
      <c r="C1665" t="s">
        <v>744</v>
      </c>
      <c r="D1665">
        <v>2020</v>
      </c>
      <c r="E1665">
        <v>3</v>
      </c>
      <c r="F1665">
        <v>40</v>
      </c>
      <c r="G1665">
        <v>2</v>
      </c>
      <c r="H1665">
        <v>14</v>
      </c>
      <c r="I1665">
        <v>0</v>
      </c>
      <c r="J1665">
        <v>37.000000000000007</v>
      </c>
      <c r="K1665" t="s">
        <v>743</v>
      </c>
      <c r="L1665" t="s">
        <v>1603</v>
      </c>
    </row>
    <row r="1666" spans="1:12">
      <c r="A1666">
        <v>1664</v>
      </c>
      <c r="B1666" t="s">
        <v>3</v>
      </c>
      <c r="C1666" t="s">
        <v>744</v>
      </c>
      <c r="D1666">
        <v>2020</v>
      </c>
      <c r="E1666">
        <v>3</v>
      </c>
      <c r="F1666">
        <v>40</v>
      </c>
      <c r="G1666">
        <v>2</v>
      </c>
      <c r="H1666">
        <v>14</v>
      </c>
      <c r="I1666">
        <v>0</v>
      </c>
      <c r="J1666">
        <v>37.01</v>
      </c>
      <c r="K1666" t="s">
        <v>743</v>
      </c>
      <c r="L1666" t="s">
        <v>1604</v>
      </c>
    </row>
    <row r="1667" spans="1:12">
      <c r="A1667">
        <v>1665</v>
      </c>
      <c r="B1667" t="s">
        <v>3</v>
      </c>
      <c r="C1667" t="s">
        <v>744</v>
      </c>
      <c r="D1667">
        <v>2020</v>
      </c>
      <c r="E1667">
        <v>3</v>
      </c>
      <c r="F1667">
        <v>41</v>
      </c>
      <c r="G1667">
        <v>2</v>
      </c>
      <c r="H1667">
        <v>14</v>
      </c>
      <c r="I1667">
        <v>0</v>
      </c>
      <c r="J1667">
        <v>6.51</v>
      </c>
      <c r="K1667" t="s">
        <v>743</v>
      </c>
      <c r="L1667" t="s">
        <v>1605</v>
      </c>
    </row>
    <row r="1668" spans="1:12">
      <c r="A1668">
        <v>1666</v>
      </c>
      <c r="B1668" t="s">
        <v>3</v>
      </c>
      <c r="C1668" t="s">
        <v>744</v>
      </c>
      <c r="D1668">
        <v>2020</v>
      </c>
      <c r="E1668">
        <v>4</v>
      </c>
      <c r="F1668">
        <v>25</v>
      </c>
      <c r="G1668">
        <v>2</v>
      </c>
      <c r="H1668">
        <v>18</v>
      </c>
      <c r="I1668">
        <v>0</v>
      </c>
      <c r="J1668">
        <v>76</v>
      </c>
      <c r="K1668" t="s">
        <v>743</v>
      </c>
      <c r="L1668" t="s">
        <v>1641</v>
      </c>
    </row>
    <row r="1669" spans="1:12">
      <c r="A1669">
        <v>1667</v>
      </c>
      <c r="B1669" t="s">
        <v>3</v>
      </c>
      <c r="C1669" t="s">
        <v>744</v>
      </c>
      <c r="D1669">
        <v>2020</v>
      </c>
      <c r="E1669">
        <v>4</v>
      </c>
      <c r="F1669">
        <v>28</v>
      </c>
      <c r="G1669">
        <v>2</v>
      </c>
      <c r="H1669">
        <v>18</v>
      </c>
      <c r="I1669">
        <v>0</v>
      </c>
      <c r="J1669">
        <v>12.95</v>
      </c>
      <c r="K1669" t="s">
        <v>743</v>
      </c>
      <c r="L1669" t="s">
        <v>1689</v>
      </c>
    </row>
    <row r="1670" spans="1:12">
      <c r="A1670">
        <v>1668</v>
      </c>
      <c r="B1670" t="s">
        <v>3</v>
      </c>
      <c r="C1670" t="s">
        <v>744</v>
      </c>
      <c r="D1670">
        <v>2020</v>
      </c>
      <c r="E1670">
        <v>4</v>
      </c>
      <c r="F1670">
        <v>28</v>
      </c>
      <c r="G1670">
        <v>2</v>
      </c>
      <c r="H1670">
        <v>18</v>
      </c>
      <c r="I1670">
        <v>0</v>
      </c>
      <c r="J1670">
        <v>38.849999999999994</v>
      </c>
      <c r="K1670" t="s">
        <v>743</v>
      </c>
      <c r="L1670" t="s">
        <v>1681</v>
      </c>
    </row>
    <row r="1671" spans="1:12">
      <c r="A1671">
        <v>1669</v>
      </c>
      <c r="B1671" t="s">
        <v>3</v>
      </c>
      <c r="C1671" t="s">
        <v>744</v>
      </c>
      <c r="D1671">
        <v>2020</v>
      </c>
      <c r="E1671">
        <v>4</v>
      </c>
      <c r="F1671">
        <v>28</v>
      </c>
      <c r="G1671">
        <v>2</v>
      </c>
      <c r="H1671">
        <v>18</v>
      </c>
      <c r="I1671">
        <v>0</v>
      </c>
      <c r="J1671">
        <v>1473.85</v>
      </c>
      <c r="K1671" t="s">
        <v>743</v>
      </c>
      <c r="L1671" t="s">
        <v>1634</v>
      </c>
    </row>
    <row r="1672" spans="1:12">
      <c r="A1672">
        <v>1670</v>
      </c>
      <c r="B1672" t="s">
        <v>3</v>
      </c>
      <c r="C1672" t="s">
        <v>744</v>
      </c>
      <c r="D1672">
        <v>2020</v>
      </c>
      <c r="E1672">
        <v>4</v>
      </c>
      <c r="F1672">
        <v>40</v>
      </c>
      <c r="G1672">
        <v>2</v>
      </c>
      <c r="H1672">
        <v>18</v>
      </c>
      <c r="I1672">
        <v>0</v>
      </c>
      <c r="J1672">
        <v>56.539999999999992</v>
      </c>
      <c r="K1672" t="s">
        <v>743</v>
      </c>
      <c r="L1672" t="s">
        <v>1603</v>
      </c>
    </row>
    <row r="1673" spans="1:12">
      <c r="A1673">
        <v>1671</v>
      </c>
      <c r="B1673" t="s">
        <v>3</v>
      </c>
      <c r="C1673" t="s">
        <v>744</v>
      </c>
      <c r="D1673">
        <v>2020</v>
      </c>
      <c r="E1673">
        <v>4</v>
      </c>
      <c r="F1673">
        <v>40</v>
      </c>
      <c r="G1673">
        <v>2</v>
      </c>
      <c r="H1673">
        <v>18</v>
      </c>
      <c r="I1673">
        <v>0</v>
      </c>
      <c r="J1673">
        <v>56.54</v>
      </c>
      <c r="K1673" t="s">
        <v>743</v>
      </c>
      <c r="L1673" t="s">
        <v>1604</v>
      </c>
    </row>
    <row r="1674" spans="1:12">
      <c r="A1674">
        <v>1672</v>
      </c>
      <c r="B1674" t="s">
        <v>3</v>
      </c>
      <c r="C1674" t="s">
        <v>744</v>
      </c>
      <c r="D1674">
        <v>2020</v>
      </c>
      <c r="E1674">
        <v>4</v>
      </c>
      <c r="F1674">
        <v>41</v>
      </c>
      <c r="G1674">
        <v>2</v>
      </c>
      <c r="H1674">
        <v>18</v>
      </c>
      <c r="I1674">
        <v>0</v>
      </c>
      <c r="J1674">
        <v>9.93</v>
      </c>
      <c r="K1674" t="s">
        <v>743</v>
      </c>
      <c r="L1674" t="s">
        <v>1605</v>
      </c>
    </row>
    <row r="1675" spans="1:12">
      <c r="A1675">
        <v>1673</v>
      </c>
      <c r="B1675" t="s">
        <v>3</v>
      </c>
      <c r="C1675" t="s">
        <v>744</v>
      </c>
      <c r="D1675">
        <v>2020</v>
      </c>
      <c r="E1675">
        <v>4</v>
      </c>
      <c r="F1675">
        <v>45</v>
      </c>
      <c r="G1675">
        <v>2</v>
      </c>
      <c r="H1675">
        <v>18</v>
      </c>
      <c r="I1675">
        <v>0</v>
      </c>
      <c r="J1675">
        <v>4091.01</v>
      </c>
      <c r="K1675" t="s">
        <v>743</v>
      </c>
      <c r="L1675" t="s">
        <v>1606</v>
      </c>
    </row>
    <row r="1676" spans="1:12">
      <c r="A1676">
        <v>1674</v>
      </c>
      <c r="B1676" t="s">
        <v>3</v>
      </c>
      <c r="C1676" t="s">
        <v>750</v>
      </c>
      <c r="D1676">
        <v>2017</v>
      </c>
      <c r="E1676">
        <v>1</v>
      </c>
      <c r="F1676">
        <v>8</v>
      </c>
      <c r="G1676">
        <v>5</v>
      </c>
      <c r="H1676">
        <v>9</v>
      </c>
      <c r="I1676">
        <v>-208840</v>
      </c>
      <c r="J1676">
        <v>-104420</v>
      </c>
      <c r="K1676" t="s">
        <v>749</v>
      </c>
      <c r="L1676" t="s">
        <v>1599</v>
      </c>
    </row>
    <row r="1677" spans="1:12">
      <c r="A1677">
        <v>1675</v>
      </c>
      <c r="B1677" t="s">
        <v>3</v>
      </c>
      <c r="C1677" t="s">
        <v>750</v>
      </c>
      <c r="D1677">
        <v>2017</v>
      </c>
      <c r="E1677">
        <v>1</v>
      </c>
      <c r="F1677">
        <v>16</v>
      </c>
      <c r="G1677">
        <v>5</v>
      </c>
      <c r="H1677">
        <v>9</v>
      </c>
      <c r="I1677">
        <v>137996</v>
      </c>
      <c r="J1677">
        <v>0</v>
      </c>
      <c r="K1677" t="s">
        <v>749</v>
      </c>
      <c r="L1677" t="s">
        <v>1690</v>
      </c>
    </row>
    <row r="1678" spans="1:12">
      <c r="A1678">
        <v>1676</v>
      </c>
      <c r="B1678" t="s">
        <v>3</v>
      </c>
      <c r="C1678" t="s">
        <v>750</v>
      </c>
      <c r="D1678">
        <v>2017</v>
      </c>
      <c r="E1678">
        <v>1</v>
      </c>
      <c r="F1678">
        <v>16</v>
      </c>
      <c r="G1678">
        <v>5</v>
      </c>
      <c r="H1678">
        <v>9</v>
      </c>
      <c r="I1678">
        <v>0</v>
      </c>
      <c r="J1678">
        <v>25294.5</v>
      </c>
      <c r="K1678" t="s">
        <v>749</v>
      </c>
      <c r="L1678" t="s">
        <v>1691</v>
      </c>
    </row>
    <row r="1679" spans="1:12">
      <c r="A1679">
        <v>1677</v>
      </c>
      <c r="B1679" t="s">
        <v>3</v>
      </c>
      <c r="C1679" t="s">
        <v>750</v>
      </c>
      <c r="D1679">
        <v>2017</v>
      </c>
      <c r="E1679">
        <v>1</v>
      </c>
      <c r="F1679">
        <v>16</v>
      </c>
      <c r="G1679">
        <v>5</v>
      </c>
      <c r="H1679">
        <v>9</v>
      </c>
      <c r="I1679">
        <v>0</v>
      </c>
      <c r="J1679">
        <v>2370</v>
      </c>
      <c r="K1679" t="s">
        <v>749</v>
      </c>
      <c r="L1679" t="s">
        <v>1692</v>
      </c>
    </row>
    <row r="1680" spans="1:12">
      <c r="A1680">
        <v>1678</v>
      </c>
      <c r="B1680" t="s">
        <v>3</v>
      </c>
      <c r="C1680" t="s">
        <v>750</v>
      </c>
      <c r="D1680">
        <v>2017</v>
      </c>
      <c r="E1680">
        <v>1</v>
      </c>
      <c r="F1680">
        <v>19</v>
      </c>
      <c r="G1680">
        <v>5</v>
      </c>
      <c r="H1680">
        <v>9</v>
      </c>
      <c r="I1680">
        <v>52024</v>
      </c>
      <c r="J1680">
        <v>0</v>
      </c>
      <c r="K1680" t="s">
        <v>749</v>
      </c>
      <c r="L1680" t="s">
        <v>1693</v>
      </c>
    </row>
    <row r="1681" spans="1:12">
      <c r="A1681">
        <v>1679</v>
      </c>
      <c r="B1681" t="s">
        <v>3</v>
      </c>
      <c r="C1681" t="s">
        <v>750</v>
      </c>
      <c r="D1681">
        <v>2017</v>
      </c>
      <c r="E1681">
        <v>1</v>
      </c>
      <c r="F1681">
        <v>19</v>
      </c>
      <c r="G1681">
        <v>5</v>
      </c>
      <c r="H1681">
        <v>9</v>
      </c>
      <c r="I1681">
        <v>0</v>
      </c>
      <c r="J1681">
        <v>9536.0299999999988</v>
      </c>
      <c r="K1681" t="s">
        <v>749</v>
      </c>
      <c r="L1681" t="s">
        <v>1694</v>
      </c>
    </row>
    <row r="1682" spans="1:12">
      <c r="A1682">
        <v>1680</v>
      </c>
      <c r="B1682" t="s">
        <v>3</v>
      </c>
      <c r="C1682" t="s">
        <v>750</v>
      </c>
      <c r="D1682">
        <v>2017</v>
      </c>
      <c r="E1682">
        <v>1</v>
      </c>
      <c r="F1682">
        <v>19</v>
      </c>
      <c r="G1682">
        <v>5</v>
      </c>
      <c r="H1682">
        <v>9</v>
      </c>
      <c r="I1682">
        <v>0</v>
      </c>
      <c r="J1682">
        <v>362.62</v>
      </c>
      <c r="K1682" t="s">
        <v>749</v>
      </c>
      <c r="L1682" t="s">
        <v>1659</v>
      </c>
    </row>
    <row r="1683" spans="1:12">
      <c r="A1683">
        <v>1681</v>
      </c>
      <c r="B1683" t="s">
        <v>3</v>
      </c>
      <c r="C1683" t="s">
        <v>750</v>
      </c>
      <c r="D1683">
        <v>2017</v>
      </c>
      <c r="E1683">
        <v>1</v>
      </c>
      <c r="F1683">
        <v>25</v>
      </c>
      <c r="G1683">
        <v>5</v>
      </c>
      <c r="H1683">
        <v>9</v>
      </c>
      <c r="I1683">
        <v>0</v>
      </c>
      <c r="J1683">
        <v>244.14</v>
      </c>
      <c r="K1683" t="s">
        <v>749</v>
      </c>
      <c r="L1683" t="s">
        <v>1616</v>
      </c>
    </row>
    <row r="1684" spans="1:12">
      <c r="A1684">
        <v>1682</v>
      </c>
      <c r="B1684" t="s">
        <v>3</v>
      </c>
      <c r="C1684" t="s">
        <v>750</v>
      </c>
      <c r="D1684">
        <v>2017</v>
      </c>
      <c r="E1684">
        <v>1</v>
      </c>
      <c r="F1684">
        <v>25</v>
      </c>
      <c r="G1684">
        <v>5</v>
      </c>
      <c r="H1684">
        <v>9</v>
      </c>
      <c r="I1684">
        <v>0</v>
      </c>
      <c r="J1684">
        <v>0</v>
      </c>
      <c r="K1684" t="s">
        <v>749</v>
      </c>
      <c r="L1684" t="s">
        <v>1695</v>
      </c>
    </row>
    <row r="1685" spans="1:12">
      <c r="A1685">
        <v>1683</v>
      </c>
      <c r="B1685" t="s">
        <v>3</v>
      </c>
      <c r="C1685" t="s">
        <v>750</v>
      </c>
      <c r="D1685">
        <v>2017</v>
      </c>
      <c r="E1685">
        <v>1</v>
      </c>
      <c r="F1685">
        <v>28</v>
      </c>
      <c r="G1685">
        <v>5</v>
      </c>
      <c r="H1685">
        <v>9</v>
      </c>
      <c r="I1685">
        <v>0</v>
      </c>
      <c r="J1685">
        <v>42.2</v>
      </c>
      <c r="K1685" t="s">
        <v>749</v>
      </c>
      <c r="L1685" t="s">
        <v>1636</v>
      </c>
    </row>
    <row r="1686" spans="1:12">
      <c r="A1686">
        <v>1684</v>
      </c>
      <c r="B1686" t="s">
        <v>3</v>
      </c>
      <c r="C1686" t="s">
        <v>750</v>
      </c>
      <c r="D1686">
        <v>2017</v>
      </c>
      <c r="E1686">
        <v>1</v>
      </c>
      <c r="F1686">
        <v>29</v>
      </c>
      <c r="G1686">
        <v>5</v>
      </c>
      <c r="H1686">
        <v>9</v>
      </c>
      <c r="I1686">
        <v>0</v>
      </c>
      <c r="J1686">
        <v>0</v>
      </c>
      <c r="K1686" t="s">
        <v>749</v>
      </c>
      <c r="L1686" t="s">
        <v>1630</v>
      </c>
    </row>
    <row r="1687" spans="1:12">
      <c r="A1687">
        <v>1685</v>
      </c>
      <c r="B1687" t="s">
        <v>3</v>
      </c>
      <c r="C1687" t="s">
        <v>750</v>
      </c>
      <c r="D1687">
        <v>2017</v>
      </c>
      <c r="E1687">
        <v>1</v>
      </c>
      <c r="F1687">
        <v>29</v>
      </c>
      <c r="G1687">
        <v>5</v>
      </c>
      <c r="H1687">
        <v>9</v>
      </c>
      <c r="I1687">
        <v>0</v>
      </c>
      <c r="J1687">
        <v>276</v>
      </c>
      <c r="K1687" t="s">
        <v>749</v>
      </c>
      <c r="L1687" t="s">
        <v>1673</v>
      </c>
    </row>
    <row r="1688" spans="1:12">
      <c r="A1688">
        <v>1686</v>
      </c>
      <c r="B1688" t="s">
        <v>3</v>
      </c>
      <c r="C1688" t="s">
        <v>750</v>
      </c>
      <c r="D1688">
        <v>2017</v>
      </c>
      <c r="E1688">
        <v>1</v>
      </c>
      <c r="F1688">
        <v>32</v>
      </c>
      <c r="G1688">
        <v>5</v>
      </c>
      <c r="H1688">
        <v>9</v>
      </c>
      <c r="I1688">
        <v>6000</v>
      </c>
      <c r="J1688">
        <v>0</v>
      </c>
      <c r="K1688" t="s">
        <v>749</v>
      </c>
      <c r="L1688" t="s">
        <v>1649</v>
      </c>
    </row>
    <row r="1689" spans="1:12">
      <c r="A1689">
        <v>1687</v>
      </c>
      <c r="B1689" t="s">
        <v>3</v>
      </c>
      <c r="C1689" t="s">
        <v>750</v>
      </c>
      <c r="D1689">
        <v>2017</v>
      </c>
      <c r="E1689">
        <v>1</v>
      </c>
      <c r="F1689">
        <v>40</v>
      </c>
      <c r="G1689">
        <v>5</v>
      </c>
      <c r="H1689">
        <v>9</v>
      </c>
      <c r="I1689">
        <v>11840</v>
      </c>
      <c r="J1689">
        <v>1151.3899999999999</v>
      </c>
      <c r="K1689" t="s">
        <v>749</v>
      </c>
      <c r="L1689" t="s">
        <v>1603</v>
      </c>
    </row>
    <row r="1690" spans="1:12">
      <c r="A1690">
        <v>1688</v>
      </c>
      <c r="B1690" t="s">
        <v>3</v>
      </c>
      <c r="C1690" t="s">
        <v>750</v>
      </c>
      <c r="D1690">
        <v>2017</v>
      </c>
      <c r="E1690">
        <v>1</v>
      </c>
      <c r="F1690">
        <v>40</v>
      </c>
      <c r="G1690">
        <v>5</v>
      </c>
      <c r="H1690">
        <v>9</v>
      </c>
      <c r="I1690">
        <v>0</v>
      </c>
      <c r="J1690">
        <v>1151.4000000000001</v>
      </c>
      <c r="K1690" t="s">
        <v>749</v>
      </c>
      <c r="L1690" t="s">
        <v>1604</v>
      </c>
    </row>
    <row r="1691" spans="1:12">
      <c r="A1691">
        <v>1689</v>
      </c>
      <c r="B1691" t="s">
        <v>3</v>
      </c>
      <c r="C1691" t="s">
        <v>750</v>
      </c>
      <c r="D1691">
        <v>2017</v>
      </c>
      <c r="E1691">
        <v>1</v>
      </c>
      <c r="F1691">
        <v>41</v>
      </c>
      <c r="G1691">
        <v>5</v>
      </c>
      <c r="H1691">
        <v>9</v>
      </c>
      <c r="I1691">
        <v>980</v>
      </c>
      <c r="J1691">
        <v>190.63</v>
      </c>
      <c r="K1691" t="s">
        <v>749</v>
      </c>
      <c r="L1691" t="s">
        <v>1605</v>
      </c>
    </row>
    <row r="1692" spans="1:12">
      <c r="A1692">
        <v>1690</v>
      </c>
      <c r="B1692" t="s">
        <v>3</v>
      </c>
      <c r="C1692" t="s">
        <v>750</v>
      </c>
      <c r="D1692">
        <v>2017</v>
      </c>
      <c r="E1692">
        <v>2</v>
      </c>
      <c r="F1692">
        <v>16</v>
      </c>
      <c r="G1692">
        <v>5</v>
      </c>
      <c r="H1692">
        <v>13</v>
      </c>
      <c r="I1692">
        <v>0</v>
      </c>
      <c r="J1692">
        <v>25440.81</v>
      </c>
      <c r="K1692" t="s">
        <v>749</v>
      </c>
      <c r="L1692" t="s">
        <v>1691</v>
      </c>
    </row>
    <row r="1693" spans="1:12">
      <c r="A1693">
        <v>1691</v>
      </c>
      <c r="B1693" t="s">
        <v>3</v>
      </c>
      <c r="C1693" t="s">
        <v>750</v>
      </c>
      <c r="D1693">
        <v>2017</v>
      </c>
      <c r="E1693">
        <v>2</v>
      </c>
      <c r="F1693">
        <v>16</v>
      </c>
      <c r="G1693">
        <v>5</v>
      </c>
      <c r="H1693">
        <v>13</v>
      </c>
      <c r="I1693">
        <v>0</v>
      </c>
      <c r="J1693">
        <v>990</v>
      </c>
      <c r="K1693" t="s">
        <v>749</v>
      </c>
      <c r="L1693" t="s">
        <v>1692</v>
      </c>
    </row>
    <row r="1694" spans="1:12">
      <c r="A1694">
        <v>1692</v>
      </c>
      <c r="B1694" t="s">
        <v>3</v>
      </c>
      <c r="C1694" t="s">
        <v>750</v>
      </c>
      <c r="D1694">
        <v>2017</v>
      </c>
      <c r="E1694">
        <v>2</v>
      </c>
      <c r="F1694">
        <v>19</v>
      </c>
      <c r="G1694">
        <v>5</v>
      </c>
      <c r="H1694">
        <v>13</v>
      </c>
      <c r="I1694">
        <v>0</v>
      </c>
      <c r="J1694">
        <v>9591.19</v>
      </c>
      <c r="K1694" t="s">
        <v>749</v>
      </c>
      <c r="L1694" t="s">
        <v>1694</v>
      </c>
    </row>
    <row r="1695" spans="1:12">
      <c r="A1695">
        <v>1693</v>
      </c>
      <c r="B1695" t="s">
        <v>3</v>
      </c>
      <c r="C1695" t="s">
        <v>750</v>
      </c>
      <c r="D1695">
        <v>2017</v>
      </c>
      <c r="E1695">
        <v>2</v>
      </c>
      <c r="F1695">
        <v>19</v>
      </c>
      <c r="G1695">
        <v>5</v>
      </c>
      <c r="H1695">
        <v>13</v>
      </c>
      <c r="I1695">
        <v>0</v>
      </c>
      <c r="J1695">
        <v>151.47</v>
      </c>
      <c r="K1695" t="s">
        <v>749</v>
      </c>
      <c r="L1695" t="s">
        <v>1659</v>
      </c>
    </row>
    <row r="1696" spans="1:12">
      <c r="A1696">
        <v>1694</v>
      </c>
      <c r="B1696" t="s">
        <v>3</v>
      </c>
      <c r="C1696" t="s">
        <v>750</v>
      </c>
      <c r="D1696">
        <v>2017</v>
      </c>
      <c r="E1696">
        <v>2</v>
      </c>
      <c r="F1696">
        <v>25</v>
      </c>
      <c r="G1696">
        <v>5</v>
      </c>
      <c r="H1696">
        <v>13</v>
      </c>
      <c r="I1696">
        <v>0</v>
      </c>
      <c r="J1696">
        <v>244.14</v>
      </c>
      <c r="K1696" t="s">
        <v>749</v>
      </c>
      <c r="L1696" t="s">
        <v>1616</v>
      </c>
    </row>
    <row r="1697" spans="1:12">
      <c r="A1697">
        <v>1695</v>
      </c>
      <c r="B1697" t="s">
        <v>3</v>
      </c>
      <c r="C1697" t="s">
        <v>750</v>
      </c>
      <c r="D1697">
        <v>2017</v>
      </c>
      <c r="E1697">
        <v>2</v>
      </c>
      <c r="F1697">
        <v>25</v>
      </c>
      <c r="G1697">
        <v>5</v>
      </c>
      <c r="H1697">
        <v>13</v>
      </c>
      <c r="I1697">
        <v>0</v>
      </c>
      <c r="J1697">
        <v>200</v>
      </c>
      <c r="K1697" t="s">
        <v>749</v>
      </c>
      <c r="L1697" t="s">
        <v>1696</v>
      </c>
    </row>
    <row r="1698" spans="1:12">
      <c r="A1698">
        <v>1696</v>
      </c>
      <c r="B1698" t="s">
        <v>3</v>
      </c>
      <c r="C1698" t="s">
        <v>750</v>
      </c>
      <c r="D1698">
        <v>2017</v>
      </c>
      <c r="E1698">
        <v>2</v>
      </c>
      <c r="F1698">
        <v>40</v>
      </c>
      <c r="G1698">
        <v>5</v>
      </c>
      <c r="H1698">
        <v>13</v>
      </c>
      <c r="I1698">
        <v>0</v>
      </c>
      <c r="J1698">
        <v>1105.8599999999999</v>
      </c>
      <c r="K1698" t="s">
        <v>749</v>
      </c>
      <c r="L1698" t="s">
        <v>1603</v>
      </c>
    </row>
    <row r="1699" spans="1:12">
      <c r="A1699">
        <v>1697</v>
      </c>
      <c r="B1699" t="s">
        <v>3</v>
      </c>
      <c r="C1699" t="s">
        <v>750</v>
      </c>
      <c r="D1699">
        <v>2017</v>
      </c>
      <c r="E1699">
        <v>2</v>
      </c>
      <c r="F1699">
        <v>40</v>
      </c>
      <c r="G1699">
        <v>5</v>
      </c>
      <c r="H1699">
        <v>13</v>
      </c>
      <c r="I1699">
        <v>0</v>
      </c>
      <c r="J1699">
        <v>1105.8499999999999</v>
      </c>
      <c r="K1699" t="s">
        <v>749</v>
      </c>
      <c r="L1699" t="s">
        <v>1604</v>
      </c>
    </row>
    <row r="1700" spans="1:12">
      <c r="A1700">
        <v>1698</v>
      </c>
      <c r="B1700" t="s">
        <v>3</v>
      </c>
      <c r="C1700" t="s">
        <v>750</v>
      </c>
      <c r="D1700">
        <v>2017</v>
      </c>
      <c r="E1700">
        <v>2</v>
      </c>
      <c r="F1700">
        <v>41</v>
      </c>
      <c r="G1700">
        <v>5</v>
      </c>
      <c r="H1700">
        <v>13</v>
      </c>
      <c r="I1700">
        <v>0</v>
      </c>
      <c r="J1700">
        <v>183.08999999999997</v>
      </c>
      <c r="K1700" t="s">
        <v>749</v>
      </c>
      <c r="L1700" t="s">
        <v>1605</v>
      </c>
    </row>
    <row r="1701" spans="1:12">
      <c r="A1701">
        <v>1699</v>
      </c>
      <c r="B1701" t="s">
        <v>3</v>
      </c>
      <c r="C1701" t="s">
        <v>750</v>
      </c>
      <c r="D1701">
        <v>2017</v>
      </c>
      <c r="E1701">
        <v>3</v>
      </c>
      <c r="F1701">
        <v>8</v>
      </c>
      <c r="G1701">
        <v>5</v>
      </c>
      <c r="H1701">
        <v>17</v>
      </c>
      <c r="I1701">
        <v>0</v>
      </c>
      <c r="J1701">
        <v>-104420</v>
      </c>
      <c r="K1701" t="s">
        <v>749</v>
      </c>
      <c r="L1701" t="s">
        <v>1599</v>
      </c>
    </row>
    <row r="1702" spans="1:12">
      <c r="A1702">
        <v>1700</v>
      </c>
      <c r="B1702" t="s">
        <v>3</v>
      </c>
      <c r="C1702" t="s">
        <v>750</v>
      </c>
      <c r="D1702">
        <v>2017</v>
      </c>
      <c r="E1702">
        <v>3</v>
      </c>
      <c r="F1702">
        <v>16</v>
      </c>
      <c r="G1702">
        <v>5</v>
      </c>
      <c r="H1702">
        <v>17</v>
      </c>
      <c r="I1702">
        <v>0</v>
      </c>
      <c r="J1702">
        <v>22327.15</v>
      </c>
      <c r="K1702" t="s">
        <v>749</v>
      </c>
      <c r="L1702" t="s">
        <v>1691</v>
      </c>
    </row>
    <row r="1703" spans="1:12">
      <c r="A1703">
        <v>1701</v>
      </c>
      <c r="B1703" t="s">
        <v>3</v>
      </c>
      <c r="C1703" t="s">
        <v>750</v>
      </c>
      <c r="D1703">
        <v>2017</v>
      </c>
      <c r="E1703">
        <v>3</v>
      </c>
      <c r="F1703">
        <v>16</v>
      </c>
      <c r="G1703">
        <v>5</v>
      </c>
      <c r="H1703">
        <v>17</v>
      </c>
      <c r="I1703">
        <v>0</v>
      </c>
      <c r="J1703">
        <v>3320</v>
      </c>
      <c r="K1703" t="s">
        <v>749</v>
      </c>
      <c r="L1703" t="s">
        <v>1692</v>
      </c>
    </row>
    <row r="1704" spans="1:12">
      <c r="A1704">
        <v>1702</v>
      </c>
      <c r="B1704" t="s">
        <v>3</v>
      </c>
      <c r="C1704" t="s">
        <v>750</v>
      </c>
      <c r="D1704">
        <v>2017</v>
      </c>
      <c r="E1704">
        <v>3</v>
      </c>
      <c r="F1704">
        <v>19</v>
      </c>
      <c r="G1704">
        <v>5</v>
      </c>
      <c r="H1704">
        <v>17</v>
      </c>
      <c r="I1704">
        <v>0</v>
      </c>
      <c r="J1704">
        <v>8417.33</v>
      </c>
      <c r="K1704" t="s">
        <v>749</v>
      </c>
      <c r="L1704" t="s">
        <v>1694</v>
      </c>
    </row>
    <row r="1705" spans="1:12">
      <c r="A1705">
        <v>1703</v>
      </c>
      <c r="B1705" t="s">
        <v>3</v>
      </c>
      <c r="C1705" t="s">
        <v>750</v>
      </c>
      <c r="D1705">
        <v>2017</v>
      </c>
      <c r="E1705">
        <v>3</v>
      </c>
      <c r="F1705">
        <v>19</v>
      </c>
      <c r="G1705">
        <v>5</v>
      </c>
      <c r="H1705">
        <v>17</v>
      </c>
      <c r="I1705">
        <v>0</v>
      </c>
      <c r="J1705">
        <v>507.96</v>
      </c>
      <c r="K1705" t="s">
        <v>749</v>
      </c>
      <c r="L1705" t="s">
        <v>1659</v>
      </c>
    </row>
    <row r="1706" spans="1:12">
      <c r="A1706">
        <v>1704</v>
      </c>
      <c r="B1706" t="s">
        <v>3</v>
      </c>
      <c r="C1706" t="s">
        <v>750</v>
      </c>
      <c r="D1706">
        <v>2017</v>
      </c>
      <c r="E1706">
        <v>3</v>
      </c>
      <c r="F1706">
        <v>25</v>
      </c>
      <c r="G1706">
        <v>5</v>
      </c>
      <c r="H1706">
        <v>17</v>
      </c>
      <c r="I1706">
        <v>0</v>
      </c>
      <c r="J1706">
        <v>244.14</v>
      </c>
      <c r="K1706" t="s">
        <v>749</v>
      </c>
      <c r="L1706" t="s">
        <v>1616</v>
      </c>
    </row>
    <row r="1707" spans="1:12">
      <c r="A1707">
        <v>1705</v>
      </c>
      <c r="B1707" t="s">
        <v>3</v>
      </c>
      <c r="C1707" t="s">
        <v>750</v>
      </c>
      <c r="D1707">
        <v>2017</v>
      </c>
      <c r="E1707">
        <v>3</v>
      </c>
      <c r="F1707">
        <v>25</v>
      </c>
      <c r="G1707">
        <v>5</v>
      </c>
      <c r="H1707">
        <v>17</v>
      </c>
      <c r="I1707">
        <v>0</v>
      </c>
      <c r="J1707">
        <v>200</v>
      </c>
      <c r="K1707" t="s">
        <v>749</v>
      </c>
      <c r="L1707" t="s">
        <v>1696</v>
      </c>
    </row>
    <row r="1708" spans="1:12">
      <c r="A1708">
        <v>1706</v>
      </c>
      <c r="B1708" t="s">
        <v>3</v>
      </c>
      <c r="C1708" t="s">
        <v>750</v>
      </c>
      <c r="D1708">
        <v>2017</v>
      </c>
      <c r="E1708">
        <v>3</v>
      </c>
      <c r="F1708">
        <v>29</v>
      </c>
      <c r="G1708">
        <v>5</v>
      </c>
      <c r="H1708">
        <v>17</v>
      </c>
      <c r="I1708">
        <v>0</v>
      </c>
      <c r="J1708">
        <v>725</v>
      </c>
      <c r="K1708" t="s">
        <v>749</v>
      </c>
      <c r="L1708" t="s">
        <v>1653</v>
      </c>
    </row>
    <row r="1709" spans="1:12">
      <c r="A1709">
        <v>1707</v>
      </c>
      <c r="B1709" t="s">
        <v>3</v>
      </c>
      <c r="C1709" t="s">
        <v>750</v>
      </c>
      <c r="D1709">
        <v>2017</v>
      </c>
      <c r="E1709">
        <v>3</v>
      </c>
      <c r="F1709">
        <v>32</v>
      </c>
      <c r="G1709">
        <v>5</v>
      </c>
      <c r="H1709">
        <v>17</v>
      </c>
      <c r="I1709">
        <v>0</v>
      </c>
      <c r="J1709">
        <v>702.61</v>
      </c>
      <c r="K1709" t="s">
        <v>749</v>
      </c>
      <c r="L1709" t="s">
        <v>1651</v>
      </c>
    </row>
    <row r="1710" spans="1:12">
      <c r="A1710">
        <v>1708</v>
      </c>
      <c r="B1710" t="s">
        <v>3</v>
      </c>
      <c r="C1710" t="s">
        <v>750</v>
      </c>
      <c r="D1710">
        <v>2017</v>
      </c>
      <c r="E1710">
        <v>3</v>
      </c>
      <c r="F1710">
        <v>40</v>
      </c>
      <c r="G1710">
        <v>5</v>
      </c>
      <c r="H1710">
        <v>17</v>
      </c>
      <c r="I1710">
        <v>0</v>
      </c>
      <c r="J1710">
        <v>1100.6099999999999</v>
      </c>
      <c r="K1710" t="s">
        <v>749</v>
      </c>
      <c r="L1710" t="s">
        <v>1603</v>
      </c>
    </row>
    <row r="1711" spans="1:12">
      <c r="A1711">
        <v>1709</v>
      </c>
      <c r="B1711" t="s">
        <v>3</v>
      </c>
      <c r="C1711" t="s">
        <v>750</v>
      </c>
      <c r="D1711">
        <v>2017</v>
      </c>
      <c r="E1711">
        <v>3</v>
      </c>
      <c r="F1711">
        <v>40</v>
      </c>
      <c r="G1711">
        <v>5</v>
      </c>
      <c r="H1711">
        <v>17</v>
      </c>
      <c r="I1711">
        <v>0</v>
      </c>
      <c r="J1711">
        <v>1100.6199999999999</v>
      </c>
      <c r="K1711" t="s">
        <v>749</v>
      </c>
      <c r="L1711" t="s">
        <v>1604</v>
      </c>
    </row>
    <row r="1712" spans="1:12">
      <c r="A1712">
        <v>1710</v>
      </c>
      <c r="B1712" t="s">
        <v>3</v>
      </c>
      <c r="C1712" t="s">
        <v>750</v>
      </c>
      <c r="D1712">
        <v>2017</v>
      </c>
      <c r="E1712">
        <v>3</v>
      </c>
      <c r="F1712">
        <v>41</v>
      </c>
      <c r="G1712">
        <v>5</v>
      </c>
      <c r="H1712">
        <v>17</v>
      </c>
      <c r="I1712">
        <v>0</v>
      </c>
      <c r="J1712">
        <v>182.22</v>
      </c>
      <c r="K1712" t="s">
        <v>749</v>
      </c>
      <c r="L1712" t="s">
        <v>1605</v>
      </c>
    </row>
    <row r="1713" spans="1:12">
      <c r="A1713">
        <v>1711</v>
      </c>
      <c r="B1713" t="s">
        <v>3</v>
      </c>
      <c r="C1713" t="s">
        <v>750</v>
      </c>
      <c r="D1713">
        <v>2017</v>
      </c>
      <c r="E1713">
        <v>4</v>
      </c>
      <c r="F1713">
        <v>16</v>
      </c>
      <c r="G1713">
        <v>5</v>
      </c>
      <c r="H1713">
        <v>21</v>
      </c>
      <c r="I1713">
        <v>0</v>
      </c>
      <c r="J1713">
        <v>18993.400000000001</v>
      </c>
      <c r="K1713" t="s">
        <v>749</v>
      </c>
      <c r="L1713" t="s">
        <v>1691</v>
      </c>
    </row>
    <row r="1714" spans="1:12">
      <c r="A1714">
        <v>1712</v>
      </c>
      <c r="B1714" t="s">
        <v>3</v>
      </c>
      <c r="C1714" t="s">
        <v>750</v>
      </c>
      <c r="D1714">
        <v>2017</v>
      </c>
      <c r="E1714">
        <v>4</v>
      </c>
      <c r="F1714">
        <v>16</v>
      </c>
      <c r="G1714">
        <v>5</v>
      </c>
      <c r="H1714">
        <v>21</v>
      </c>
      <c r="I1714">
        <v>0</v>
      </c>
      <c r="J1714">
        <v>2642.14</v>
      </c>
      <c r="K1714" t="s">
        <v>749</v>
      </c>
      <c r="L1714" t="s">
        <v>1697</v>
      </c>
    </row>
    <row r="1715" spans="1:12">
      <c r="A1715">
        <v>1713</v>
      </c>
      <c r="B1715" t="s">
        <v>3</v>
      </c>
      <c r="C1715" t="s">
        <v>750</v>
      </c>
      <c r="D1715">
        <v>2017</v>
      </c>
      <c r="E1715">
        <v>4</v>
      </c>
      <c r="F1715">
        <v>16</v>
      </c>
      <c r="G1715">
        <v>5</v>
      </c>
      <c r="H1715">
        <v>21</v>
      </c>
      <c r="I1715">
        <v>0</v>
      </c>
      <c r="J1715">
        <v>7675</v>
      </c>
      <c r="K1715" t="s">
        <v>749</v>
      </c>
      <c r="L1715" t="s">
        <v>1692</v>
      </c>
    </row>
    <row r="1716" spans="1:12">
      <c r="A1716">
        <v>1714</v>
      </c>
      <c r="B1716" t="s">
        <v>3</v>
      </c>
      <c r="C1716" t="s">
        <v>750</v>
      </c>
      <c r="D1716">
        <v>2017</v>
      </c>
      <c r="E1716">
        <v>4</v>
      </c>
      <c r="F1716">
        <v>19</v>
      </c>
      <c r="G1716">
        <v>5</v>
      </c>
      <c r="H1716">
        <v>21</v>
      </c>
      <c r="I1716">
        <v>0</v>
      </c>
      <c r="J1716">
        <v>8156.6100000000006</v>
      </c>
      <c r="K1716" t="s">
        <v>749</v>
      </c>
      <c r="L1716" t="s">
        <v>1694</v>
      </c>
    </row>
    <row r="1717" spans="1:12">
      <c r="A1717">
        <v>1715</v>
      </c>
      <c r="B1717" t="s">
        <v>3</v>
      </c>
      <c r="C1717" t="s">
        <v>750</v>
      </c>
      <c r="D1717">
        <v>2017</v>
      </c>
      <c r="E1717">
        <v>4</v>
      </c>
      <c r="F1717">
        <v>19</v>
      </c>
      <c r="G1717">
        <v>5</v>
      </c>
      <c r="H1717">
        <v>21</v>
      </c>
      <c r="I1717">
        <v>0</v>
      </c>
      <c r="J1717">
        <v>1174.29</v>
      </c>
      <c r="K1717" t="s">
        <v>749</v>
      </c>
      <c r="L1717" t="s">
        <v>1659</v>
      </c>
    </row>
    <row r="1718" spans="1:12">
      <c r="A1718">
        <v>1716</v>
      </c>
      <c r="B1718" t="s">
        <v>3</v>
      </c>
      <c r="C1718" t="s">
        <v>750</v>
      </c>
      <c r="D1718">
        <v>2017</v>
      </c>
      <c r="E1718">
        <v>4</v>
      </c>
      <c r="F1718">
        <v>25</v>
      </c>
      <c r="G1718">
        <v>5</v>
      </c>
      <c r="H1718">
        <v>21</v>
      </c>
      <c r="I1718">
        <v>0</v>
      </c>
      <c r="J1718">
        <v>244.14</v>
      </c>
      <c r="K1718" t="s">
        <v>749</v>
      </c>
      <c r="L1718" t="s">
        <v>1616</v>
      </c>
    </row>
    <row r="1719" spans="1:12">
      <c r="A1719">
        <v>1717</v>
      </c>
      <c r="B1719" t="s">
        <v>3</v>
      </c>
      <c r="C1719" t="s">
        <v>750</v>
      </c>
      <c r="D1719">
        <v>2017</v>
      </c>
      <c r="E1719">
        <v>4</v>
      </c>
      <c r="F1719">
        <v>40</v>
      </c>
      <c r="G1719">
        <v>5</v>
      </c>
      <c r="H1719">
        <v>21</v>
      </c>
      <c r="I1719">
        <v>0</v>
      </c>
      <c r="J1719">
        <v>1174.3399999999999</v>
      </c>
      <c r="K1719" t="s">
        <v>749</v>
      </c>
      <c r="L1719" t="s">
        <v>1603</v>
      </c>
    </row>
    <row r="1720" spans="1:12">
      <c r="A1720">
        <v>1718</v>
      </c>
      <c r="B1720" t="s">
        <v>3</v>
      </c>
      <c r="C1720" t="s">
        <v>750</v>
      </c>
      <c r="D1720">
        <v>2017</v>
      </c>
      <c r="E1720">
        <v>4</v>
      </c>
      <c r="F1720">
        <v>40</v>
      </c>
      <c r="G1720">
        <v>5</v>
      </c>
      <c r="H1720">
        <v>21</v>
      </c>
      <c r="I1720">
        <v>0</v>
      </c>
      <c r="J1720">
        <v>1174.3500000000001</v>
      </c>
      <c r="K1720" t="s">
        <v>749</v>
      </c>
      <c r="L1720" t="s">
        <v>1604</v>
      </c>
    </row>
    <row r="1721" spans="1:12">
      <c r="A1721">
        <v>1719</v>
      </c>
      <c r="B1721" t="s">
        <v>3</v>
      </c>
      <c r="C1721" t="s">
        <v>750</v>
      </c>
      <c r="D1721">
        <v>2017</v>
      </c>
      <c r="E1721">
        <v>4</v>
      </c>
      <c r="F1721">
        <v>41</v>
      </c>
      <c r="G1721">
        <v>5</v>
      </c>
      <c r="H1721">
        <v>21</v>
      </c>
      <c r="I1721">
        <v>0</v>
      </c>
      <c r="J1721">
        <v>194.43</v>
      </c>
      <c r="K1721" t="s">
        <v>749</v>
      </c>
      <c r="L1721" t="s">
        <v>1605</v>
      </c>
    </row>
    <row r="1722" spans="1:12">
      <c r="A1722">
        <v>1720</v>
      </c>
      <c r="B1722" t="s">
        <v>3</v>
      </c>
      <c r="C1722" t="s">
        <v>750</v>
      </c>
      <c r="D1722">
        <v>2017</v>
      </c>
      <c r="E1722">
        <v>4</v>
      </c>
      <c r="F1722">
        <v>45</v>
      </c>
      <c r="G1722">
        <v>5</v>
      </c>
      <c r="H1722">
        <v>21</v>
      </c>
      <c r="I1722">
        <v>0</v>
      </c>
      <c r="J1722">
        <v>48952.34</v>
      </c>
      <c r="K1722" t="s">
        <v>749</v>
      </c>
      <c r="L1722" t="s">
        <v>1606</v>
      </c>
    </row>
    <row r="1723" spans="1:12">
      <c r="A1723">
        <v>1721</v>
      </c>
      <c r="B1723" t="s">
        <v>3</v>
      </c>
      <c r="C1723" t="s">
        <v>750</v>
      </c>
      <c r="D1723">
        <v>2018</v>
      </c>
      <c r="E1723">
        <v>1</v>
      </c>
      <c r="F1723">
        <v>8</v>
      </c>
      <c r="G1723">
        <v>4</v>
      </c>
      <c r="H1723">
        <v>8</v>
      </c>
      <c r="I1723">
        <v>-213902</v>
      </c>
      <c r="J1723">
        <v>-106951</v>
      </c>
      <c r="K1723" t="s">
        <v>749</v>
      </c>
      <c r="L1723" t="s">
        <v>1599</v>
      </c>
    </row>
    <row r="1724" spans="1:12">
      <c r="A1724">
        <v>1722</v>
      </c>
      <c r="B1724" t="s">
        <v>3</v>
      </c>
      <c r="C1724" t="s">
        <v>750</v>
      </c>
      <c r="D1724">
        <v>2018</v>
      </c>
      <c r="E1724">
        <v>1</v>
      </c>
      <c r="F1724">
        <v>16</v>
      </c>
      <c r="G1724">
        <v>4</v>
      </c>
      <c r="H1724">
        <v>8</v>
      </c>
      <c r="I1724">
        <v>141446</v>
      </c>
      <c r="J1724">
        <v>0</v>
      </c>
      <c r="K1724" t="s">
        <v>749</v>
      </c>
      <c r="L1724" t="s">
        <v>1690</v>
      </c>
    </row>
    <row r="1725" spans="1:12">
      <c r="A1725">
        <v>1723</v>
      </c>
      <c r="B1725" t="s">
        <v>3</v>
      </c>
      <c r="C1725" t="s">
        <v>750</v>
      </c>
      <c r="D1725">
        <v>2018</v>
      </c>
      <c r="E1725">
        <v>1</v>
      </c>
      <c r="F1725">
        <v>16</v>
      </c>
      <c r="G1725">
        <v>4</v>
      </c>
      <c r="H1725">
        <v>8</v>
      </c>
      <c r="I1725">
        <v>0</v>
      </c>
      <c r="J1725">
        <v>19545.68</v>
      </c>
      <c r="K1725" t="s">
        <v>749</v>
      </c>
      <c r="L1725" t="s">
        <v>1691</v>
      </c>
    </row>
    <row r="1726" spans="1:12">
      <c r="A1726">
        <v>1724</v>
      </c>
      <c r="B1726" t="s">
        <v>3</v>
      </c>
      <c r="C1726" t="s">
        <v>750</v>
      </c>
      <c r="D1726">
        <v>2018</v>
      </c>
      <c r="E1726">
        <v>1</v>
      </c>
      <c r="F1726">
        <v>16</v>
      </c>
      <c r="G1726">
        <v>4</v>
      </c>
      <c r="H1726">
        <v>8</v>
      </c>
      <c r="I1726">
        <v>0</v>
      </c>
      <c r="J1726">
        <v>3635</v>
      </c>
      <c r="K1726" t="s">
        <v>749</v>
      </c>
      <c r="L1726" t="s">
        <v>1692</v>
      </c>
    </row>
    <row r="1727" spans="1:12">
      <c r="A1727">
        <v>1725</v>
      </c>
      <c r="B1727" t="s">
        <v>3</v>
      </c>
      <c r="C1727" t="s">
        <v>750</v>
      </c>
      <c r="D1727">
        <v>2018</v>
      </c>
      <c r="E1727">
        <v>1</v>
      </c>
      <c r="F1727">
        <v>19</v>
      </c>
      <c r="G1727">
        <v>4</v>
      </c>
      <c r="H1727">
        <v>8</v>
      </c>
      <c r="I1727">
        <v>53325</v>
      </c>
      <c r="J1727">
        <v>0</v>
      </c>
      <c r="K1727" t="s">
        <v>749</v>
      </c>
      <c r="L1727" t="s">
        <v>1693</v>
      </c>
    </row>
    <row r="1728" spans="1:12">
      <c r="A1728">
        <v>1726</v>
      </c>
      <c r="B1728" t="s">
        <v>3</v>
      </c>
      <c r="C1728" t="s">
        <v>750</v>
      </c>
      <c r="D1728">
        <v>2018</v>
      </c>
      <c r="E1728">
        <v>1</v>
      </c>
      <c r="F1728">
        <v>19</v>
      </c>
      <c r="G1728">
        <v>4</v>
      </c>
      <c r="H1728">
        <v>8</v>
      </c>
      <c r="I1728">
        <v>0</v>
      </c>
      <c r="J1728">
        <v>7349.17</v>
      </c>
      <c r="K1728" t="s">
        <v>749</v>
      </c>
      <c r="L1728" t="s">
        <v>1694</v>
      </c>
    </row>
    <row r="1729" spans="1:12">
      <c r="A1729">
        <v>1727</v>
      </c>
      <c r="B1729" t="s">
        <v>3</v>
      </c>
      <c r="C1729" t="s">
        <v>750</v>
      </c>
      <c r="D1729">
        <v>2018</v>
      </c>
      <c r="E1729">
        <v>1</v>
      </c>
      <c r="F1729">
        <v>19</v>
      </c>
      <c r="G1729">
        <v>4</v>
      </c>
      <c r="H1729">
        <v>8</v>
      </c>
      <c r="I1729">
        <v>0</v>
      </c>
      <c r="J1729">
        <v>537.98</v>
      </c>
      <c r="K1729" t="s">
        <v>749</v>
      </c>
      <c r="L1729" t="s">
        <v>1659</v>
      </c>
    </row>
    <row r="1730" spans="1:12">
      <c r="A1730">
        <v>1728</v>
      </c>
      <c r="B1730" t="s">
        <v>3</v>
      </c>
      <c r="C1730" t="s">
        <v>750</v>
      </c>
      <c r="D1730">
        <v>2018</v>
      </c>
      <c r="E1730">
        <v>1</v>
      </c>
      <c r="F1730">
        <v>25</v>
      </c>
      <c r="G1730">
        <v>4</v>
      </c>
      <c r="H1730">
        <v>8</v>
      </c>
      <c r="I1730">
        <v>0</v>
      </c>
      <c r="J1730">
        <v>251.45999999999998</v>
      </c>
      <c r="K1730" t="s">
        <v>749</v>
      </c>
      <c r="L1730" t="s">
        <v>1616</v>
      </c>
    </row>
    <row r="1731" spans="1:12">
      <c r="A1731">
        <v>1729</v>
      </c>
      <c r="B1731" t="s">
        <v>3</v>
      </c>
      <c r="C1731" t="s">
        <v>750</v>
      </c>
      <c r="D1731">
        <v>2018</v>
      </c>
      <c r="E1731">
        <v>1</v>
      </c>
      <c r="F1731">
        <v>26</v>
      </c>
      <c r="G1731">
        <v>4</v>
      </c>
      <c r="H1731">
        <v>8</v>
      </c>
      <c r="I1731">
        <v>0</v>
      </c>
      <c r="J1731">
        <v>250</v>
      </c>
      <c r="K1731" t="s">
        <v>749</v>
      </c>
      <c r="L1731" t="s">
        <v>1650</v>
      </c>
    </row>
    <row r="1732" spans="1:12">
      <c r="A1732">
        <v>1730</v>
      </c>
      <c r="B1732" t="s">
        <v>3</v>
      </c>
      <c r="C1732" t="s">
        <v>750</v>
      </c>
      <c r="D1732">
        <v>2018</v>
      </c>
      <c r="E1732">
        <v>1</v>
      </c>
      <c r="F1732">
        <v>32</v>
      </c>
      <c r="G1732">
        <v>4</v>
      </c>
      <c r="H1732">
        <v>8</v>
      </c>
      <c r="I1732">
        <v>6000</v>
      </c>
      <c r="J1732">
        <v>0</v>
      </c>
      <c r="K1732" t="s">
        <v>749</v>
      </c>
      <c r="L1732" t="s">
        <v>1649</v>
      </c>
    </row>
    <row r="1733" spans="1:12">
      <c r="A1733">
        <v>1731</v>
      </c>
      <c r="B1733" t="s">
        <v>3</v>
      </c>
      <c r="C1733" t="s">
        <v>750</v>
      </c>
      <c r="D1733">
        <v>2018</v>
      </c>
      <c r="E1733">
        <v>1</v>
      </c>
      <c r="F1733">
        <v>32</v>
      </c>
      <c r="G1733">
        <v>4</v>
      </c>
      <c r="H1733">
        <v>8</v>
      </c>
      <c r="I1733">
        <v>0</v>
      </c>
      <c r="J1733">
        <v>533.49</v>
      </c>
      <c r="K1733" t="s">
        <v>749</v>
      </c>
      <c r="L1733" t="s">
        <v>1651</v>
      </c>
    </row>
    <row r="1734" spans="1:12">
      <c r="A1734">
        <v>1732</v>
      </c>
      <c r="B1734" t="s">
        <v>3</v>
      </c>
      <c r="C1734" t="s">
        <v>750</v>
      </c>
      <c r="D1734">
        <v>2018</v>
      </c>
      <c r="E1734">
        <v>1</v>
      </c>
      <c r="F1734">
        <v>40</v>
      </c>
      <c r="G1734">
        <v>4</v>
      </c>
      <c r="H1734">
        <v>8</v>
      </c>
      <c r="I1734">
        <v>12127</v>
      </c>
      <c r="J1734">
        <v>1009.63</v>
      </c>
      <c r="K1734" t="s">
        <v>749</v>
      </c>
      <c r="L1734" t="s">
        <v>1603</v>
      </c>
    </row>
    <row r="1735" spans="1:12">
      <c r="A1735">
        <v>1733</v>
      </c>
      <c r="B1735" t="s">
        <v>3</v>
      </c>
      <c r="C1735" t="s">
        <v>750</v>
      </c>
      <c r="D1735">
        <v>2018</v>
      </c>
      <c r="E1735">
        <v>1</v>
      </c>
      <c r="F1735">
        <v>40</v>
      </c>
      <c r="G1735">
        <v>4</v>
      </c>
      <c r="H1735">
        <v>8</v>
      </c>
      <c r="I1735">
        <v>0</v>
      </c>
      <c r="J1735">
        <v>1009.63</v>
      </c>
      <c r="K1735" t="s">
        <v>749</v>
      </c>
      <c r="L1735" t="s">
        <v>1604</v>
      </c>
    </row>
    <row r="1736" spans="1:12">
      <c r="A1736">
        <v>1734</v>
      </c>
      <c r="B1736" t="s">
        <v>3</v>
      </c>
      <c r="C1736" t="s">
        <v>750</v>
      </c>
      <c r="D1736">
        <v>2018</v>
      </c>
      <c r="E1736">
        <v>1</v>
      </c>
      <c r="F1736">
        <v>41</v>
      </c>
      <c r="G1736">
        <v>4</v>
      </c>
      <c r="H1736">
        <v>8</v>
      </c>
      <c r="I1736">
        <v>1004</v>
      </c>
      <c r="J1736">
        <v>163.72</v>
      </c>
      <c r="K1736" t="s">
        <v>749</v>
      </c>
      <c r="L1736" t="s">
        <v>1605</v>
      </c>
    </row>
    <row r="1737" spans="1:12">
      <c r="A1737">
        <v>1735</v>
      </c>
      <c r="B1737" t="s">
        <v>3</v>
      </c>
      <c r="C1737" t="s">
        <v>750</v>
      </c>
      <c r="D1737">
        <v>2018</v>
      </c>
      <c r="E1737">
        <v>2</v>
      </c>
      <c r="F1737">
        <v>15</v>
      </c>
      <c r="G1737">
        <v>4</v>
      </c>
      <c r="H1737">
        <v>12</v>
      </c>
      <c r="I1737">
        <v>0</v>
      </c>
      <c r="J1737">
        <v>8465</v>
      </c>
      <c r="K1737" t="s">
        <v>749</v>
      </c>
      <c r="L1737" t="s">
        <v>1698</v>
      </c>
    </row>
    <row r="1738" spans="1:12">
      <c r="A1738">
        <v>1736</v>
      </c>
      <c r="B1738" t="s">
        <v>3</v>
      </c>
      <c r="C1738" t="s">
        <v>750</v>
      </c>
      <c r="D1738">
        <v>2018</v>
      </c>
      <c r="E1738">
        <v>2</v>
      </c>
      <c r="F1738">
        <v>16</v>
      </c>
      <c r="G1738">
        <v>4</v>
      </c>
      <c r="H1738">
        <v>12</v>
      </c>
      <c r="I1738">
        <v>0</v>
      </c>
      <c r="J1738">
        <v>14618.01</v>
      </c>
      <c r="K1738" t="s">
        <v>749</v>
      </c>
      <c r="L1738" t="s">
        <v>1691</v>
      </c>
    </row>
    <row r="1739" spans="1:12">
      <c r="A1739">
        <v>1737</v>
      </c>
      <c r="B1739" t="s">
        <v>3</v>
      </c>
      <c r="C1739" t="s">
        <v>750</v>
      </c>
      <c r="D1739">
        <v>2018</v>
      </c>
      <c r="E1739">
        <v>2</v>
      </c>
      <c r="F1739">
        <v>16</v>
      </c>
      <c r="G1739">
        <v>4</v>
      </c>
      <c r="H1739">
        <v>12</v>
      </c>
      <c r="I1739">
        <v>0</v>
      </c>
      <c r="J1739">
        <v>1920</v>
      </c>
      <c r="K1739" t="s">
        <v>749</v>
      </c>
      <c r="L1739" t="s">
        <v>1692</v>
      </c>
    </row>
    <row r="1740" spans="1:12">
      <c r="A1740">
        <v>1738</v>
      </c>
      <c r="B1740" t="s">
        <v>3</v>
      </c>
      <c r="C1740" t="s">
        <v>750</v>
      </c>
      <c r="D1740">
        <v>2018</v>
      </c>
      <c r="E1740">
        <v>2</v>
      </c>
      <c r="F1740">
        <v>18</v>
      </c>
      <c r="G1740">
        <v>4</v>
      </c>
      <c r="H1740">
        <v>12</v>
      </c>
      <c r="I1740">
        <v>0</v>
      </c>
      <c r="J1740">
        <v>1252.8200000000002</v>
      </c>
      <c r="K1740" t="s">
        <v>749</v>
      </c>
      <c r="L1740" t="s">
        <v>1699</v>
      </c>
    </row>
    <row r="1741" spans="1:12">
      <c r="A1741">
        <v>1739</v>
      </c>
      <c r="B1741" t="s">
        <v>3</v>
      </c>
      <c r="C1741" t="s">
        <v>750</v>
      </c>
      <c r="D1741">
        <v>2018</v>
      </c>
      <c r="E1741">
        <v>2</v>
      </c>
      <c r="F1741">
        <v>19</v>
      </c>
      <c r="G1741">
        <v>4</v>
      </c>
      <c r="H1741">
        <v>12</v>
      </c>
      <c r="I1741">
        <v>0</v>
      </c>
      <c r="J1741">
        <v>5496.36</v>
      </c>
      <c r="K1741" t="s">
        <v>749</v>
      </c>
      <c r="L1741" t="s">
        <v>1694</v>
      </c>
    </row>
    <row r="1742" spans="1:12">
      <c r="A1742">
        <v>1740</v>
      </c>
      <c r="B1742" t="s">
        <v>3</v>
      </c>
      <c r="C1742" t="s">
        <v>750</v>
      </c>
      <c r="D1742">
        <v>2018</v>
      </c>
      <c r="E1742">
        <v>2</v>
      </c>
      <c r="F1742">
        <v>19</v>
      </c>
      <c r="G1742">
        <v>4</v>
      </c>
      <c r="H1742">
        <v>12</v>
      </c>
      <c r="I1742">
        <v>0</v>
      </c>
      <c r="J1742">
        <v>284.16000000000003</v>
      </c>
      <c r="K1742" t="s">
        <v>749</v>
      </c>
      <c r="L1742" t="s">
        <v>1659</v>
      </c>
    </row>
    <row r="1743" spans="1:12">
      <c r="A1743">
        <v>1741</v>
      </c>
      <c r="B1743" t="s">
        <v>3</v>
      </c>
      <c r="C1743" t="s">
        <v>750</v>
      </c>
      <c r="D1743">
        <v>2018</v>
      </c>
      <c r="E1743">
        <v>2</v>
      </c>
      <c r="F1743">
        <v>25</v>
      </c>
      <c r="G1743">
        <v>4</v>
      </c>
      <c r="H1743">
        <v>12</v>
      </c>
      <c r="I1743">
        <v>0</v>
      </c>
      <c r="J1743">
        <v>251.45999999999998</v>
      </c>
      <c r="K1743" t="s">
        <v>749</v>
      </c>
      <c r="L1743" t="s">
        <v>1616</v>
      </c>
    </row>
    <row r="1744" spans="1:12">
      <c r="A1744">
        <v>1742</v>
      </c>
      <c r="B1744" t="s">
        <v>3</v>
      </c>
      <c r="C1744" t="s">
        <v>750</v>
      </c>
      <c r="D1744">
        <v>2018</v>
      </c>
      <c r="E1744">
        <v>2</v>
      </c>
      <c r="F1744">
        <v>25</v>
      </c>
      <c r="G1744">
        <v>4</v>
      </c>
      <c r="H1744">
        <v>12</v>
      </c>
      <c r="I1744">
        <v>0</v>
      </c>
      <c r="J1744">
        <v>90</v>
      </c>
      <c r="K1744" t="s">
        <v>749</v>
      </c>
      <c r="L1744" t="s">
        <v>1696</v>
      </c>
    </row>
    <row r="1745" spans="1:12">
      <c r="A1745">
        <v>1743</v>
      </c>
      <c r="B1745" t="s">
        <v>3</v>
      </c>
      <c r="C1745" t="s">
        <v>750</v>
      </c>
      <c r="D1745">
        <v>2018</v>
      </c>
      <c r="E1745">
        <v>2</v>
      </c>
      <c r="F1745">
        <v>32</v>
      </c>
      <c r="G1745">
        <v>4</v>
      </c>
      <c r="H1745">
        <v>12</v>
      </c>
      <c r="I1745">
        <v>0</v>
      </c>
      <c r="J1745">
        <v>2091.0400000000004</v>
      </c>
      <c r="K1745" t="s">
        <v>749</v>
      </c>
      <c r="L1745" t="s">
        <v>1651</v>
      </c>
    </row>
    <row r="1746" spans="1:12">
      <c r="A1746">
        <v>1744</v>
      </c>
      <c r="B1746" t="s">
        <v>3</v>
      </c>
      <c r="C1746" t="s">
        <v>750</v>
      </c>
      <c r="D1746">
        <v>2018</v>
      </c>
      <c r="E1746">
        <v>2</v>
      </c>
      <c r="F1746">
        <v>40</v>
      </c>
      <c r="G1746">
        <v>4</v>
      </c>
      <c r="H1746">
        <v>12</v>
      </c>
      <c r="I1746">
        <v>0</v>
      </c>
      <c r="J1746">
        <v>1084.0400000000002</v>
      </c>
      <c r="K1746" t="s">
        <v>749</v>
      </c>
      <c r="L1746" t="s">
        <v>1603</v>
      </c>
    </row>
    <row r="1747" spans="1:12">
      <c r="A1747">
        <v>1745</v>
      </c>
      <c r="B1747" t="s">
        <v>3</v>
      </c>
      <c r="C1747" t="s">
        <v>750</v>
      </c>
      <c r="D1747">
        <v>2018</v>
      </c>
      <c r="E1747">
        <v>2</v>
      </c>
      <c r="F1747">
        <v>40</v>
      </c>
      <c r="G1747">
        <v>4</v>
      </c>
      <c r="H1747">
        <v>12</v>
      </c>
      <c r="I1747">
        <v>0</v>
      </c>
      <c r="J1747">
        <v>1084.05</v>
      </c>
      <c r="K1747" t="s">
        <v>749</v>
      </c>
      <c r="L1747" t="s">
        <v>1604</v>
      </c>
    </row>
    <row r="1748" spans="1:12">
      <c r="A1748">
        <v>1746</v>
      </c>
      <c r="B1748" t="s">
        <v>3</v>
      </c>
      <c r="C1748" t="s">
        <v>750</v>
      </c>
      <c r="D1748">
        <v>2018</v>
      </c>
      <c r="E1748">
        <v>2</v>
      </c>
      <c r="F1748">
        <v>41</v>
      </c>
      <c r="G1748">
        <v>4</v>
      </c>
      <c r="H1748">
        <v>12</v>
      </c>
      <c r="I1748">
        <v>0</v>
      </c>
      <c r="J1748">
        <v>175.79</v>
      </c>
      <c r="K1748" t="s">
        <v>749</v>
      </c>
      <c r="L1748" t="s">
        <v>1605</v>
      </c>
    </row>
    <row r="1749" spans="1:12">
      <c r="A1749">
        <v>1747</v>
      </c>
      <c r="B1749" t="s">
        <v>3</v>
      </c>
      <c r="C1749" t="s">
        <v>750</v>
      </c>
      <c r="D1749">
        <v>2018</v>
      </c>
      <c r="E1749">
        <v>3</v>
      </c>
      <c r="F1749">
        <v>8</v>
      </c>
      <c r="G1749">
        <v>4</v>
      </c>
      <c r="H1749">
        <v>16</v>
      </c>
      <c r="I1749">
        <v>0</v>
      </c>
      <c r="J1749">
        <v>-106951</v>
      </c>
      <c r="K1749" t="s">
        <v>749</v>
      </c>
      <c r="L1749" t="s">
        <v>1599</v>
      </c>
    </row>
    <row r="1750" spans="1:12">
      <c r="A1750">
        <v>1748</v>
      </c>
      <c r="B1750" t="s">
        <v>3</v>
      </c>
      <c r="C1750" t="s">
        <v>750</v>
      </c>
      <c r="D1750">
        <v>2018</v>
      </c>
      <c r="E1750">
        <v>3</v>
      </c>
      <c r="F1750">
        <v>15</v>
      </c>
      <c r="G1750">
        <v>4</v>
      </c>
      <c r="H1750">
        <v>16</v>
      </c>
      <c r="I1750">
        <v>0</v>
      </c>
      <c r="J1750">
        <v>7200</v>
      </c>
      <c r="K1750" t="s">
        <v>749</v>
      </c>
      <c r="L1750" t="s">
        <v>1698</v>
      </c>
    </row>
    <row r="1751" spans="1:12">
      <c r="A1751">
        <v>1749</v>
      </c>
      <c r="B1751" t="s">
        <v>3</v>
      </c>
      <c r="C1751" t="s">
        <v>750</v>
      </c>
      <c r="D1751">
        <v>2018</v>
      </c>
      <c r="E1751">
        <v>3</v>
      </c>
      <c r="F1751">
        <v>16</v>
      </c>
      <c r="G1751">
        <v>4</v>
      </c>
      <c r="H1751">
        <v>16</v>
      </c>
      <c r="I1751">
        <v>0</v>
      </c>
      <c r="J1751">
        <v>14786.029999999999</v>
      </c>
      <c r="K1751" t="s">
        <v>749</v>
      </c>
      <c r="L1751" t="s">
        <v>1691</v>
      </c>
    </row>
    <row r="1752" spans="1:12">
      <c r="A1752">
        <v>1750</v>
      </c>
      <c r="B1752" t="s">
        <v>3</v>
      </c>
      <c r="C1752" t="s">
        <v>750</v>
      </c>
      <c r="D1752">
        <v>2018</v>
      </c>
      <c r="E1752">
        <v>3</v>
      </c>
      <c r="F1752">
        <v>16</v>
      </c>
      <c r="G1752">
        <v>4</v>
      </c>
      <c r="H1752">
        <v>16</v>
      </c>
      <c r="I1752">
        <v>0</v>
      </c>
      <c r="J1752">
        <v>1449</v>
      </c>
      <c r="K1752" t="s">
        <v>749</v>
      </c>
      <c r="L1752" t="s">
        <v>1658</v>
      </c>
    </row>
    <row r="1753" spans="1:12">
      <c r="A1753">
        <v>1751</v>
      </c>
      <c r="B1753" t="s">
        <v>3</v>
      </c>
      <c r="C1753" t="s">
        <v>750</v>
      </c>
      <c r="D1753">
        <v>2018</v>
      </c>
      <c r="E1753">
        <v>3</v>
      </c>
      <c r="F1753">
        <v>18</v>
      </c>
      <c r="G1753">
        <v>4</v>
      </c>
      <c r="H1753">
        <v>16</v>
      </c>
      <c r="I1753">
        <v>0</v>
      </c>
      <c r="J1753">
        <v>1065.5999999999999</v>
      </c>
      <c r="K1753" t="s">
        <v>749</v>
      </c>
      <c r="L1753" t="s">
        <v>1699</v>
      </c>
    </row>
    <row r="1754" spans="1:12">
      <c r="A1754">
        <v>1752</v>
      </c>
      <c r="B1754" t="s">
        <v>3</v>
      </c>
      <c r="C1754" t="s">
        <v>750</v>
      </c>
      <c r="D1754">
        <v>2018</v>
      </c>
      <c r="E1754">
        <v>3</v>
      </c>
      <c r="F1754">
        <v>19</v>
      </c>
      <c r="G1754">
        <v>4</v>
      </c>
      <c r="H1754">
        <v>16</v>
      </c>
      <c r="I1754">
        <v>0</v>
      </c>
      <c r="J1754">
        <v>5559.5399999999991</v>
      </c>
      <c r="K1754" t="s">
        <v>749</v>
      </c>
      <c r="L1754" t="s">
        <v>1694</v>
      </c>
    </row>
    <row r="1755" spans="1:12">
      <c r="A1755">
        <v>1753</v>
      </c>
      <c r="B1755" t="s">
        <v>3</v>
      </c>
      <c r="C1755" t="s">
        <v>750</v>
      </c>
      <c r="D1755">
        <v>2018</v>
      </c>
      <c r="E1755">
        <v>3</v>
      </c>
      <c r="F1755">
        <v>19</v>
      </c>
      <c r="G1755">
        <v>4</v>
      </c>
      <c r="H1755">
        <v>16</v>
      </c>
      <c r="I1755">
        <v>0</v>
      </c>
      <c r="J1755">
        <v>214.45</v>
      </c>
      <c r="K1755" t="s">
        <v>749</v>
      </c>
      <c r="L1755" t="s">
        <v>1659</v>
      </c>
    </row>
    <row r="1756" spans="1:12">
      <c r="A1756">
        <v>1754</v>
      </c>
      <c r="B1756" t="s">
        <v>3</v>
      </c>
      <c r="C1756" t="s">
        <v>750</v>
      </c>
      <c r="D1756">
        <v>2018</v>
      </c>
      <c r="E1756">
        <v>3</v>
      </c>
      <c r="F1756">
        <v>25</v>
      </c>
      <c r="G1756">
        <v>4</v>
      </c>
      <c r="H1756">
        <v>16</v>
      </c>
      <c r="I1756">
        <v>0</v>
      </c>
      <c r="J1756">
        <v>251.45999999999998</v>
      </c>
      <c r="K1756" t="s">
        <v>749</v>
      </c>
      <c r="L1756" t="s">
        <v>1616</v>
      </c>
    </row>
    <row r="1757" spans="1:12">
      <c r="A1757">
        <v>1755</v>
      </c>
      <c r="B1757" t="s">
        <v>3</v>
      </c>
      <c r="C1757" t="s">
        <v>750</v>
      </c>
      <c r="D1757">
        <v>2018</v>
      </c>
      <c r="E1757">
        <v>3</v>
      </c>
      <c r="F1757">
        <v>25</v>
      </c>
      <c r="G1757">
        <v>4</v>
      </c>
      <c r="H1757">
        <v>16</v>
      </c>
      <c r="I1757">
        <v>0</v>
      </c>
      <c r="J1757">
        <v>30</v>
      </c>
      <c r="K1757" t="s">
        <v>749</v>
      </c>
      <c r="L1757" t="s">
        <v>1696</v>
      </c>
    </row>
    <row r="1758" spans="1:12">
      <c r="A1758">
        <v>1756</v>
      </c>
      <c r="B1758" t="s">
        <v>3</v>
      </c>
      <c r="C1758" t="s">
        <v>750</v>
      </c>
      <c r="D1758">
        <v>2018</v>
      </c>
      <c r="E1758">
        <v>3</v>
      </c>
      <c r="F1758">
        <v>40</v>
      </c>
      <c r="G1758">
        <v>4</v>
      </c>
      <c r="H1758">
        <v>16</v>
      </c>
      <c r="I1758">
        <v>0</v>
      </c>
      <c r="J1758">
        <v>960.9899999999999</v>
      </c>
      <c r="K1758" t="s">
        <v>749</v>
      </c>
      <c r="L1758" t="s">
        <v>1603</v>
      </c>
    </row>
    <row r="1759" spans="1:12">
      <c r="A1759">
        <v>1757</v>
      </c>
      <c r="B1759" t="s">
        <v>3</v>
      </c>
      <c r="C1759" t="s">
        <v>750</v>
      </c>
      <c r="D1759">
        <v>2018</v>
      </c>
      <c r="E1759">
        <v>3</v>
      </c>
      <c r="F1759">
        <v>40</v>
      </c>
      <c r="G1759">
        <v>4</v>
      </c>
      <c r="H1759">
        <v>16</v>
      </c>
      <c r="I1759">
        <v>0</v>
      </c>
      <c r="J1759">
        <v>960.9899999999999</v>
      </c>
      <c r="K1759" t="s">
        <v>749</v>
      </c>
      <c r="L1759" t="s">
        <v>1604</v>
      </c>
    </row>
    <row r="1760" spans="1:12">
      <c r="A1760">
        <v>1758</v>
      </c>
      <c r="B1760" t="s">
        <v>3</v>
      </c>
      <c r="C1760" t="s">
        <v>750</v>
      </c>
      <c r="D1760">
        <v>2018</v>
      </c>
      <c r="E1760">
        <v>3</v>
      </c>
      <c r="F1760">
        <v>41</v>
      </c>
      <c r="G1760">
        <v>4</v>
      </c>
      <c r="H1760">
        <v>16</v>
      </c>
      <c r="I1760">
        <v>0</v>
      </c>
      <c r="J1760">
        <v>155.82999999999998</v>
      </c>
      <c r="K1760" t="s">
        <v>749</v>
      </c>
      <c r="L1760" t="s">
        <v>1605</v>
      </c>
    </row>
    <row r="1761" spans="1:12">
      <c r="A1761">
        <v>1759</v>
      </c>
      <c r="B1761" t="s">
        <v>3</v>
      </c>
      <c r="C1761" t="s">
        <v>750</v>
      </c>
      <c r="D1761">
        <v>2018</v>
      </c>
      <c r="E1761">
        <v>4</v>
      </c>
      <c r="F1761">
        <v>15</v>
      </c>
      <c r="G1761">
        <v>4</v>
      </c>
      <c r="H1761">
        <v>20</v>
      </c>
      <c r="I1761">
        <v>0</v>
      </c>
      <c r="J1761">
        <v>7705</v>
      </c>
      <c r="K1761" t="s">
        <v>749</v>
      </c>
      <c r="L1761" t="s">
        <v>1698</v>
      </c>
    </row>
    <row r="1762" spans="1:12">
      <c r="A1762">
        <v>1760</v>
      </c>
      <c r="B1762" t="s">
        <v>3</v>
      </c>
      <c r="C1762" t="s">
        <v>750</v>
      </c>
      <c r="D1762">
        <v>2018</v>
      </c>
      <c r="E1762">
        <v>4</v>
      </c>
      <c r="F1762">
        <v>16</v>
      </c>
      <c r="G1762">
        <v>4</v>
      </c>
      <c r="H1762">
        <v>20</v>
      </c>
      <c r="I1762">
        <v>0</v>
      </c>
      <c r="J1762">
        <v>14562</v>
      </c>
      <c r="K1762" t="s">
        <v>749</v>
      </c>
      <c r="L1762" t="s">
        <v>1691</v>
      </c>
    </row>
    <row r="1763" spans="1:12">
      <c r="A1763">
        <v>1761</v>
      </c>
      <c r="B1763" t="s">
        <v>3</v>
      </c>
      <c r="C1763" t="s">
        <v>750</v>
      </c>
      <c r="D1763">
        <v>2018</v>
      </c>
      <c r="E1763">
        <v>4</v>
      </c>
      <c r="F1763">
        <v>16</v>
      </c>
      <c r="G1763">
        <v>4</v>
      </c>
      <c r="H1763">
        <v>20</v>
      </c>
      <c r="I1763">
        <v>0</v>
      </c>
      <c r="J1763">
        <v>5083</v>
      </c>
      <c r="K1763" t="s">
        <v>749</v>
      </c>
      <c r="L1763" t="s">
        <v>1658</v>
      </c>
    </row>
    <row r="1764" spans="1:12">
      <c r="A1764">
        <v>1762</v>
      </c>
      <c r="B1764" t="s">
        <v>3</v>
      </c>
      <c r="C1764" t="s">
        <v>750</v>
      </c>
      <c r="D1764">
        <v>2018</v>
      </c>
      <c r="E1764">
        <v>4</v>
      </c>
      <c r="F1764">
        <v>18</v>
      </c>
      <c r="G1764">
        <v>4</v>
      </c>
      <c r="H1764">
        <v>20</v>
      </c>
      <c r="I1764">
        <v>0</v>
      </c>
      <c r="J1764">
        <v>1140.3399999999999</v>
      </c>
      <c r="K1764" t="s">
        <v>749</v>
      </c>
      <c r="L1764" t="s">
        <v>1699</v>
      </c>
    </row>
    <row r="1765" spans="1:12">
      <c r="A1765">
        <v>1763</v>
      </c>
      <c r="B1765" t="s">
        <v>3</v>
      </c>
      <c r="C1765" t="s">
        <v>750</v>
      </c>
      <c r="D1765">
        <v>2018</v>
      </c>
      <c r="E1765">
        <v>4</v>
      </c>
      <c r="F1765">
        <v>19</v>
      </c>
      <c r="G1765">
        <v>4</v>
      </c>
      <c r="H1765">
        <v>20</v>
      </c>
      <c r="I1765">
        <v>0</v>
      </c>
      <c r="J1765">
        <v>5475.2999999999993</v>
      </c>
      <c r="K1765" t="s">
        <v>749</v>
      </c>
      <c r="L1765" t="s">
        <v>1694</v>
      </c>
    </row>
    <row r="1766" spans="1:12">
      <c r="A1766">
        <v>1764</v>
      </c>
      <c r="B1766" t="s">
        <v>3</v>
      </c>
      <c r="C1766" t="s">
        <v>750</v>
      </c>
      <c r="D1766">
        <v>2018</v>
      </c>
      <c r="E1766">
        <v>4</v>
      </c>
      <c r="F1766">
        <v>19</v>
      </c>
      <c r="G1766">
        <v>4</v>
      </c>
      <c r="H1766">
        <v>20</v>
      </c>
      <c r="I1766">
        <v>0</v>
      </c>
      <c r="J1766">
        <v>752.29</v>
      </c>
      <c r="K1766" t="s">
        <v>749</v>
      </c>
      <c r="L1766" t="s">
        <v>1659</v>
      </c>
    </row>
    <row r="1767" spans="1:12">
      <c r="A1767">
        <v>1765</v>
      </c>
      <c r="B1767" t="s">
        <v>3</v>
      </c>
      <c r="C1767" t="s">
        <v>750</v>
      </c>
      <c r="D1767">
        <v>2018</v>
      </c>
      <c r="E1767">
        <v>4</v>
      </c>
      <c r="F1767">
        <v>25</v>
      </c>
      <c r="G1767">
        <v>4</v>
      </c>
      <c r="H1767">
        <v>20</v>
      </c>
      <c r="I1767">
        <v>0</v>
      </c>
      <c r="J1767">
        <v>251.45999999999998</v>
      </c>
      <c r="K1767" t="s">
        <v>749</v>
      </c>
      <c r="L1767" t="s">
        <v>1616</v>
      </c>
    </row>
    <row r="1768" spans="1:12">
      <c r="A1768">
        <v>1766</v>
      </c>
      <c r="B1768" t="s">
        <v>3</v>
      </c>
      <c r="C1768" t="s">
        <v>750</v>
      </c>
      <c r="D1768">
        <v>2018</v>
      </c>
      <c r="E1768">
        <v>4</v>
      </c>
      <c r="F1768">
        <v>25</v>
      </c>
      <c r="G1768">
        <v>4</v>
      </c>
      <c r="H1768">
        <v>20</v>
      </c>
      <c r="I1768">
        <v>0</v>
      </c>
      <c r="J1768">
        <v>240</v>
      </c>
      <c r="K1768" t="s">
        <v>749</v>
      </c>
      <c r="L1768" t="s">
        <v>1696</v>
      </c>
    </row>
    <row r="1769" spans="1:12">
      <c r="A1769">
        <v>1767</v>
      </c>
      <c r="B1769" t="s">
        <v>3</v>
      </c>
      <c r="C1769" t="s">
        <v>750</v>
      </c>
      <c r="D1769">
        <v>2018</v>
      </c>
      <c r="E1769">
        <v>4</v>
      </c>
      <c r="F1769">
        <v>40</v>
      </c>
      <c r="G1769">
        <v>4</v>
      </c>
      <c r="H1769">
        <v>20</v>
      </c>
      <c r="I1769">
        <v>0</v>
      </c>
      <c r="J1769">
        <v>1107.3399999999999</v>
      </c>
      <c r="K1769" t="s">
        <v>749</v>
      </c>
      <c r="L1769" t="s">
        <v>1603</v>
      </c>
    </row>
    <row r="1770" spans="1:12">
      <c r="A1770">
        <v>1768</v>
      </c>
      <c r="B1770" t="s">
        <v>3</v>
      </c>
      <c r="C1770" t="s">
        <v>750</v>
      </c>
      <c r="D1770">
        <v>2018</v>
      </c>
      <c r="E1770">
        <v>4</v>
      </c>
      <c r="F1770">
        <v>40</v>
      </c>
      <c r="G1770">
        <v>4</v>
      </c>
      <c r="H1770">
        <v>20</v>
      </c>
      <c r="I1770">
        <v>0</v>
      </c>
      <c r="J1770">
        <v>1107.33</v>
      </c>
      <c r="K1770" t="s">
        <v>749</v>
      </c>
      <c r="L1770" t="s">
        <v>1604</v>
      </c>
    </row>
    <row r="1771" spans="1:12">
      <c r="A1771">
        <v>1769</v>
      </c>
      <c r="B1771" t="s">
        <v>3</v>
      </c>
      <c r="C1771" t="s">
        <v>750</v>
      </c>
      <c r="D1771">
        <v>2018</v>
      </c>
      <c r="E1771">
        <v>4</v>
      </c>
      <c r="F1771">
        <v>41</v>
      </c>
      <c r="G1771">
        <v>4</v>
      </c>
      <c r="H1771">
        <v>20</v>
      </c>
      <c r="I1771">
        <v>0</v>
      </c>
      <c r="J1771">
        <v>179.56</v>
      </c>
      <c r="K1771" t="s">
        <v>749</v>
      </c>
      <c r="L1771" t="s">
        <v>1605</v>
      </c>
    </row>
    <row r="1772" spans="1:12">
      <c r="A1772">
        <v>1770</v>
      </c>
      <c r="B1772" t="s">
        <v>3</v>
      </c>
      <c r="C1772" t="s">
        <v>750</v>
      </c>
      <c r="D1772">
        <v>2018</v>
      </c>
      <c r="E1772">
        <v>4</v>
      </c>
      <c r="F1772">
        <v>45</v>
      </c>
      <c r="G1772">
        <v>4</v>
      </c>
      <c r="H1772">
        <v>20</v>
      </c>
      <c r="I1772">
        <v>0</v>
      </c>
      <c r="J1772">
        <v>72566</v>
      </c>
      <c r="K1772" t="s">
        <v>749</v>
      </c>
      <c r="L1772" t="s">
        <v>1606</v>
      </c>
    </row>
    <row r="1773" spans="1:12">
      <c r="A1773">
        <v>1771</v>
      </c>
      <c r="B1773" t="s">
        <v>3</v>
      </c>
      <c r="C1773" t="s">
        <v>750</v>
      </c>
      <c r="D1773">
        <v>2019</v>
      </c>
      <c r="E1773">
        <v>1</v>
      </c>
      <c r="F1773">
        <v>8</v>
      </c>
      <c r="G1773">
        <v>3</v>
      </c>
      <c r="H1773">
        <v>7</v>
      </c>
      <c r="I1773">
        <v>-217694</v>
      </c>
      <c r="J1773">
        <v>-108847</v>
      </c>
      <c r="K1773" t="s">
        <v>749</v>
      </c>
      <c r="L1773" t="s">
        <v>1599</v>
      </c>
    </row>
    <row r="1774" spans="1:12">
      <c r="A1774">
        <v>1772</v>
      </c>
      <c r="B1774" t="s">
        <v>3</v>
      </c>
      <c r="C1774" t="s">
        <v>750</v>
      </c>
      <c r="D1774">
        <v>2019</v>
      </c>
      <c r="E1774">
        <v>1</v>
      </c>
      <c r="F1774">
        <v>16</v>
      </c>
      <c r="G1774">
        <v>3</v>
      </c>
      <c r="H1774">
        <v>7</v>
      </c>
      <c r="I1774">
        <v>143193</v>
      </c>
      <c r="J1774">
        <v>0</v>
      </c>
      <c r="K1774" t="s">
        <v>749</v>
      </c>
      <c r="L1774" t="s">
        <v>1690</v>
      </c>
    </row>
    <row r="1775" spans="1:12">
      <c r="A1775">
        <v>1773</v>
      </c>
      <c r="B1775" t="s">
        <v>3</v>
      </c>
      <c r="C1775" t="s">
        <v>750</v>
      </c>
      <c r="D1775">
        <v>2019</v>
      </c>
      <c r="E1775">
        <v>1</v>
      </c>
      <c r="F1775">
        <v>16</v>
      </c>
      <c r="G1775">
        <v>3</v>
      </c>
      <c r="H1775">
        <v>7</v>
      </c>
      <c r="I1775">
        <v>0</v>
      </c>
      <c r="J1775">
        <v>15000</v>
      </c>
      <c r="K1775" t="s">
        <v>749</v>
      </c>
      <c r="L1775" t="s">
        <v>1691</v>
      </c>
    </row>
    <row r="1776" spans="1:12">
      <c r="A1776">
        <v>1774</v>
      </c>
      <c r="B1776" t="s">
        <v>3</v>
      </c>
      <c r="C1776" t="s">
        <v>750</v>
      </c>
      <c r="D1776">
        <v>2019</v>
      </c>
      <c r="E1776">
        <v>1</v>
      </c>
      <c r="F1776">
        <v>16</v>
      </c>
      <c r="G1776">
        <v>3</v>
      </c>
      <c r="H1776">
        <v>7</v>
      </c>
      <c r="I1776">
        <v>0</v>
      </c>
      <c r="J1776">
        <v>4255</v>
      </c>
      <c r="K1776" t="s">
        <v>749</v>
      </c>
      <c r="L1776" t="s">
        <v>1658</v>
      </c>
    </row>
    <row r="1777" spans="1:12">
      <c r="A1777">
        <v>1775</v>
      </c>
      <c r="B1777" t="s">
        <v>3</v>
      </c>
      <c r="C1777" t="s">
        <v>750</v>
      </c>
      <c r="D1777">
        <v>2019</v>
      </c>
      <c r="E1777">
        <v>1</v>
      </c>
      <c r="F1777">
        <v>19</v>
      </c>
      <c r="G1777">
        <v>3</v>
      </c>
      <c r="H1777">
        <v>7</v>
      </c>
      <c r="I1777">
        <v>53841</v>
      </c>
      <c r="J1777">
        <v>0</v>
      </c>
      <c r="K1777" t="s">
        <v>749</v>
      </c>
      <c r="L1777" t="s">
        <v>1693</v>
      </c>
    </row>
    <row r="1778" spans="1:12">
      <c r="A1778">
        <v>1776</v>
      </c>
      <c r="B1778" t="s">
        <v>3</v>
      </c>
      <c r="C1778" t="s">
        <v>750</v>
      </c>
      <c r="D1778">
        <v>2019</v>
      </c>
      <c r="E1778">
        <v>1</v>
      </c>
      <c r="F1778">
        <v>19</v>
      </c>
      <c r="G1778">
        <v>3</v>
      </c>
      <c r="H1778">
        <v>7</v>
      </c>
      <c r="I1778">
        <v>0</v>
      </c>
      <c r="J1778">
        <v>5490</v>
      </c>
      <c r="K1778" t="s">
        <v>749</v>
      </c>
      <c r="L1778" t="s">
        <v>1694</v>
      </c>
    </row>
    <row r="1779" spans="1:12">
      <c r="A1779">
        <v>1777</v>
      </c>
      <c r="B1779" t="s">
        <v>3</v>
      </c>
      <c r="C1779" t="s">
        <v>750</v>
      </c>
      <c r="D1779">
        <v>2019</v>
      </c>
      <c r="E1779">
        <v>1</v>
      </c>
      <c r="F1779">
        <v>19</v>
      </c>
      <c r="G1779">
        <v>3</v>
      </c>
      <c r="H1779">
        <v>7</v>
      </c>
      <c r="I1779">
        <v>0</v>
      </c>
      <c r="J1779">
        <v>672.3</v>
      </c>
      <c r="K1779" t="s">
        <v>749</v>
      </c>
      <c r="L1779" t="s">
        <v>1659</v>
      </c>
    </row>
    <row r="1780" spans="1:12">
      <c r="A1780">
        <v>1778</v>
      </c>
      <c r="B1780" t="s">
        <v>3</v>
      </c>
      <c r="C1780" t="s">
        <v>750</v>
      </c>
      <c r="D1780">
        <v>2019</v>
      </c>
      <c r="E1780">
        <v>1</v>
      </c>
      <c r="F1780">
        <v>23</v>
      </c>
      <c r="G1780">
        <v>3</v>
      </c>
      <c r="H1780">
        <v>7</v>
      </c>
      <c r="I1780">
        <v>800</v>
      </c>
      <c r="J1780">
        <v>0</v>
      </c>
      <c r="K1780" t="s">
        <v>749</v>
      </c>
      <c r="L1780" t="s">
        <v>1602</v>
      </c>
    </row>
    <row r="1781" spans="1:12">
      <c r="A1781">
        <v>1779</v>
      </c>
      <c r="B1781" t="s">
        <v>3</v>
      </c>
      <c r="C1781" t="s">
        <v>750</v>
      </c>
      <c r="D1781">
        <v>2019</v>
      </c>
      <c r="E1781">
        <v>1</v>
      </c>
      <c r="F1781">
        <v>25</v>
      </c>
      <c r="G1781">
        <v>3</v>
      </c>
      <c r="H1781">
        <v>7</v>
      </c>
      <c r="I1781">
        <v>0</v>
      </c>
      <c r="J1781">
        <v>253.62</v>
      </c>
      <c r="K1781" t="s">
        <v>749</v>
      </c>
      <c r="L1781" t="s">
        <v>1616</v>
      </c>
    </row>
    <row r="1782" spans="1:12">
      <c r="A1782">
        <v>1780</v>
      </c>
      <c r="B1782" t="s">
        <v>3</v>
      </c>
      <c r="C1782" t="s">
        <v>750</v>
      </c>
      <c r="D1782">
        <v>2019</v>
      </c>
      <c r="E1782">
        <v>1</v>
      </c>
      <c r="F1782">
        <v>25</v>
      </c>
      <c r="G1782">
        <v>3</v>
      </c>
      <c r="H1782">
        <v>7</v>
      </c>
      <c r="I1782">
        <v>0</v>
      </c>
      <c r="J1782">
        <v>30</v>
      </c>
      <c r="K1782" t="s">
        <v>749</v>
      </c>
      <c r="L1782" t="s">
        <v>1685</v>
      </c>
    </row>
    <row r="1783" spans="1:12">
      <c r="A1783">
        <v>1781</v>
      </c>
      <c r="B1783" t="s">
        <v>3</v>
      </c>
      <c r="C1783" t="s">
        <v>750</v>
      </c>
      <c r="D1783">
        <v>2019</v>
      </c>
      <c r="E1783">
        <v>1</v>
      </c>
      <c r="F1783">
        <v>25</v>
      </c>
      <c r="G1783">
        <v>3</v>
      </c>
      <c r="H1783">
        <v>7</v>
      </c>
      <c r="I1783">
        <v>0</v>
      </c>
      <c r="J1783">
        <v>30</v>
      </c>
      <c r="K1783" t="s">
        <v>749</v>
      </c>
      <c r="L1783" t="s">
        <v>1696</v>
      </c>
    </row>
    <row r="1784" spans="1:12">
      <c r="A1784">
        <v>1782</v>
      </c>
      <c r="B1784" t="s">
        <v>3</v>
      </c>
      <c r="C1784" t="s">
        <v>750</v>
      </c>
      <c r="D1784">
        <v>2019</v>
      </c>
      <c r="E1784">
        <v>1</v>
      </c>
      <c r="F1784">
        <v>29</v>
      </c>
      <c r="G1784">
        <v>3</v>
      </c>
      <c r="H1784">
        <v>7</v>
      </c>
      <c r="I1784">
        <v>0</v>
      </c>
      <c r="J1784">
        <v>275</v>
      </c>
      <c r="K1784" t="s">
        <v>749</v>
      </c>
      <c r="L1784" t="s">
        <v>1653</v>
      </c>
    </row>
    <row r="1785" spans="1:12">
      <c r="A1785">
        <v>1783</v>
      </c>
      <c r="B1785" t="s">
        <v>3</v>
      </c>
      <c r="C1785" t="s">
        <v>750</v>
      </c>
      <c r="D1785">
        <v>2019</v>
      </c>
      <c r="E1785">
        <v>1</v>
      </c>
      <c r="F1785">
        <v>32</v>
      </c>
      <c r="G1785">
        <v>3</v>
      </c>
      <c r="H1785">
        <v>7</v>
      </c>
      <c r="I1785">
        <v>6000</v>
      </c>
      <c r="J1785">
        <v>0</v>
      </c>
      <c r="K1785" t="s">
        <v>749</v>
      </c>
      <c r="L1785" t="s">
        <v>1649</v>
      </c>
    </row>
    <row r="1786" spans="1:12">
      <c r="A1786">
        <v>1784</v>
      </c>
      <c r="B1786" t="s">
        <v>3</v>
      </c>
      <c r="C1786" t="s">
        <v>750</v>
      </c>
      <c r="D1786">
        <v>2019</v>
      </c>
      <c r="E1786">
        <v>1</v>
      </c>
      <c r="F1786">
        <v>32</v>
      </c>
      <c r="G1786">
        <v>3</v>
      </c>
      <c r="H1786">
        <v>7</v>
      </c>
      <c r="I1786">
        <v>0</v>
      </c>
      <c r="J1786">
        <v>234.55</v>
      </c>
      <c r="K1786" t="s">
        <v>749</v>
      </c>
      <c r="L1786" t="s">
        <v>1651</v>
      </c>
    </row>
    <row r="1787" spans="1:12">
      <c r="A1787">
        <v>1785</v>
      </c>
      <c r="B1787" t="s">
        <v>3</v>
      </c>
      <c r="C1787" t="s">
        <v>750</v>
      </c>
      <c r="D1787">
        <v>2019</v>
      </c>
      <c r="E1787">
        <v>1</v>
      </c>
      <c r="F1787">
        <v>33</v>
      </c>
      <c r="G1787">
        <v>3</v>
      </c>
      <c r="H1787">
        <v>7</v>
      </c>
      <c r="I1787">
        <v>0</v>
      </c>
      <c r="J1787">
        <v>234.55</v>
      </c>
      <c r="K1787" t="s">
        <v>749</v>
      </c>
      <c r="L1787" t="s">
        <v>1652</v>
      </c>
    </row>
    <row r="1788" spans="1:12">
      <c r="A1788">
        <v>1786</v>
      </c>
      <c r="B1788" t="s">
        <v>3</v>
      </c>
      <c r="C1788" t="s">
        <v>750</v>
      </c>
      <c r="D1788">
        <v>2019</v>
      </c>
      <c r="E1788">
        <v>1</v>
      </c>
      <c r="F1788">
        <v>40</v>
      </c>
      <c r="G1788">
        <v>3</v>
      </c>
      <c r="H1788">
        <v>7</v>
      </c>
      <c r="I1788">
        <v>12820</v>
      </c>
      <c r="J1788">
        <v>894.84999999999991</v>
      </c>
      <c r="K1788" t="s">
        <v>749</v>
      </c>
      <c r="L1788" t="s">
        <v>1603</v>
      </c>
    </row>
    <row r="1789" spans="1:12">
      <c r="A1789">
        <v>1787</v>
      </c>
      <c r="B1789" t="s">
        <v>3</v>
      </c>
      <c r="C1789" t="s">
        <v>750</v>
      </c>
      <c r="D1789">
        <v>2019</v>
      </c>
      <c r="E1789">
        <v>1</v>
      </c>
      <c r="F1789">
        <v>40</v>
      </c>
      <c r="G1789">
        <v>3</v>
      </c>
      <c r="H1789">
        <v>7</v>
      </c>
      <c r="I1789">
        <v>0</v>
      </c>
      <c r="J1789">
        <v>894.86</v>
      </c>
      <c r="K1789" t="s">
        <v>749</v>
      </c>
      <c r="L1789" t="s">
        <v>1604</v>
      </c>
    </row>
    <row r="1790" spans="1:12">
      <c r="A1790">
        <v>1788</v>
      </c>
      <c r="B1790" t="s">
        <v>3</v>
      </c>
      <c r="C1790" t="s">
        <v>750</v>
      </c>
      <c r="D1790">
        <v>2019</v>
      </c>
      <c r="E1790">
        <v>1</v>
      </c>
      <c r="F1790">
        <v>41</v>
      </c>
      <c r="G1790">
        <v>3</v>
      </c>
      <c r="H1790">
        <v>7</v>
      </c>
      <c r="I1790">
        <v>1041</v>
      </c>
      <c r="J1790">
        <v>164.15</v>
      </c>
      <c r="K1790" t="s">
        <v>749</v>
      </c>
      <c r="L1790" t="s">
        <v>1605</v>
      </c>
    </row>
    <row r="1791" spans="1:12">
      <c r="A1791">
        <v>1789</v>
      </c>
      <c r="B1791" t="s">
        <v>3</v>
      </c>
      <c r="C1791" t="s">
        <v>750</v>
      </c>
      <c r="D1791">
        <v>2019</v>
      </c>
      <c r="E1791">
        <v>2</v>
      </c>
      <c r="F1791">
        <v>16</v>
      </c>
      <c r="G1791">
        <v>3</v>
      </c>
      <c r="H1791">
        <v>11</v>
      </c>
      <c r="I1791">
        <v>0</v>
      </c>
      <c r="J1791">
        <v>15072.119999999999</v>
      </c>
      <c r="K1791" t="s">
        <v>749</v>
      </c>
      <c r="L1791" t="s">
        <v>1691</v>
      </c>
    </row>
    <row r="1792" spans="1:12">
      <c r="A1792">
        <v>1790</v>
      </c>
      <c r="B1792" t="s">
        <v>3</v>
      </c>
      <c r="C1792" t="s">
        <v>750</v>
      </c>
      <c r="D1792">
        <v>2019</v>
      </c>
      <c r="E1792">
        <v>2</v>
      </c>
      <c r="F1792">
        <v>16</v>
      </c>
      <c r="G1792">
        <v>3</v>
      </c>
      <c r="H1792">
        <v>11</v>
      </c>
      <c r="I1792">
        <v>0</v>
      </c>
      <c r="J1792">
        <v>5313</v>
      </c>
      <c r="K1792" t="s">
        <v>749</v>
      </c>
      <c r="L1792" t="s">
        <v>1658</v>
      </c>
    </row>
    <row r="1793" spans="1:12">
      <c r="A1793">
        <v>1791</v>
      </c>
      <c r="B1793" t="s">
        <v>3</v>
      </c>
      <c r="C1793" t="s">
        <v>750</v>
      </c>
      <c r="D1793">
        <v>2019</v>
      </c>
      <c r="E1793">
        <v>2</v>
      </c>
      <c r="F1793">
        <v>19</v>
      </c>
      <c r="G1793">
        <v>3</v>
      </c>
      <c r="H1793">
        <v>11</v>
      </c>
      <c r="I1793">
        <v>0</v>
      </c>
      <c r="J1793">
        <v>5516.4</v>
      </c>
      <c r="K1793" t="s">
        <v>749</v>
      </c>
      <c r="L1793" t="s">
        <v>1694</v>
      </c>
    </row>
    <row r="1794" spans="1:12">
      <c r="A1794">
        <v>1792</v>
      </c>
      <c r="B1794" t="s">
        <v>3</v>
      </c>
      <c r="C1794" t="s">
        <v>750</v>
      </c>
      <c r="D1794">
        <v>2019</v>
      </c>
      <c r="E1794">
        <v>2</v>
      </c>
      <c r="F1794">
        <v>19</v>
      </c>
      <c r="G1794">
        <v>3</v>
      </c>
      <c r="H1794">
        <v>11</v>
      </c>
      <c r="I1794">
        <v>0</v>
      </c>
      <c r="J1794">
        <v>839.45</v>
      </c>
      <c r="K1794" t="s">
        <v>749</v>
      </c>
      <c r="L1794" t="s">
        <v>1659</v>
      </c>
    </row>
    <row r="1795" spans="1:12">
      <c r="A1795">
        <v>1793</v>
      </c>
      <c r="B1795" t="s">
        <v>3</v>
      </c>
      <c r="C1795" t="s">
        <v>750</v>
      </c>
      <c r="D1795">
        <v>2019</v>
      </c>
      <c r="E1795">
        <v>2</v>
      </c>
      <c r="F1795">
        <v>25</v>
      </c>
      <c r="G1795">
        <v>3</v>
      </c>
      <c r="H1795">
        <v>11</v>
      </c>
      <c r="I1795">
        <v>0</v>
      </c>
      <c r="J1795">
        <v>253.62</v>
      </c>
      <c r="K1795" t="s">
        <v>749</v>
      </c>
      <c r="L1795" t="s">
        <v>1616</v>
      </c>
    </row>
    <row r="1796" spans="1:12">
      <c r="A1796">
        <v>1794</v>
      </c>
      <c r="B1796" t="s">
        <v>3</v>
      </c>
      <c r="C1796" t="s">
        <v>750</v>
      </c>
      <c r="D1796">
        <v>2019</v>
      </c>
      <c r="E1796">
        <v>2</v>
      </c>
      <c r="F1796">
        <v>25</v>
      </c>
      <c r="G1796">
        <v>3</v>
      </c>
      <c r="H1796">
        <v>11</v>
      </c>
      <c r="I1796">
        <v>0</v>
      </c>
      <c r="J1796">
        <v>100</v>
      </c>
      <c r="K1796" t="s">
        <v>749</v>
      </c>
      <c r="L1796" t="s">
        <v>1696</v>
      </c>
    </row>
    <row r="1797" spans="1:12">
      <c r="A1797">
        <v>1795</v>
      </c>
      <c r="B1797" t="s">
        <v>3</v>
      </c>
      <c r="C1797" t="s">
        <v>750</v>
      </c>
      <c r="D1797">
        <v>2019</v>
      </c>
      <c r="E1797">
        <v>2</v>
      </c>
      <c r="F1797">
        <v>40</v>
      </c>
      <c r="G1797">
        <v>3</v>
      </c>
      <c r="H1797">
        <v>11</v>
      </c>
      <c r="I1797">
        <v>0</v>
      </c>
      <c r="J1797">
        <v>915.79</v>
      </c>
      <c r="K1797" t="s">
        <v>749</v>
      </c>
      <c r="L1797" t="s">
        <v>1603</v>
      </c>
    </row>
    <row r="1798" spans="1:12">
      <c r="A1798">
        <v>1796</v>
      </c>
      <c r="B1798" t="s">
        <v>3</v>
      </c>
      <c r="C1798" t="s">
        <v>750</v>
      </c>
      <c r="D1798">
        <v>2019</v>
      </c>
      <c r="E1798">
        <v>2</v>
      </c>
      <c r="F1798">
        <v>40</v>
      </c>
      <c r="G1798">
        <v>3</v>
      </c>
      <c r="H1798">
        <v>11</v>
      </c>
      <c r="I1798">
        <v>0</v>
      </c>
      <c r="J1798">
        <v>915.80000000000007</v>
      </c>
      <c r="K1798" t="s">
        <v>749</v>
      </c>
      <c r="L1798" t="s">
        <v>1604</v>
      </c>
    </row>
    <row r="1799" spans="1:12">
      <c r="A1799">
        <v>1797</v>
      </c>
      <c r="B1799" t="s">
        <v>3</v>
      </c>
      <c r="C1799" t="s">
        <v>750</v>
      </c>
      <c r="D1799">
        <v>2019</v>
      </c>
      <c r="E1799">
        <v>2</v>
      </c>
      <c r="F1799">
        <v>41</v>
      </c>
      <c r="G1799">
        <v>3</v>
      </c>
      <c r="H1799">
        <v>11</v>
      </c>
      <c r="I1799">
        <v>0</v>
      </c>
      <c r="J1799">
        <v>167.99</v>
      </c>
      <c r="K1799" t="s">
        <v>749</v>
      </c>
      <c r="L1799" t="s">
        <v>1605</v>
      </c>
    </row>
    <row r="1800" spans="1:12">
      <c r="A1800">
        <v>1798</v>
      </c>
      <c r="B1800" t="s">
        <v>3</v>
      </c>
      <c r="C1800" t="s">
        <v>750</v>
      </c>
      <c r="D1800">
        <v>2019</v>
      </c>
      <c r="E1800">
        <v>3</v>
      </c>
      <c r="F1800">
        <v>8</v>
      </c>
      <c r="G1800">
        <v>3</v>
      </c>
      <c r="H1800">
        <v>15</v>
      </c>
      <c r="I1800">
        <v>0</v>
      </c>
      <c r="J1800">
        <v>-108847</v>
      </c>
      <c r="K1800" t="s">
        <v>749</v>
      </c>
      <c r="L1800" t="s">
        <v>1599</v>
      </c>
    </row>
    <row r="1801" spans="1:12">
      <c r="A1801">
        <v>1799</v>
      </c>
      <c r="B1801" t="s">
        <v>3</v>
      </c>
      <c r="C1801" t="s">
        <v>750</v>
      </c>
      <c r="D1801">
        <v>2019</v>
      </c>
      <c r="E1801">
        <v>3</v>
      </c>
      <c r="F1801">
        <v>15</v>
      </c>
      <c r="G1801">
        <v>3</v>
      </c>
      <c r="H1801">
        <v>15</v>
      </c>
      <c r="I1801">
        <v>0</v>
      </c>
      <c r="J1801">
        <v>2220</v>
      </c>
      <c r="K1801" t="s">
        <v>749</v>
      </c>
      <c r="L1801" t="s">
        <v>1698</v>
      </c>
    </row>
    <row r="1802" spans="1:12">
      <c r="A1802">
        <v>1800</v>
      </c>
      <c r="B1802" t="s">
        <v>3</v>
      </c>
      <c r="C1802" t="s">
        <v>750</v>
      </c>
      <c r="D1802">
        <v>2019</v>
      </c>
      <c r="E1802">
        <v>3</v>
      </c>
      <c r="F1802">
        <v>16</v>
      </c>
      <c r="G1802">
        <v>3</v>
      </c>
      <c r="H1802">
        <v>15</v>
      </c>
      <c r="I1802">
        <v>0</v>
      </c>
      <c r="J1802">
        <v>15000</v>
      </c>
      <c r="K1802" t="s">
        <v>749</v>
      </c>
      <c r="L1802" t="s">
        <v>1691</v>
      </c>
    </row>
    <row r="1803" spans="1:12">
      <c r="A1803">
        <v>1801</v>
      </c>
      <c r="B1803" t="s">
        <v>3</v>
      </c>
      <c r="C1803" t="s">
        <v>750</v>
      </c>
      <c r="D1803">
        <v>2019</v>
      </c>
      <c r="E1803">
        <v>3</v>
      </c>
      <c r="F1803">
        <v>18</v>
      </c>
      <c r="G1803">
        <v>3</v>
      </c>
      <c r="H1803">
        <v>15</v>
      </c>
      <c r="I1803">
        <v>0</v>
      </c>
      <c r="J1803">
        <v>350.76</v>
      </c>
      <c r="K1803" t="s">
        <v>749</v>
      </c>
      <c r="L1803" t="s">
        <v>1699</v>
      </c>
    </row>
    <row r="1804" spans="1:12">
      <c r="A1804">
        <v>1802</v>
      </c>
      <c r="B1804" t="s">
        <v>3</v>
      </c>
      <c r="C1804" t="s">
        <v>750</v>
      </c>
      <c r="D1804">
        <v>2019</v>
      </c>
      <c r="E1804">
        <v>3</v>
      </c>
      <c r="F1804">
        <v>19</v>
      </c>
      <c r="G1804">
        <v>3</v>
      </c>
      <c r="H1804">
        <v>15</v>
      </c>
      <c r="I1804">
        <v>0</v>
      </c>
      <c r="J1804">
        <v>5490</v>
      </c>
      <c r="K1804" t="s">
        <v>749</v>
      </c>
      <c r="L1804" t="s">
        <v>1694</v>
      </c>
    </row>
    <row r="1805" spans="1:12">
      <c r="A1805">
        <v>1803</v>
      </c>
      <c r="B1805" t="s">
        <v>3</v>
      </c>
      <c r="C1805" t="s">
        <v>750</v>
      </c>
      <c r="D1805">
        <v>2019</v>
      </c>
      <c r="E1805">
        <v>3</v>
      </c>
      <c r="F1805">
        <v>25</v>
      </c>
      <c r="G1805">
        <v>3</v>
      </c>
      <c r="H1805">
        <v>15</v>
      </c>
      <c r="I1805">
        <v>0</v>
      </c>
      <c r="J1805">
        <v>253.62</v>
      </c>
      <c r="K1805" t="s">
        <v>749</v>
      </c>
      <c r="L1805" t="s">
        <v>1616</v>
      </c>
    </row>
    <row r="1806" spans="1:12">
      <c r="A1806">
        <v>1804</v>
      </c>
      <c r="B1806" t="s">
        <v>3</v>
      </c>
      <c r="C1806" t="s">
        <v>750</v>
      </c>
      <c r="D1806">
        <v>2019</v>
      </c>
      <c r="E1806">
        <v>3</v>
      </c>
      <c r="F1806">
        <v>40</v>
      </c>
      <c r="G1806">
        <v>3</v>
      </c>
      <c r="H1806">
        <v>15</v>
      </c>
      <c r="I1806">
        <v>0</v>
      </c>
      <c r="J1806">
        <v>788.03</v>
      </c>
      <c r="K1806" t="s">
        <v>749</v>
      </c>
      <c r="L1806" t="s">
        <v>1603</v>
      </c>
    </row>
    <row r="1807" spans="1:12">
      <c r="A1807">
        <v>1805</v>
      </c>
      <c r="B1807" t="s">
        <v>3</v>
      </c>
      <c r="C1807" t="s">
        <v>750</v>
      </c>
      <c r="D1807">
        <v>2019</v>
      </c>
      <c r="E1807">
        <v>3</v>
      </c>
      <c r="F1807">
        <v>40</v>
      </c>
      <c r="G1807">
        <v>3</v>
      </c>
      <c r="H1807">
        <v>15</v>
      </c>
      <c r="I1807">
        <v>0</v>
      </c>
      <c r="J1807">
        <v>788.02</v>
      </c>
      <c r="K1807" t="s">
        <v>749</v>
      </c>
      <c r="L1807" t="s">
        <v>1604</v>
      </c>
    </row>
    <row r="1808" spans="1:12">
      <c r="A1808">
        <v>1806</v>
      </c>
      <c r="B1808" t="s">
        <v>3</v>
      </c>
      <c r="C1808" t="s">
        <v>750</v>
      </c>
      <c r="D1808">
        <v>2019</v>
      </c>
      <c r="E1808">
        <v>3</v>
      </c>
      <c r="F1808">
        <v>41</v>
      </c>
      <c r="G1808">
        <v>3</v>
      </c>
      <c r="H1808">
        <v>15</v>
      </c>
      <c r="I1808">
        <v>0</v>
      </c>
      <c r="J1808">
        <v>144.55000000000001</v>
      </c>
      <c r="K1808" t="s">
        <v>749</v>
      </c>
      <c r="L1808" t="s">
        <v>1605</v>
      </c>
    </row>
    <row r="1809" spans="1:12">
      <c r="A1809">
        <v>1807</v>
      </c>
      <c r="B1809" t="s">
        <v>3</v>
      </c>
      <c r="C1809" t="s">
        <v>750</v>
      </c>
      <c r="D1809">
        <v>2019</v>
      </c>
      <c r="E1809">
        <v>4</v>
      </c>
      <c r="F1809">
        <v>15</v>
      </c>
      <c r="G1809">
        <v>3</v>
      </c>
      <c r="H1809">
        <v>19</v>
      </c>
      <c r="I1809">
        <v>0</v>
      </c>
      <c r="J1809">
        <v>10250.5</v>
      </c>
      <c r="K1809" t="s">
        <v>749</v>
      </c>
      <c r="L1809" t="s">
        <v>1698</v>
      </c>
    </row>
    <row r="1810" spans="1:12">
      <c r="A1810">
        <v>1808</v>
      </c>
      <c r="B1810" t="s">
        <v>3</v>
      </c>
      <c r="C1810" t="s">
        <v>750</v>
      </c>
      <c r="D1810">
        <v>2019</v>
      </c>
      <c r="E1810">
        <v>4</v>
      </c>
      <c r="F1810">
        <v>16</v>
      </c>
      <c r="G1810">
        <v>3</v>
      </c>
      <c r="H1810">
        <v>19</v>
      </c>
      <c r="I1810">
        <v>0</v>
      </c>
      <c r="J1810">
        <v>15137.02</v>
      </c>
      <c r="K1810" t="s">
        <v>749</v>
      </c>
      <c r="L1810" t="s">
        <v>1691</v>
      </c>
    </row>
    <row r="1811" spans="1:12">
      <c r="A1811">
        <v>1809</v>
      </c>
      <c r="B1811" t="s">
        <v>3</v>
      </c>
      <c r="C1811" t="s">
        <v>750</v>
      </c>
      <c r="D1811">
        <v>2019</v>
      </c>
      <c r="E1811">
        <v>4</v>
      </c>
      <c r="F1811">
        <v>18</v>
      </c>
      <c r="G1811">
        <v>3</v>
      </c>
      <c r="H1811">
        <v>19</v>
      </c>
      <c r="I1811">
        <v>0</v>
      </c>
      <c r="J1811">
        <v>1619.59</v>
      </c>
      <c r="K1811" t="s">
        <v>749</v>
      </c>
      <c r="L1811" t="s">
        <v>1699</v>
      </c>
    </row>
    <row r="1812" spans="1:12">
      <c r="A1812">
        <v>1810</v>
      </c>
      <c r="B1812" t="s">
        <v>3</v>
      </c>
      <c r="C1812" t="s">
        <v>750</v>
      </c>
      <c r="D1812">
        <v>2019</v>
      </c>
      <c r="E1812">
        <v>4</v>
      </c>
      <c r="F1812">
        <v>19</v>
      </c>
      <c r="G1812">
        <v>3</v>
      </c>
      <c r="H1812">
        <v>19</v>
      </c>
      <c r="I1812">
        <v>0</v>
      </c>
      <c r="J1812">
        <v>5540.15</v>
      </c>
      <c r="K1812" t="s">
        <v>749</v>
      </c>
      <c r="L1812" t="s">
        <v>1694</v>
      </c>
    </row>
    <row r="1813" spans="1:12">
      <c r="A1813">
        <v>1811</v>
      </c>
      <c r="B1813" t="s">
        <v>3</v>
      </c>
      <c r="C1813" t="s">
        <v>750</v>
      </c>
      <c r="D1813">
        <v>2019</v>
      </c>
      <c r="E1813">
        <v>4</v>
      </c>
      <c r="F1813">
        <v>25</v>
      </c>
      <c r="G1813">
        <v>3</v>
      </c>
      <c r="H1813">
        <v>19</v>
      </c>
      <c r="I1813">
        <v>0</v>
      </c>
      <c r="J1813">
        <v>253.62</v>
      </c>
      <c r="K1813" t="s">
        <v>749</v>
      </c>
      <c r="L1813" t="s">
        <v>1616</v>
      </c>
    </row>
    <row r="1814" spans="1:12">
      <c r="A1814">
        <v>1812</v>
      </c>
      <c r="B1814" t="s">
        <v>3</v>
      </c>
      <c r="C1814" t="s">
        <v>750</v>
      </c>
      <c r="D1814">
        <v>2019</v>
      </c>
      <c r="E1814">
        <v>4</v>
      </c>
      <c r="F1814">
        <v>33</v>
      </c>
      <c r="G1814">
        <v>3</v>
      </c>
      <c r="H1814">
        <v>19</v>
      </c>
      <c r="I1814">
        <v>0</v>
      </c>
      <c r="J1814">
        <v>-234.55</v>
      </c>
      <c r="K1814" t="s">
        <v>749</v>
      </c>
      <c r="L1814" t="s">
        <v>1652</v>
      </c>
    </row>
    <row r="1815" spans="1:12">
      <c r="A1815">
        <v>1813</v>
      </c>
      <c r="B1815" t="s">
        <v>3</v>
      </c>
      <c r="C1815" t="s">
        <v>750</v>
      </c>
      <c r="D1815">
        <v>2019</v>
      </c>
      <c r="E1815">
        <v>4</v>
      </c>
      <c r="F1815">
        <v>40</v>
      </c>
      <c r="G1815">
        <v>3</v>
      </c>
      <c r="H1815">
        <v>19</v>
      </c>
      <c r="I1815">
        <v>0</v>
      </c>
      <c r="J1815">
        <v>1100.74</v>
      </c>
      <c r="K1815" t="s">
        <v>749</v>
      </c>
      <c r="L1815" t="s">
        <v>1603</v>
      </c>
    </row>
    <row r="1816" spans="1:12">
      <c r="A1816">
        <v>1814</v>
      </c>
      <c r="B1816" t="s">
        <v>3</v>
      </c>
      <c r="C1816" t="s">
        <v>750</v>
      </c>
      <c r="D1816">
        <v>2019</v>
      </c>
      <c r="E1816">
        <v>4</v>
      </c>
      <c r="F1816">
        <v>40</v>
      </c>
      <c r="G1816">
        <v>3</v>
      </c>
      <c r="H1816">
        <v>19</v>
      </c>
      <c r="I1816">
        <v>0</v>
      </c>
      <c r="J1816">
        <v>1100.7400000000002</v>
      </c>
      <c r="K1816" t="s">
        <v>749</v>
      </c>
      <c r="L1816" t="s">
        <v>1604</v>
      </c>
    </row>
    <row r="1817" spans="1:12">
      <c r="A1817">
        <v>1815</v>
      </c>
      <c r="B1817" t="s">
        <v>3</v>
      </c>
      <c r="C1817" t="s">
        <v>750</v>
      </c>
      <c r="D1817">
        <v>2019</v>
      </c>
      <c r="E1817">
        <v>4</v>
      </c>
      <c r="F1817">
        <v>41</v>
      </c>
      <c r="G1817">
        <v>3</v>
      </c>
      <c r="H1817">
        <v>19</v>
      </c>
      <c r="I1817">
        <v>0</v>
      </c>
      <c r="J1817">
        <v>201.90999999999997</v>
      </c>
      <c r="K1817" t="s">
        <v>749</v>
      </c>
      <c r="L1817" t="s">
        <v>1605</v>
      </c>
    </row>
    <row r="1818" spans="1:12">
      <c r="A1818">
        <v>1816</v>
      </c>
      <c r="B1818" t="s">
        <v>3</v>
      </c>
      <c r="C1818" t="s">
        <v>750</v>
      </c>
      <c r="D1818">
        <v>2019</v>
      </c>
      <c r="E1818">
        <v>4</v>
      </c>
      <c r="F1818">
        <v>45</v>
      </c>
      <c r="G1818">
        <v>3</v>
      </c>
      <c r="H1818">
        <v>19</v>
      </c>
      <c r="I1818">
        <v>0</v>
      </c>
      <c r="J1818">
        <v>100166.25</v>
      </c>
      <c r="K1818" t="s">
        <v>749</v>
      </c>
      <c r="L1818" t="s">
        <v>1606</v>
      </c>
    </row>
    <row r="1819" spans="1:12">
      <c r="A1819">
        <v>1817</v>
      </c>
      <c r="B1819" t="s">
        <v>3</v>
      </c>
      <c r="C1819" t="s">
        <v>750</v>
      </c>
      <c r="D1819">
        <v>2020</v>
      </c>
      <c r="E1819">
        <v>1</v>
      </c>
      <c r="F1819">
        <v>8</v>
      </c>
      <c r="G1819">
        <v>2</v>
      </c>
      <c r="H1819">
        <v>6</v>
      </c>
      <c r="I1819">
        <v>-217637</v>
      </c>
      <c r="J1819">
        <v>0</v>
      </c>
      <c r="K1819" t="s">
        <v>749</v>
      </c>
      <c r="L1819" t="s">
        <v>1599</v>
      </c>
    </row>
    <row r="1820" spans="1:12">
      <c r="A1820">
        <v>1818</v>
      </c>
      <c r="B1820" t="s">
        <v>3</v>
      </c>
      <c r="C1820" t="s">
        <v>750</v>
      </c>
      <c r="D1820">
        <v>2020</v>
      </c>
      <c r="E1820">
        <v>1</v>
      </c>
      <c r="F1820">
        <v>8</v>
      </c>
      <c r="G1820">
        <v>2</v>
      </c>
      <c r="H1820">
        <v>6</v>
      </c>
      <c r="I1820">
        <v>0</v>
      </c>
      <c r="J1820">
        <v>-108818</v>
      </c>
      <c r="K1820" t="s">
        <v>749</v>
      </c>
      <c r="L1820" t="s">
        <v>1611</v>
      </c>
    </row>
    <row r="1821" spans="1:12">
      <c r="A1821">
        <v>1819</v>
      </c>
      <c r="B1821" t="s">
        <v>3</v>
      </c>
      <c r="C1821" t="s">
        <v>750</v>
      </c>
      <c r="D1821">
        <v>2020</v>
      </c>
      <c r="E1821">
        <v>1</v>
      </c>
      <c r="F1821">
        <v>15</v>
      </c>
      <c r="G1821">
        <v>2</v>
      </c>
      <c r="H1821">
        <v>6</v>
      </c>
      <c r="I1821">
        <v>0</v>
      </c>
      <c r="J1821">
        <v>3325</v>
      </c>
      <c r="K1821" t="s">
        <v>749</v>
      </c>
      <c r="L1821" t="s">
        <v>1698</v>
      </c>
    </row>
    <row r="1822" spans="1:12">
      <c r="A1822">
        <v>1820</v>
      </c>
      <c r="B1822" t="s">
        <v>3</v>
      </c>
      <c r="C1822" t="s">
        <v>750</v>
      </c>
      <c r="D1822">
        <v>2020</v>
      </c>
      <c r="E1822">
        <v>1</v>
      </c>
      <c r="F1822">
        <v>16</v>
      </c>
      <c r="G1822">
        <v>2</v>
      </c>
      <c r="H1822">
        <v>6</v>
      </c>
      <c r="I1822">
        <v>143193</v>
      </c>
      <c r="J1822">
        <v>0</v>
      </c>
      <c r="K1822" t="s">
        <v>749</v>
      </c>
      <c r="L1822" t="s">
        <v>1690</v>
      </c>
    </row>
    <row r="1823" spans="1:12">
      <c r="A1823">
        <v>1821</v>
      </c>
      <c r="B1823" t="s">
        <v>3</v>
      </c>
      <c r="C1823" t="s">
        <v>750</v>
      </c>
      <c r="D1823">
        <v>2020</v>
      </c>
      <c r="E1823">
        <v>1</v>
      </c>
      <c r="F1823">
        <v>16</v>
      </c>
      <c r="G1823">
        <v>2</v>
      </c>
      <c r="H1823">
        <v>6</v>
      </c>
      <c r="I1823">
        <v>0</v>
      </c>
      <c r="J1823">
        <v>15579.810000000001</v>
      </c>
      <c r="K1823" t="s">
        <v>749</v>
      </c>
      <c r="L1823" t="s">
        <v>1691</v>
      </c>
    </row>
    <row r="1824" spans="1:12">
      <c r="A1824">
        <v>1822</v>
      </c>
      <c r="B1824" t="s">
        <v>3</v>
      </c>
      <c r="C1824" t="s">
        <v>750</v>
      </c>
      <c r="D1824">
        <v>2020</v>
      </c>
      <c r="E1824">
        <v>1</v>
      </c>
      <c r="F1824">
        <v>18</v>
      </c>
      <c r="G1824">
        <v>2</v>
      </c>
      <c r="H1824">
        <v>6</v>
      </c>
      <c r="I1824">
        <v>0</v>
      </c>
      <c r="J1824">
        <v>525.35</v>
      </c>
      <c r="K1824" t="s">
        <v>749</v>
      </c>
      <c r="L1824" t="s">
        <v>1699</v>
      </c>
    </row>
    <row r="1825" spans="1:12">
      <c r="A1825">
        <v>1823</v>
      </c>
      <c r="B1825" t="s">
        <v>3</v>
      </c>
      <c r="C1825" t="s">
        <v>750</v>
      </c>
      <c r="D1825">
        <v>2020</v>
      </c>
      <c r="E1825">
        <v>1</v>
      </c>
      <c r="F1825">
        <v>19</v>
      </c>
      <c r="G1825">
        <v>2</v>
      </c>
      <c r="H1825">
        <v>6</v>
      </c>
      <c r="I1825">
        <v>52122</v>
      </c>
      <c r="J1825">
        <v>0</v>
      </c>
      <c r="K1825" t="s">
        <v>749</v>
      </c>
      <c r="L1825" t="s">
        <v>1693</v>
      </c>
    </row>
    <row r="1826" spans="1:12">
      <c r="A1826">
        <v>1824</v>
      </c>
      <c r="B1826" t="s">
        <v>3</v>
      </c>
      <c r="C1826" t="s">
        <v>750</v>
      </c>
      <c r="D1826">
        <v>2020</v>
      </c>
      <c r="E1826">
        <v>1</v>
      </c>
      <c r="F1826">
        <v>19</v>
      </c>
      <c r="G1826">
        <v>2</v>
      </c>
      <c r="H1826">
        <v>6</v>
      </c>
      <c r="I1826">
        <v>0</v>
      </c>
      <c r="J1826">
        <v>5671.0499999999993</v>
      </c>
      <c r="K1826" t="s">
        <v>749</v>
      </c>
      <c r="L1826" t="s">
        <v>1694</v>
      </c>
    </row>
    <row r="1827" spans="1:12">
      <c r="A1827">
        <v>1825</v>
      </c>
      <c r="B1827" t="s">
        <v>3</v>
      </c>
      <c r="C1827" t="s">
        <v>750</v>
      </c>
      <c r="D1827">
        <v>2020</v>
      </c>
      <c r="E1827">
        <v>1</v>
      </c>
      <c r="F1827">
        <v>23</v>
      </c>
      <c r="G1827">
        <v>2</v>
      </c>
      <c r="H1827">
        <v>6</v>
      </c>
      <c r="I1827">
        <v>1600</v>
      </c>
      <c r="J1827">
        <v>0</v>
      </c>
      <c r="K1827" t="s">
        <v>749</v>
      </c>
      <c r="L1827" t="s">
        <v>1602</v>
      </c>
    </row>
    <row r="1828" spans="1:12">
      <c r="A1828">
        <v>1826</v>
      </c>
      <c r="B1828" t="s">
        <v>3</v>
      </c>
      <c r="C1828" t="s">
        <v>750</v>
      </c>
      <c r="D1828">
        <v>2020</v>
      </c>
      <c r="E1828">
        <v>1</v>
      </c>
      <c r="F1828">
        <v>25</v>
      </c>
      <c r="G1828">
        <v>2</v>
      </c>
      <c r="H1828">
        <v>6</v>
      </c>
      <c r="I1828">
        <v>0</v>
      </c>
      <c r="J1828">
        <v>122.19</v>
      </c>
      <c r="K1828" t="s">
        <v>749</v>
      </c>
      <c r="L1828" t="s">
        <v>1616</v>
      </c>
    </row>
    <row r="1829" spans="1:12">
      <c r="A1829">
        <v>1827</v>
      </c>
      <c r="B1829" t="s">
        <v>3</v>
      </c>
      <c r="C1829" t="s">
        <v>750</v>
      </c>
      <c r="D1829">
        <v>2020</v>
      </c>
      <c r="E1829">
        <v>1</v>
      </c>
      <c r="F1829">
        <v>32</v>
      </c>
      <c r="G1829">
        <v>2</v>
      </c>
      <c r="H1829">
        <v>6</v>
      </c>
      <c r="I1829">
        <v>5200</v>
      </c>
      <c r="J1829">
        <v>0</v>
      </c>
      <c r="K1829" t="s">
        <v>749</v>
      </c>
      <c r="L1829" t="s">
        <v>1649</v>
      </c>
    </row>
    <row r="1830" spans="1:12">
      <c r="A1830">
        <v>1828</v>
      </c>
      <c r="B1830" t="s">
        <v>3</v>
      </c>
      <c r="C1830" t="s">
        <v>750</v>
      </c>
      <c r="D1830">
        <v>2020</v>
      </c>
      <c r="E1830">
        <v>1</v>
      </c>
      <c r="F1830">
        <v>40</v>
      </c>
      <c r="G1830">
        <v>2</v>
      </c>
      <c r="H1830">
        <v>6</v>
      </c>
      <c r="I1830">
        <v>14269</v>
      </c>
      <c r="J1830">
        <v>890.37999999999988</v>
      </c>
      <c r="K1830" t="s">
        <v>749</v>
      </c>
      <c r="L1830" t="s">
        <v>1603</v>
      </c>
    </row>
    <row r="1831" spans="1:12">
      <c r="A1831">
        <v>1829</v>
      </c>
      <c r="B1831" t="s">
        <v>3</v>
      </c>
      <c r="C1831" t="s">
        <v>750</v>
      </c>
      <c r="D1831">
        <v>2020</v>
      </c>
      <c r="E1831">
        <v>1</v>
      </c>
      <c r="F1831">
        <v>40</v>
      </c>
      <c r="G1831">
        <v>2</v>
      </c>
      <c r="H1831">
        <v>6</v>
      </c>
      <c r="I1831">
        <v>0</v>
      </c>
      <c r="J1831">
        <v>890.3900000000001</v>
      </c>
      <c r="K1831" t="s">
        <v>749</v>
      </c>
      <c r="L1831" t="s">
        <v>1604</v>
      </c>
    </row>
    <row r="1832" spans="1:12">
      <c r="A1832">
        <v>1830</v>
      </c>
      <c r="B1832" t="s">
        <v>3</v>
      </c>
      <c r="C1832" t="s">
        <v>750</v>
      </c>
      <c r="D1832">
        <v>2020</v>
      </c>
      <c r="E1832">
        <v>1</v>
      </c>
      <c r="F1832">
        <v>41</v>
      </c>
      <c r="G1832">
        <v>2</v>
      </c>
      <c r="H1832">
        <v>6</v>
      </c>
      <c r="I1832">
        <v>1253</v>
      </c>
      <c r="J1832">
        <v>156.38</v>
      </c>
      <c r="K1832" t="s">
        <v>749</v>
      </c>
      <c r="L1832" t="s">
        <v>1605</v>
      </c>
    </row>
    <row r="1833" spans="1:12">
      <c r="A1833">
        <v>1831</v>
      </c>
      <c r="B1833" t="s">
        <v>3</v>
      </c>
      <c r="C1833" t="s">
        <v>750</v>
      </c>
      <c r="D1833">
        <v>2020</v>
      </c>
      <c r="E1833">
        <v>2</v>
      </c>
      <c r="F1833">
        <v>15</v>
      </c>
      <c r="G1833">
        <v>2</v>
      </c>
      <c r="H1833">
        <v>10</v>
      </c>
      <c r="I1833">
        <v>0</v>
      </c>
      <c r="J1833">
        <v>5762.5</v>
      </c>
      <c r="K1833" t="s">
        <v>749</v>
      </c>
      <c r="L1833" t="s">
        <v>1698</v>
      </c>
    </row>
    <row r="1834" spans="1:12">
      <c r="A1834">
        <v>1832</v>
      </c>
      <c r="B1834" t="s">
        <v>3</v>
      </c>
      <c r="C1834" t="s">
        <v>750</v>
      </c>
      <c r="D1834">
        <v>2020</v>
      </c>
      <c r="E1834">
        <v>2</v>
      </c>
      <c r="F1834">
        <v>16</v>
      </c>
      <c r="G1834">
        <v>2</v>
      </c>
      <c r="H1834">
        <v>10</v>
      </c>
      <c r="I1834">
        <v>0</v>
      </c>
      <c r="J1834">
        <v>15761.970000000001</v>
      </c>
      <c r="K1834" t="s">
        <v>749</v>
      </c>
      <c r="L1834" t="s">
        <v>1691</v>
      </c>
    </row>
    <row r="1835" spans="1:12">
      <c r="A1835">
        <v>1833</v>
      </c>
      <c r="B1835" t="s">
        <v>3</v>
      </c>
      <c r="C1835" t="s">
        <v>750</v>
      </c>
      <c r="D1835">
        <v>2020</v>
      </c>
      <c r="E1835">
        <v>2</v>
      </c>
      <c r="F1835">
        <v>18</v>
      </c>
      <c r="G1835">
        <v>2</v>
      </c>
      <c r="H1835">
        <v>10</v>
      </c>
      <c r="I1835">
        <v>0</v>
      </c>
      <c r="J1835">
        <v>910.48</v>
      </c>
      <c r="K1835" t="s">
        <v>749</v>
      </c>
      <c r="L1835" t="s">
        <v>1699</v>
      </c>
    </row>
    <row r="1836" spans="1:12">
      <c r="A1836">
        <v>1834</v>
      </c>
      <c r="B1836" t="s">
        <v>3</v>
      </c>
      <c r="C1836" t="s">
        <v>750</v>
      </c>
      <c r="D1836">
        <v>2020</v>
      </c>
      <c r="E1836">
        <v>2</v>
      </c>
      <c r="F1836">
        <v>19</v>
      </c>
      <c r="G1836">
        <v>2</v>
      </c>
      <c r="H1836">
        <v>10</v>
      </c>
      <c r="I1836">
        <v>0</v>
      </c>
      <c r="J1836">
        <v>5737.3600000000006</v>
      </c>
      <c r="K1836" t="s">
        <v>749</v>
      </c>
      <c r="L1836" t="s">
        <v>1694</v>
      </c>
    </row>
    <row r="1837" spans="1:12">
      <c r="A1837">
        <v>1835</v>
      </c>
      <c r="B1837" t="s">
        <v>3</v>
      </c>
      <c r="C1837" t="s">
        <v>750</v>
      </c>
      <c r="D1837">
        <v>2020</v>
      </c>
      <c r="E1837">
        <v>2</v>
      </c>
      <c r="F1837">
        <v>25</v>
      </c>
      <c r="G1837">
        <v>2</v>
      </c>
      <c r="H1837">
        <v>10</v>
      </c>
      <c r="I1837">
        <v>0</v>
      </c>
      <c r="J1837">
        <v>122.19</v>
      </c>
      <c r="K1837" t="s">
        <v>749</v>
      </c>
      <c r="L1837" t="s">
        <v>1616</v>
      </c>
    </row>
    <row r="1838" spans="1:12">
      <c r="A1838">
        <v>1836</v>
      </c>
      <c r="B1838" t="s">
        <v>3</v>
      </c>
      <c r="C1838" t="s">
        <v>750</v>
      </c>
      <c r="D1838">
        <v>2020</v>
      </c>
      <c r="E1838">
        <v>2</v>
      </c>
      <c r="F1838">
        <v>25</v>
      </c>
      <c r="G1838">
        <v>2</v>
      </c>
      <c r="H1838">
        <v>10</v>
      </c>
      <c r="I1838">
        <v>0</v>
      </c>
      <c r="J1838">
        <v>-6.8</v>
      </c>
      <c r="K1838" t="s">
        <v>749</v>
      </c>
      <c r="L1838" t="s">
        <v>1670</v>
      </c>
    </row>
    <row r="1839" spans="1:12">
      <c r="A1839">
        <v>1837</v>
      </c>
      <c r="B1839" t="s">
        <v>3</v>
      </c>
      <c r="C1839" t="s">
        <v>750</v>
      </c>
      <c r="D1839">
        <v>2020</v>
      </c>
      <c r="E1839">
        <v>2</v>
      </c>
      <c r="F1839">
        <v>25</v>
      </c>
      <c r="G1839">
        <v>2</v>
      </c>
      <c r="H1839">
        <v>10</v>
      </c>
      <c r="I1839">
        <v>0</v>
      </c>
      <c r="J1839">
        <v>145</v>
      </c>
      <c r="K1839" t="s">
        <v>749</v>
      </c>
      <c r="L1839" t="s">
        <v>1696</v>
      </c>
    </row>
    <row r="1840" spans="1:12">
      <c r="A1840">
        <v>1838</v>
      </c>
      <c r="B1840" t="s">
        <v>3</v>
      </c>
      <c r="C1840" t="s">
        <v>750</v>
      </c>
      <c r="D1840">
        <v>2020</v>
      </c>
      <c r="E1840">
        <v>2</v>
      </c>
      <c r="F1840">
        <v>40</v>
      </c>
      <c r="G1840">
        <v>2</v>
      </c>
      <c r="H1840">
        <v>10</v>
      </c>
      <c r="I1840">
        <v>0</v>
      </c>
      <c r="J1840">
        <v>1003.6800000000001</v>
      </c>
      <c r="K1840" t="s">
        <v>749</v>
      </c>
      <c r="L1840" t="s">
        <v>1603</v>
      </c>
    </row>
    <row r="1841" spans="1:12">
      <c r="A1841">
        <v>1839</v>
      </c>
      <c r="B1841" t="s">
        <v>3</v>
      </c>
      <c r="C1841" t="s">
        <v>750</v>
      </c>
      <c r="D1841">
        <v>2020</v>
      </c>
      <c r="E1841">
        <v>2</v>
      </c>
      <c r="F1841">
        <v>40</v>
      </c>
      <c r="G1841">
        <v>2</v>
      </c>
      <c r="H1841">
        <v>10</v>
      </c>
      <c r="I1841">
        <v>0</v>
      </c>
      <c r="J1841">
        <v>1003.6700000000001</v>
      </c>
      <c r="K1841" t="s">
        <v>749</v>
      </c>
      <c r="L1841" t="s">
        <v>1604</v>
      </c>
    </row>
    <row r="1842" spans="1:12">
      <c r="A1842">
        <v>1840</v>
      </c>
      <c r="B1842" t="s">
        <v>3</v>
      </c>
      <c r="C1842" t="s">
        <v>750</v>
      </c>
      <c r="D1842">
        <v>2020</v>
      </c>
      <c r="E1842">
        <v>2</v>
      </c>
      <c r="F1842">
        <v>41</v>
      </c>
      <c r="G1842">
        <v>2</v>
      </c>
      <c r="H1842">
        <v>10</v>
      </c>
      <c r="I1842">
        <v>0</v>
      </c>
      <c r="J1842">
        <v>176.29</v>
      </c>
      <c r="K1842" t="s">
        <v>749</v>
      </c>
      <c r="L1842" t="s">
        <v>1605</v>
      </c>
    </row>
    <row r="1843" spans="1:12">
      <c r="A1843">
        <v>1841</v>
      </c>
      <c r="B1843" t="s">
        <v>3</v>
      </c>
      <c r="C1843" t="s">
        <v>750</v>
      </c>
      <c r="D1843">
        <v>2020</v>
      </c>
      <c r="E1843">
        <v>3</v>
      </c>
      <c r="F1843">
        <v>8</v>
      </c>
      <c r="G1843">
        <v>2</v>
      </c>
      <c r="H1843">
        <v>14</v>
      </c>
      <c r="I1843">
        <v>0</v>
      </c>
      <c r="J1843">
        <v>-108819</v>
      </c>
      <c r="K1843" t="s">
        <v>749</v>
      </c>
      <c r="L1843" t="s">
        <v>1611</v>
      </c>
    </row>
    <row r="1844" spans="1:12">
      <c r="A1844">
        <v>1842</v>
      </c>
      <c r="B1844" t="s">
        <v>3</v>
      </c>
      <c r="C1844" t="s">
        <v>750</v>
      </c>
      <c r="D1844">
        <v>2020</v>
      </c>
      <c r="E1844">
        <v>3</v>
      </c>
      <c r="F1844">
        <v>16</v>
      </c>
      <c r="G1844">
        <v>2</v>
      </c>
      <c r="H1844">
        <v>14</v>
      </c>
      <c r="I1844">
        <v>0</v>
      </c>
      <c r="J1844">
        <v>15657.98</v>
      </c>
      <c r="K1844" t="s">
        <v>749</v>
      </c>
      <c r="L1844" t="s">
        <v>1691</v>
      </c>
    </row>
    <row r="1845" spans="1:12">
      <c r="A1845">
        <v>1843</v>
      </c>
      <c r="B1845" t="s">
        <v>3</v>
      </c>
      <c r="C1845" t="s">
        <v>750</v>
      </c>
      <c r="D1845">
        <v>2020</v>
      </c>
      <c r="E1845">
        <v>3</v>
      </c>
      <c r="F1845">
        <v>19</v>
      </c>
      <c r="G1845">
        <v>2</v>
      </c>
      <c r="H1845">
        <v>14</v>
      </c>
      <c r="I1845">
        <v>0</v>
      </c>
      <c r="J1845">
        <v>5699.51</v>
      </c>
      <c r="K1845" t="s">
        <v>749</v>
      </c>
      <c r="L1845" t="s">
        <v>1694</v>
      </c>
    </row>
    <row r="1846" spans="1:12">
      <c r="A1846">
        <v>1844</v>
      </c>
      <c r="B1846" t="s">
        <v>3</v>
      </c>
      <c r="C1846" t="s">
        <v>750</v>
      </c>
      <c r="D1846">
        <v>2020</v>
      </c>
      <c r="E1846">
        <v>3</v>
      </c>
      <c r="F1846">
        <v>25</v>
      </c>
      <c r="G1846">
        <v>2</v>
      </c>
      <c r="H1846">
        <v>14</v>
      </c>
      <c r="I1846">
        <v>0</v>
      </c>
      <c r="J1846">
        <v>122.19</v>
      </c>
      <c r="K1846" t="s">
        <v>749</v>
      </c>
      <c r="L1846" t="s">
        <v>1616</v>
      </c>
    </row>
    <row r="1847" spans="1:12">
      <c r="A1847">
        <v>1845</v>
      </c>
      <c r="B1847" t="s">
        <v>3</v>
      </c>
      <c r="C1847" t="s">
        <v>750</v>
      </c>
      <c r="D1847">
        <v>2020</v>
      </c>
      <c r="E1847">
        <v>3</v>
      </c>
      <c r="F1847">
        <v>40</v>
      </c>
      <c r="G1847">
        <v>2</v>
      </c>
      <c r="H1847">
        <v>14</v>
      </c>
      <c r="I1847">
        <v>0</v>
      </c>
      <c r="J1847">
        <v>758.22</v>
      </c>
      <c r="K1847" t="s">
        <v>749</v>
      </c>
      <c r="L1847" t="s">
        <v>1603</v>
      </c>
    </row>
    <row r="1848" spans="1:12">
      <c r="A1848">
        <v>1846</v>
      </c>
      <c r="B1848" t="s">
        <v>3</v>
      </c>
      <c r="C1848" t="s">
        <v>750</v>
      </c>
      <c r="D1848">
        <v>2020</v>
      </c>
      <c r="E1848">
        <v>3</v>
      </c>
      <c r="F1848">
        <v>40</v>
      </c>
      <c r="G1848">
        <v>2</v>
      </c>
      <c r="H1848">
        <v>14</v>
      </c>
      <c r="I1848">
        <v>0</v>
      </c>
      <c r="J1848">
        <v>758.24</v>
      </c>
      <c r="K1848" t="s">
        <v>749</v>
      </c>
      <c r="L1848" t="s">
        <v>1604</v>
      </c>
    </row>
    <row r="1849" spans="1:12">
      <c r="A1849">
        <v>1847</v>
      </c>
      <c r="B1849" t="s">
        <v>3</v>
      </c>
      <c r="C1849" t="s">
        <v>750</v>
      </c>
      <c r="D1849">
        <v>2020</v>
      </c>
      <c r="E1849">
        <v>3</v>
      </c>
      <c r="F1849">
        <v>41</v>
      </c>
      <c r="G1849">
        <v>2</v>
      </c>
      <c r="H1849">
        <v>14</v>
      </c>
      <c r="I1849">
        <v>0</v>
      </c>
      <c r="J1849">
        <v>133.18</v>
      </c>
      <c r="K1849" t="s">
        <v>749</v>
      </c>
      <c r="L1849" t="s">
        <v>1605</v>
      </c>
    </row>
    <row r="1850" spans="1:12">
      <c r="A1850">
        <v>1848</v>
      </c>
      <c r="B1850" t="s">
        <v>3</v>
      </c>
      <c r="C1850" t="s">
        <v>750</v>
      </c>
      <c r="D1850">
        <v>2020</v>
      </c>
      <c r="E1850">
        <v>4</v>
      </c>
      <c r="F1850">
        <v>16</v>
      </c>
      <c r="G1850">
        <v>2</v>
      </c>
      <c r="H1850">
        <v>18</v>
      </c>
      <c r="I1850">
        <v>0</v>
      </c>
      <c r="J1850">
        <v>15450</v>
      </c>
      <c r="K1850" t="s">
        <v>749</v>
      </c>
      <c r="L1850" t="s">
        <v>1691</v>
      </c>
    </row>
    <row r="1851" spans="1:12">
      <c r="A1851">
        <v>1849</v>
      </c>
      <c r="B1851" t="s">
        <v>3</v>
      </c>
      <c r="C1851" t="s">
        <v>750</v>
      </c>
      <c r="D1851">
        <v>2020</v>
      </c>
      <c r="E1851">
        <v>4</v>
      </c>
      <c r="F1851">
        <v>19</v>
      </c>
      <c r="G1851">
        <v>2</v>
      </c>
      <c r="H1851">
        <v>18</v>
      </c>
      <c r="I1851">
        <v>0</v>
      </c>
      <c r="J1851">
        <v>5623.7999999999993</v>
      </c>
      <c r="K1851" t="s">
        <v>749</v>
      </c>
      <c r="L1851" t="s">
        <v>1694</v>
      </c>
    </row>
    <row r="1852" spans="1:12">
      <c r="A1852">
        <v>1850</v>
      </c>
      <c r="B1852" t="s">
        <v>3</v>
      </c>
      <c r="C1852" t="s">
        <v>750</v>
      </c>
      <c r="D1852">
        <v>2020</v>
      </c>
      <c r="E1852">
        <v>4</v>
      </c>
      <c r="F1852">
        <v>25</v>
      </c>
      <c r="G1852">
        <v>2</v>
      </c>
      <c r="H1852">
        <v>18</v>
      </c>
      <c r="I1852">
        <v>0</v>
      </c>
      <c r="J1852">
        <v>122.19</v>
      </c>
      <c r="K1852" t="s">
        <v>749</v>
      </c>
      <c r="L1852" t="s">
        <v>1616</v>
      </c>
    </row>
    <row r="1853" spans="1:12">
      <c r="A1853">
        <v>1851</v>
      </c>
      <c r="B1853" t="s">
        <v>3</v>
      </c>
      <c r="C1853" t="s">
        <v>750</v>
      </c>
      <c r="D1853">
        <v>2020</v>
      </c>
      <c r="E1853">
        <v>4</v>
      </c>
      <c r="F1853">
        <v>40</v>
      </c>
      <c r="G1853">
        <v>2</v>
      </c>
      <c r="H1853">
        <v>18</v>
      </c>
      <c r="I1853">
        <v>0</v>
      </c>
      <c r="J1853">
        <v>748.2</v>
      </c>
      <c r="K1853" t="s">
        <v>749</v>
      </c>
      <c r="L1853" t="s">
        <v>1603</v>
      </c>
    </row>
    <row r="1854" spans="1:12">
      <c r="A1854">
        <v>1852</v>
      </c>
      <c r="B1854" t="s">
        <v>3</v>
      </c>
      <c r="C1854" t="s">
        <v>750</v>
      </c>
      <c r="D1854">
        <v>2020</v>
      </c>
      <c r="E1854">
        <v>4</v>
      </c>
      <c r="F1854">
        <v>40</v>
      </c>
      <c r="G1854">
        <v>2</v>
      </c>
      <c r="H1854">
        <v>18</v>
      </c>
      <c r="I1854">
        <v>0</v>
      </c>
      <c r="J1854">
        <v>748.23</v>
      </c>
      <c r="K1854" t="s">
        <v>749</v>
      </c>
      <c r="L1854" t="s">
        <v>1604</v>
      </c>
    </row>
    <row r="1855" spans="1:12">
      <c r="A1855">
        <v>1853</v>
      </c>
      <c r="B1855" t="s">
        <v>3</v>
      </c>
      <c r="C1855" t="s">
        <v>750</v>
      </c>
      <c r="D1855">
        <v>2020</v>
      </c>
      <c r="E1855">
        <v>4</v>
      </c>
      <c r="F1855">
        <v>41</v>
      </c>
      <c r="G1855">
        <v>2</v>
      </c>
      <c r="H1855">
        <v>18</v>
      </c>
      <c r="I1855">
        <v>0</v>
      </c>
      <c r="J1855">
        <v>131.43</v>
      </c>
      <c r="K1855" t="s">
        <v>749</v>
      </c>
      <c r="L1855" t="s">
        <v>1605</v>
      </c>
    </row>
    <row r="1856" spans="1:12">
      <c r="A1856">
        <v>1854</v>
      </c>
      <c r="B1856" t="s">
        <v>3</v>
      </c>
      <c r="C1856" t="s">
        <v>750</v>
      </c>
      <c r="D1856">
        <v>2020</v>
      </c>
      <c r="E1856">
        <v>4</v>
      </c>
      <c r="F1856">
        <v>45</v>
      </c>
      <c r="G1856">
        <v>2</v>
      </c>
      <c r="H1856">
        <v>18</v>
      </c>
      <c r="I1856">
        <v>0</v>
      </c>
      <c r="J1856">
        <v>113906.94</v>
      </c>
      <c r="K1856" t="s">
        <v>749</v>
      </c>
      <c r="L1856" t="s">
        <v>1606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246FF-FDA5-4725-AB3C-AF4B3D997CBE}">
  <sheetPr codeName="Sheet9">
    <tabColor theme="7" tint="0.79998168889431442"/>
  </sheetPr>
  <dimension ref="A1:F1075"/>
  <sheetViews>
    <sheetView showGridLines="0" showRowColHeaders="0" workbookViewId="0"/>
  </sheetViews>
  <sheetFormatPr defaultRowHeight="14.4"/>
  <cols>
    <col min="3" max="3" width="29.21875" bestFit="1" customWidth="1"/>
    <col min="4" max="4" width="49.21875" bestFit="1" customWidth="1"/>
  </cols>
  <sheetData>
    <row r="1" spans="1:6" ht="15.6">
      <c r="A1" t="s">
        <v>1502</v>
      </c>
      <c r="B1" s="164" t="s">
        <v>1503</v>
      </c>
      <c r="C1" s="164" t="s">
        <v>187</v>
      </c>
      <c r="D1" s="164" t="s">
        <v>188</v>
      </c>
      <c r="E1" s="164" t="s">
        <v>189</v>
      </c>
      <c r="F1" s="164" t="s">
        <v>190</v>
      </c>
    </row>
    <row r="2" spans="1:6">
      <c r="A2">
        <v>0</v>
      </c>
      <c r="B2" s="165">
        <v>8</v>
      </c>
      <c r="C2" s="166" t="s">
        <v>191</v>
      </c>
      <c r="D2" t="s">
        <v>192</v>
      </c>
      <c r="E2" s="167">
        <v>220000</v>
      </c>
      <c r="F2" s="167">
        <v>224999</v>
      </c>
    </row>
    <row r="3" spans="1:6">
      <c r="A3">
        <f>A2+1</f>
        <v>1</v>
      </c>
      <c r="B3" s="165">
        <v>8</v>
      </c>
      <c r="C3" s="166" t="s">
        <v>191</v>
      </c>
      <c r="D3" t="s">
        <v>193</v>
      </c>
      <c r="E3" s="167">
        <v>225000</v>
      </c>
      <c r="F3" s="167">
        <v>229996</v>
      </c>
    </row>
    <row r="4" spans="1:6">
      <c r="A4">
        <f t="shared" ref="A4:A67" si="0">A3+1</f>
        <v>2</v>
      </c>
      <c r="B4" s="165">
        <v>8</v>
      </c>
      <c r="C4" s="166" t="s">
        <v>191</v>
      </c>
      <c r="D4" t="s">
        <v>194</v>
      </c>
      <c r="E4" s="167">
        <v>229997</v>
      </c>
      <c r="F4" s="167">
        <v>229997</v>
      </c>
    </row>
    <row r="5" spans="1:6">
      <c r="A5">
        <f t="shared" si="0"/>
        <v>3</v>
      </c>
      <c r="B5" s="165">
        <v>8</v>
      </c>
      <c r="C5" s="166" t="s">
        <v>191</v>
      </c>
      <c r="D5" t="s">
        <v>195</v>
      </c>
      <c r="E5" s="167">
        <v>229998</v>
      </c>
      <c r="F5" s="167">
        <v>229998</v>
      </c>
    </row>
    <row r="6" spans="1:6">
      <c r="A6">
        <f t="shared" si="0"/>
        <v>4</v>
      </c>
      <c r="B6" s="165">
        <v>8</v>
      </c>
      <c r="C6" s="166" t="s">
        <v>191</v>
      </c>
      <c r="D6" t="s">
        <v>196</v>
      </c>
      <c r="E6" s="167">
        <v>229999</v>
      </c>
      <c r="F6" s="167">
        <v>229999</v>
      </c>
    </row>
    <row r="7" spans="1:6">
      <c r="A7">
        <f t="shared" si="0"/>
        <v>5</v>
      </c>
      <c r="B7" s="165">
        <v>9</v>
      </c>
      <c r="C7" s="166" t="s">
        <v>197</v>
      </c>
      <c r="D7" t="s">
        <v>198</v>
      </c>
      <c r="E7" s="167">
        <v>200000</v>
      </c>
      <c r="F7" s="167">
        <v>200000</v>
      </c>
    </row>
    <row r="8" spans="1:6">
      <c r="A8">
        <f t="shared" si="0"/>
        <v>6</v>
      </c>
      <c r="B8" s="165">
        <v>9</v>
      </c>
      <c r="C8" s="166" t="s">
        <v>197</v>
      </c>
      <c r="D8" t="s">
        <v>199</v>
      </c>
      <c r="E8" s="167">
        <v>200100</v>
      </c>
      <c r="F8" s="167">
        <v>200999</v>
      </c>
    </row>
    <row r="9" spans="1:6">
      <c r="A9">
        <f t="shared" si="0"/>
        <v>7</v>
      </c>
      <c r="B9" s="165">
        <v>9</v>
      </c>
      <c r="C9" s="166" t="s">
        <v>197</v>
      </c>
      <c r="D9" t="s">
        <v>200</v>
      </c>
      <c r="E9" s="167">
        <v>201000</v>
      </c>
      <c r="F9" s="167">
        <v>201997</v>
      </c>
    </row>
    <row r="10" spans="1:6">
      <c r="A10">
        <f t="shared" si="0"/>
        <v>8</v>
      </c>
      <c r="B10" s="165">
        <v>9</v>
      </c>
      <c r="C10" s="166" t="s">
        <v>197</v>
      </c>
      <c r="D10" t="s">
        <v>201</v>
      </c>
      <c r="E10" s="167">
        <v>202000</v>
      </c>
      <c r="F10" s="167">
        <v>202000</v>
      </c>
    </row>
    <row r="11" spans="1:6">
      <c r="A11">
        <f t="shared" si="0"/>
        <v>9</v>
      </c>
      <c r="B11" s="165">
        <v>9</v>
      </c>
      <c r="C11" s="166" t="s">
        <v>197</v>
      </c>
      <c r="D11" t="s">
        <v>202</v>
      </c>
      <c r="E11" s="167">
        <v>202001</v>
      </c>
      <c r="F11" s="167">
        <v>202001</v>
      </c>
    </row>
    <row r="12" spans="1:6">
      <c r="A12">
        <f t="shared" si="0"/>
        <v>10</v>
      </c>
      <c r="B12" s="165">
        <v>9</v>
      </c>
      <c r="C12" s="166" t="s">
        <v>197</v>
      </c>
      <c r="D12" t="s">
        <v>203</v>
      </c>
      <c r="E12" s="167">
        <v>202002</v>
      </c>
      <c r="F12" s="167">
        <v>202002</v>
      </c>
    </row>
    <row r="13" spans="1:6">
      <c r="A13">
        <f t="shared" si="0"/>
        <v>11</v>
      </c>
      <c r="B13" s="165">
        <v>9</v>
      </c>
      <c r="C13" s="166" t="s">
        <v>197</v>
      </c>
      <c r="D13" t="s">
        <v>204</v>
      </c>
      <c r="E13" s="167">
        <v>202003</v>
      </c>
      <c r="F13" s="167">
        <v>202003</v>
      </c>
    </row>
    <row r="14" spans="1:6">
      <c r="A14">
        <f t="shared" si="0"/>
        <v>12</v>
      </c>
      <c r="B14" s="165">
        <v>9</v>
      </c>
      <c r="C14" s="166" t="s">
        <v>197</v>
      </c>
      <c r="D14" t="s">
        <v>205</v>
      </c>
      <c r="E14" s="167">
        <v>202004</v>
      </c>
      <c r="F14" s="167">
        <v>202004</v>
      </c>
    </row>
    <row r="15" spans="1:6">
      <c r="A15">
        <f t="shared" si="0"/>
        <v>13</v>
      </c>
      <c r="B15" s="165">
        <v>9</v>
      </c>
      <c r="C15" s="166" t="s">
        <v>197</v>
      </c>
      <c r="D15" t="s">
        <v>206</v>
      </c>
      <c r="E15" s="167">
        <v>202005</v>
      </c>
      <c r="F15" s="167">
        <v>202005</v>
      </c>
    </row>
    <row r="16" spans="1:6">
      <c r="A16">
        <f t="shared" si="0"/>
        <v>14</v>
      </c>
      <c r="B16" s="165">
        <v>9</v>
      </c>
      <c r="C16" s="166" t="s">
        <v>197</v>
      </c>
      <c r="D16" t="s">
        <v>207</v>
      </c>
      <c r="E16" s="167">
        <v>202006</v>
      </c>
      <c r="F16" s="167">
        <v>202006</v>
      </c>
    </row>
    <row r="17" spans="1:6">
      <c r="A17">
        <f t="shared" si="0"/>
        <v>15</v>
      </c>
      <c r="B17" s="165">
        <v>9</v>
      </c>
      <c r="C17" s="166" t="s">
        <v>197</v>
      </c>
      <c r="D17" t="s">
        <v>208</v>
      </c>
      <c r="E17" s="167">
        <v>230000</v>
      </c>
      <c r="F17" s="167">
        <v>237999</v>
      </c>
    </row>
    <row r="18" spans="1:6">
      <c r="A18">
        <f t="shared" si="0"/>
        <v>16</v>
      </c>
      <c r="B18" s="165">
        <v>9</v>
      </c>
      <c r="C18" s="166" t="s">
        <v>197</v>
      </c>
      <c r="D18" t="s">
        <v>209</v>
      </c>
      <c r="E18" s="167">
        <v>250000</v>
      </c>
      <c r="F18" s="167">
        <v>250099</v>
      </c>
    </row>
    <row r="19" spans="1:6">
      <c r="A19">
        <f t="shared" si="0"/>
        <v>17</v>
      </c>
      <c r="B19" s="165">
        <v>9</v>
      </c>
      <c r="C19" s="166" t="s">
        <v>197</v>
      </c>
      <c r="D19" t="s">
        <v>210</v>
      </c>
      <c r="E19" s="167">
        <v>250100</v>
      </c>
      <c r="F19" s="167">
        <v>254999</v>
      </c>
    </row>
    <row r="20" spans="1:6">
      <c r="A20">
        <f t="shared" si="0"/>
        <v>18</v>
      </c>
      <c r="B20" s="165">
        <v>9</v>
      </c>
      <c r="C20" s="166" t="s">
        <v>197</v>
      </c>
      <c r="D20" t="s">
        <v>211</v>
      </c>
      <c r="E20" s="167">
        <v>255000</v>
      </c>
      <c r="F20" s="167">
        <v>259997</v>
      </c>
    </row>
    <row r="21" spans="1:6">
      <c r="A21">
        <f t="shared" si="0"/>
        <v>19</v>
      </c>
      <c r="B21" s="165">
        <v>9</v>
      </c>
      <c r="C21" s="166" t="s">
        <v>197</v>
      </c>
      <c r="D21" t="s">
        <v>212</v>
      </c>
      <c r="E21" s="167">
        <v>280000</v>
      </c>
      <c r="F21" s="167">
        <v>280099</v>
      </c>
    </row>
    <row r="22" spans="1:6">
      <c r="A22">
        <f t="shared" si="0"/>
        <v>20</v>
      </c>
      <c r="B22" s="165">
        <v>9</v>
      </c>
      <c r="C22" s="166" t="s">
        <v>197</v>
      </c>
      <c r="D22" t="s">
        <v>213</v>
      </c>
      <c r="E22" s="167">
        <v>280100</v>
      </c>
      <c r="F22" s="167">
        <v>284999</v>
      </c>
    </row>
    <row r="23" spans="1:6">
      <c r="A23">
        <f t="shared" si="0"/>
        <v>21</v>
      </c>
      <c r="B23" s="165">
        <v>9</v>
      </c>
      <c r="C23" s="166" t="s">
        <v>197</v>
      </c>
      <c r="D23" t="s">
        <v>214</v>
      </c>
      <c r="E23" s="167">
        <v>285000</v>
      </c>
      <c r="F23" s="167">
        <v>289997</v>
      </c>
    </row>
    <row r="24" spans="1:6">
      <c r="A24">
        <f t="shared" si="0"/>
        <v>22</v>
      </c>
      <c r="B24" s="165">
        <v>9</v>
      </c>
      <c r="C24" s="166" t="s">
        <v>197</v>
      </c>
      <c r="D24" t="s">
        <v>215</v>
      </c>
      <c r="E24" s="167">
        <v>289998</v>
      </c>
      <c r="F24" s="167">
        <v>289998</v>
      </c>
    </row>
    <row r="25" spans="1:6">
      <c r="A25">
        <f t="shared" si="0"/>
        <v>23</v>
      </c>
      <c r="B25" s="165">
        <v>9</v>
      </c>
      <c r="C25" s="166" t="s">
        <v>197</v>
      </c>
      <c r="D25" t="s">
        <v>216</v>
      </c>
      <c r="E25" s="167">
        <v>289999</v>
      </c>
      <c r="F25" s="167">
        <v>289999</v>
      </c>
    </row>
    <row r="26" spans="1:6">
      <c r="A26">
        <f t="shared" si="0"/>
        <v>24</v>
      </c>
      <c r="B26" s="165">
        <v>9</v>
      </c>
      <c r="C26" s="166" t="s">
        <v>197</v>
      </c>
      <c r="D26" t="s">
        <v>217</v>
      </c>
      <c r="E26" s="167">
        <v>310000</v>
      </c>
      <c r="F26" s="167">
        <v>310099</v>
      </c>
    </row>
    <row r="27" spans="1:6">
      <c r="A27">
        <f t="shared" si="0"/>
        <v>25</v>
      </c>
      <c r="B27" s="165">
        <v>9</v>
      </c>
      <c r="C27" s="166" t="s">
        <v>197</v>
      </c>
      <c r="D27" t="s">
        <v>218</v>
      </c>
      <c r="E27" s="167">
        <v>310100</v>
      </c>
      <c r="F27" s="167">
        <v>310999</v>
      </c>
    </row>
    <row r="28" spans="1:6">
      <c r="A28">
        <f t="shared" si="0"/>
        <v>26</v>
      </c>
      <c r="B28" s="165">
        <v>9</v>
      </c>
      <c r="C28" s="166" t="s">
        <v>197</v>
      </c>
      <c r="D28" t="s">
        <v>219</v>
      </c>
      <c r="E28" s="167">
        <v>311000</v>
      </c>
      <c r="F28" s="167">
        <v>311999</v>
      </c>
    </row>
    <row r="29" spans="1:6">
      <c r="A29">
        <f t="shared" si="0"/>
        <v>27</v>
      </c>
      <c r="B29" s="165">
        <v>9</v>
      </c>
      <c r="C29" s="166" t="s">
        <v>197</v>
      </c>
      <c r="D29" t="s">
        <v>220</v>
      </c>
      <c r="E29" s="167">
        <v>315000</v>
      </c>
      <c r="F29" s="167">
        <v>315099</v>
      </c>
    </row>
    <row r="30" spans="1:6">
      <c r="A30">
        <f t="shared" si="0"/>
        <v>28</v>
      </c>
      <c r="B30" s="165">
        <v>9</v>
      </c>
      <c r="C30" s="166" t="s">
        <v>197</v>
      </c>
      <c r="D30" t="s">
        <v>221</v>
      </c>
      <c r="E30" s="167">
        <v>315100</v>
      </c>
      <c r="F30" s="167">
        <v>315199</v>
      </c>
    </row>
    <row r="31" spans="1:6">
      <c r="A31">
        <f t="shared" si="0"/>
        <v>29</v>
      </c>
      <c r="B31" s="165">
        <v>9</v>
      </c>
      <c r="C31" s="166" t="s">
        <v>197</v>
      </c>
      <c r="D31" t="s">
        <v>222</v>
      </c>
      <c r="E31" s="167">
        <v>315200</v>
      </c>
      <c r="F31" s="167">
        <v>315299</v>
      </c>
    </row>
    <row r="32" spans="1:6">
      <c r="A32">
        <f t="shared" si="0"/>
        <v>30</v>
      </c>
      <c r="B32" s="165">
        <v>9</v>
      </c>
      <c r="C32" s="166" t="s">
        <v>197</v>
      </c>
      <c r="D32" t="s">
        <v>223</v>
      </c>
      <c r="E32" s="167">
        <v>315300</v>
      </c>
      <c r="F32" s="167">
        <v>315399</v>
      </c>
    </row>
    <row r="33" spans="1:6">
      <c r="A33">
        <f t="shared" si="0"/>
        <v>31</v>
      </c>
      <c r="B33" s="165">
        <v>9</v>
      </c>
      <c r="C33" s="166" t="s">
        <v>197</v>
      </c>
      <c r="D33" t="s">
        <v>224</v>
      </c>
      <c r="E33" s="167">
        <v>315400</v>
      </c>
      <c r="F33" s="167">
        <v>315499</v>
      </c>
    </row>
    <row r="34" spans="1:6">
      <c r="A34">
        <f t="shared" si="0"/>
        <v>32</v>
      </c>
      <c r="B34" s="165">
        <v>9</v>
      </c>
      <c r="C34" s="166" t="s">
        <v>197</v>
      </c>
      <c r="D34" t="s">
        <v>225</v>
      </c>
      <c r="E34" s="167">
        <v>315500</v>
      </c>
      <c r="F34" s="167">
        <v>315599</v>
      </c>
    </row>
    <row r="35" spans="1:6">
      <c r="A35">
        <f t="shared" si="0"/>
        <v>33</v>
      </c>
      <c r="B35" s="165">
        <v>9</v>
      </c>
      <c r="C35" s="166" t="s">
        <v>197</v>
      </c>
      <c r="D35" t="s">
        <v>226</v>
      </c>
      <c r="E35" s="167">
        <v>315600</v>
      </c>
      <c r="F35" s="167">
        <v>315699</v>
      </c>
    </row>
    <row r="36" spans="1:6">
      <c r="A36">
        <f t="shared" si="0"/>
        <v>34</v>
      </c>
      <c r="B36" s="165">
        <v>9</v>
      </c>
      <c r="C36" s="166" t="s">
        <v>197</v>
      </c>
      <c r="D36" t="s">
        <v>227</v>
      </c>
      <c r="E36" s="167">
        <v>315700</v>
      </c>
      <c r="F36" s="167">
        <v>315799</v>
      </c>
    </row>
    <row r="37" spans="1:6">
      <c r="A37">
        <f t="shared" si="0"/>
        <v>35</v>
      </c>
      <c r="B37" s="165">
        <v>9</v>
      </c>
      <c r="C37" s="166" t="s">
        <v>197</v>
      </c>
      <c r="D37" t="s">
        <v>228</v>
      </c>
      <c r="E37" s="167">
        <v>320000</v>
      </c>
      <c r="F37" s="167">
        <v>320099</v>
      </c>
    </row>
    <row r="38" spans="1:6">
      <c r="A38">
        <f t="shared" si="0"/>
        <v>36</v>
      </c>
      <c r="B38" s="165">
        <v>9</v>
      </c>
      <c r="C38" s="166" t="s">
        <v>197</v>
      </c>
      <c r="D38" t="s">
        <v>229</v>
      </c>
      <c r="E38" s="167">
        <v>320100</v>
      </c>
      <c r="F38" s="167">
        <v>320999</v>
      </c>
    </row>
    <row r="39" spans="1:6">
      <c r="A39">
        <f t="shared" si="0"/>
        <v>37</v>
      </c>
      <c r="B39" s="165">
        <v>9</v>
      </c>
      <c r="C39" s="166" t="s">
        <v>197</v>
      </c>
      <c r="D39" t="s">
        <v>230</v>
      </c>
      <c r="E39" s="167">
        <v>321000</v>
      </c>
      <c r="F39" s="167">
        <v>321997</v>
      </c>
    </row>
    <row r="40" spans="1:6">
      <c r="A40">
        <f t="shared" si="0"/>
        <v>38</v>
      </c>
      <c r="B40" s="165">
        <v>9</v>
      </c>
      <c r="C40" s="166" t="s">
        <v>197</v>
      </c>
      <c r="D40" t="s">
        <v>231</v>
      </c>
      <c r="E40" s="167">
        <v>325000</v>
      </c>
      <c r="F40" s="167">
        <v>325099</v>
      </c>
    </row>
    <row r="41" spans="1:6">
      <c r="A41">
        <f t="shared" si="0"/>
        <v>39</v>
      </c>
      <c r="B41" s="165">
        <v>9</v>
      </c>
      <c r="C41" s="166" t="s">
        <v>197</v>
      </c>
      <c r="D41" t="s">
        <v>232</v>
      </c>
      <c r="E41" s="167">
        <v>325100</v>
      </c>
      <c r="F41" s="167">
        <v>332999</v>
      </c>
    </row>
    <row r="42" spans="1:6">
      <c r="A42">
        <f t="shared" si="0"/>
        <v>40</v>
      </c>
      <c r="B42" s="165">
        <v>9</v>
      </c>
      <c r="C42" s="166" t="s">
        <v>197</v>
      </c>
      <c r="D42" t="s">
        <v>233</v>
      </c>
      <c r="E42" s="167">
        <v>333000</v>
      </c>
      <c r="F42" s="167">
        <v>334996</v>
      </c>
    </row>
    <row r="43" spans="1:6">
      <c r="A43">
        <f t="shared" si="0"/>
        <v>41</v>
      </c>
      <c r="B43" s="165">
        <v>9</v>
      </c>
      <c r="C43" s="166" t="s">
        <v>197</v>
      </c>
      <c r="D43" t="s">
        <v>234</v>
      </c>
      <c r="E43" s="167">
        <v>334997</v>
      </c>
      <c r="F43" s="167">
        <v>334997</v>
      </c>
    </row>
    <row r="44" spans="1:6">
      <c r="A44">
        <f t="shared" si="0"/>
        <v>42</v>
      </c>
      <c r="B44" s="165">
        <v>9</v>
      </c>
      <c r="C44" s="166" t="s">
        <v>197</v>
      </c>
      <c r="D44" t="s">
        <v>235</v>
      </c>
      <c r="E44" s="167">
        <v>355000</v>
      </c>
      <c r="F44" s="167">
        <v>355099</v>
      </c>
    </row>
    <row r="45" spans="1:6">
      <c r="A45">
        <f t="shared" si="0"/>
        <v>43</v>
      </c>
      <c r="B45" s="165">
        <v>9</v>
      </c>
      <c r="C45" s="166" t="s">
        <v>197</v>
      </c>
      <c r="D45" t="s">
        <v>236</v>
      </c>
      <c r="E45" s="167">
        <v>355100</v>
      </c>
      <c r="F45" s="167">
        <v>355199</v>
      </c>
    </row>
    <row r="46" spans="1:6">
      <c r="A46">
        <f t="shared" si="0"/>
        <v>44</v>
      </c>
      <c r="B46" s="165">
        <v>9</v>
      </c>
      <c r="C46" s="166" t="s">
        <v>197</v>
      </c>
      <c r="D46" t="s">
        <v>237</v>
      </c>
      <c r="E46" s="167">
        <v>355200</v>
      </c>
      <c r="F46" s="167">
        <v>355299</v>
      </c>
    </row>
    <row r="47" spans="1:6">
      <c r="A47">
        <f t="shared" si="0"/>
        <v>45</v>
      </c>
      <c r="B47" s="165">
        <v>9</v>
      </c>
      <c r="C47" s="166" t="s">
        <v>197</v>
      </c>
      <c r="D47" t="s">
        <v>238</v>
      </c>
      <c r="E47" s="167">
        <v>355300</v>
      </c>
      <c r="F47" s="167">
        <v>355399</v>
      </c>
    </row>
    <row r="48" spans="1:6">
      <c r="A48">
        <f t="shared" si="0"/>
        <v>46</v>
      </c>
      <c r="B48" s="165">
        <v>9</v>
      </c>
      <c r="C48" s="166" t="s">
        <v>197</v>
      </c>
      <c r="D48" t="s">
        <v>239</v>
      </c>
      <c r="E48" s="167">
        <v>355400</v>
      </c>
      <c r="F48" s="167">
        <v>355499</v>
      </c>
    </row>
    <row r="49" spans="1:6">
      <c r="A49">
        <f t="shared" si="0"/>
        <v>47</v>
      </c>
      <c r="B49" s="165">
        <v>9</v>
      </c>
      <c r="C49" s="166" t="s">
        <v>197</v>
      </c>
      <c r="D49" t="s">
        <v>240</v>
      </c>
      <c r="E49" s="167">
        <v>355500</v>
      </c>
      <c r="F49" s="167">
        <v>355599</v>
      </c>
    </row>
    <row r="50" spans="1:6">
      <c r="A50">
        <f t="shared" si="0"/>
        <v>48</v>
      </c>
      <c r="B50" s="165">
        <v>9</v>
      </c>
      <c r="C50" s="166" t="s">
        <v>197</v>
      </c>
      <c r="D50" t="s">
        <v>241</v>
      </c>
      <c r="E50" s="167">
        <v>355700</v>
      </c>
      <c r="F50" s="167">
        <v>355799</v>
      </c>
    </row>
    <row r="51" spans="1:6">
      <c r="A51">
        <f t="shared" si="0"/>
        <v>49</v>
      </c>
      <c r="B51" s="165">
        <v>9</v>
      </c>
      <c r="C51" s="166" t="s">
        <v>197</v>
      </c>
      <c r="D51" t="s">
        <v>242</v>
      </c>
      <c r="E51" s="167">
        <v>380000</v>
      </c>
      <c r="F51" s="167">
        <v>380099</v>
      </c>
    </row>
    <row r="52" spans="1:6">
      <c r="A52">
        <f t="shared" si="0"/>
        <v>50</v>
      </c>
      <c r="B52" s="165">
        <v>9</v>
      </c>
      <c r="C52" s="166" t="s">
        <v>197</v>
      </c>
      <c r="D52" t="s">
        <v>243</v>
      </c>
      <c r="E52" s="167">
        <v>380100</v>
      </c>
      <c r="F52" s="167">
        <v>384999</v>
      </c>
    </row>
    <row r="53" spans="1:6">
      <c r="A53">
        <f t="shared" si="0"/>
        <v>51</v>
      </c>
      <c r="B53" s="165">
        <v>9</v>
      </c>
      <c r="C53" s="166" t="s">
        <v>197</v>
      </c>
      <c r="D53" t="s">
        <v>244</v>
      </c>
      <c r="E53" s="167">
        <v>385000</v>
      </c>
      <c r="F53" s="167">
        <v>389999</v>
      </c>
    </row>
    <row r="54" spans="1:6">
      <c r="A54">
        <f t="shared" si="0"/>
        <v>52</v>
      </c>
      <c r="B54" s="165">
        <v>9</v>
      </c>
      <c r="C54" s="166" t="s">
        <v>197</v>
      </c>
      <c r="D54" t="s">
        <v>245</v>
      </c>
      <c r="E54" s="167">
        <v>390000</v>
      </c>
      <c r="F54" s="167">
        <v>390000</v>
      </c>
    </row>
    <row r="55" spans="1:6">
      <c r="A55">
        <f t="shared" si="0"/>
        <v>53</v>
      </c>
      <c r="B55" s="165">
        <v>9</v>
      </c>
      <c r="C55" s="166" t="s">
        <v>197</v>
      </c>
      <c r="D55" t="s">
        <v>246</v>
      </c>
      <c r="E55" s="167">
        <v>390001</v>
      </c>
      <c r="F55" s="167">
        <v>390001</v>
      </c>
    </row>
    <row r="56" spans="1:6">
      <c r="A56">
        <f t="shared" si="0"/>
        <v>54</v>
      </c>
      <c r="B56" s="165">
        <v>9</v>
      </c>
      <c r="C56" s="166" t="s">
        <v>197</v>
      </c>
      <c r="D56" t="s">
        <v>247</v>
      </c>
      <c r="E56" s="167">
        <v>390002</v>
      </c>
      <c r="F56" s="167">
        <v>390002</v>
      </c>
    </row>
    <row r="57" spans="1:6">
      <c r="A57">
        <f t="shared" si="0"/>
        <v>55</v>
      </c>
      <c r="B57" s="165">
        <v>9</v>
      </c>
      <c r="C57" s="166" t="s">
        <v>197</v>
      </c>
      <c r="D57" t="s">
        <v>248</v>
      </c>
      <c r="E57" s="167">
        <v>390003</v>
      </c>
      <c r="F57" s="167">
        <v>390003</v>
      </c>
    </row>
    <row r="58" spans="1:6">
      <c r="A58">
        <f t="shared" si="0"/>
        <v>56</v>
      </c>
      <c r="B58" s="165">
        <v>9</v>
      </c>
      <c r="C58" s="166" t="s">
        <v>197</v>
      </c>
      <c r="D58" t="s">
        <v>249</v>
      </c>
      <c r="E58" s="167">
        <v>390004</v>
      </c>
      <c r="F58" s="167">
        <v>390004</v>
      </c>
    </row>
    <row r="59" spans="1:6">
      <c r="A59">
        <f t="shared" si="0"/>
        <v>57</v>
      </c>
      <c r="B59" s="165">
        <v>9</v>
      </c>
      <c r="C59" s="166" t="s">
        <v>197</v>
      </c>
      <c r="D59" t="s">
        <v>250</v>
      </c>
      <c r="E59" s="167">
        <v>390005</v>
      </c>
      <c r="F59" s="167">
        <v>390005</v>
      </c>
    </row>
    <row r="60" spans="1:6">
      <c r="A60">
        <f t="shared" si="0"/>
        <v>58</v>
      </c>
      <c r="B60" s="165">
        <v>9</v>
      </c>
      <c r="C60" s="166" t="s">
        <v>197</v>
      </c>
      <c r="D60" t="s">
        <v>251</v>
      </c>
      <c r="E60" s="167">
        <v>390006</v>
      </c>
      <c r="F60" s="167">
        <v>390006</v>
      </c>
    </row>
    <row r="61" spans="1:6">
      <c r="A61">
        <f t="shared" si="0"/>
        <v>59</v>
      </c>
      <c r="B61" s="165">
        <v>9</v>
      </c>
      <c r="C61" s="166" t="s">
        <v>197</v>
      </c>
      <c r="D61" t="s">
        <v>252</v>
      </c>
      <c r="E61" s="167">
        <v>390007</v>
      </c>
      <c r="F61" s="167">
        <v>390007</v>
      </c>
    </row>
    <row r="62" spans="1:6">
      <c r="A62">
        <f t="shared" si="0"/>
        <v>60</v>
      </c>
      <c r="B62" s="165">
        <v>9</v>
      </c>
      <c r="C62" s="166" t="s">
        <v>197</v>
      </c>
      <c r="D62" t="s">
        <v>253</v>
      </c>
      <c r="E62" s="167">
        <v>390008</v>
      </c>
      <c r="F62" s="167">
        <v>390008</v>
      </c>
    </row>
    <row r="63" spans="1:6">
      <c r="A63">
        <f t="shared" si="0"/>
        <v>61</v>
      </c>
      <c r="B63" s="165">
        <v>9</v>
      </c>
      <c r="C63" s="166" t="s">
        <v>197</v>
      </c>
      <c r="D63" t="s">
        <v>254</v>
      </c>
      <c r="E63" s="167">
        <v>390009</v>
      </c>
      <c r="F63" s="167">
        <v>390009</v>
      </c>
    </row>
    <row r="64" spans="1:6">
      <c r="A64">
        <f t="shared" si="0"/>
        <v>62</v>
      </c>
      <c r="B64" s="165">
        <v>9</v>
      </c>
      <c r="C64" s="166" t="s">
        <v>197</v>
      </c>
      <c r="D64" t="s">
        <v>255</v>
      </c>
      <c r="E64" s="167">
        <v>390010</v>
      </c>
      <c r="F64" s="167">
        <v>390010</v>
      </c>
    </row>
    <row r="65" spans="1:6">
      <c r="A65">
        <f t="shared" si="0"/>
        <v>63</v>
      </c>
      <c r="B65" s="165">
        <v>9</v>
      </c>
      <c r="C65" s="166" t="s">
        <v>197</v>
      </c>
      <c r="D65" t="s">
        <v>256</v>
      </c>
      <c r="E65" s="167">
        <v>390011</v>
      </c>
      <c r="F65" s="167">
        <v>390011</v>
      </c>
    </row>
    <row r="66" spans="1:6">
      <c r="A66">
        <f t="shared" si="0"/>
        <v>64</v>
      </c>
      <c r="B66" s="165">
        <v>9</v>
      </c>
      <c r="C66" s="166" t="s">
        <v>197</v>
      </c>
      <c r="D66" t="s">
        <v>257</v>
      </c>
      <c r="E66" s="167">
        <v>390012</v>
      </c>
      <c r="F66" s="167">
        <v>390012</v>
      </c>
    </row>
    <row r="67" spans="1:6">
      <c r="A67">
        <f t="shared" si="0"/>
        <v>65</v>
      </c>
      <c r="B67" s="165">
        <v>9</v>
      </c>
      <c r="C67" s="166" t="s">
        <v>197</v>
      </c>
      <c r="D67" t="s">
        <v>258</v>
      </c>
      <c r="E67" s="167">
        <v>390013</v>
      </c>
      <c r="F67" s="167">
        <v>390013</v>
      </c>
    </row>
    <row r="68" spans="1:6">
      <c r="A68">
        <f t="shared" ref="A68:A131" si="1">A67+1</f>
        <v>66</v>
      </c>
      <c r="B68" s="165">
        <v>9</v>
      </c>
      <c r="C68" s="166" t="s">
        <v>197</v>
      </c>
      <c r="D68" t="s">
        <v>259</v>
      </c>
      <c r="E68" s="167">
        <v>390014</v>
      </c>
      <c r="F68" s="167">
        <v>390014</v>
      </c>
    </row>
    <row r="69" spans="1:6">
      <c r="A69">
        <f t="shared" si="1"/>
        <v>67</v>
      </c>
      <c r="B69" s="165">
        <v>9</v>
      </c>
      <c r="C69" s="166" t="s">
        <v>197</v>
      </c>
      <c r="D69" t="s">
        <v>260</v>
      </c>
      <c r="E69" s="167">
        <v>390015</v>
      </c>
      <c r="F69" s="167">
        <v>390015</v>
      </c>
    </row>
    <row r="70" spans="1:6">
      <c r="A70">
        <f t="shared" si="1"/>
        <v>68</v>
      </c>
      <c r="B70" s="165">
        <v>9</v>
      </c>
      <c r="C70" s="166" t="s">
        <v>197</v>
      </c>
      <c r="D70" t="s">
        <v>261</v>
      </c>
      <c r="E70" s="167">
        <v>390016</v>
      </c>
      <c r="F70" s="167">
        <v>390016</v>
      </c>
    </row>
    <row r="71" spans="1:6">
      <c r="A71">
        <f t="shared" si="1"/>
        <v>69</v>
      </c>
      <c r="B71" s="165">
        <v>9</v>
      </c>
      <c r="C71" s="166" t="s">
        <v>197</v>
      </c>
      <c r="D71" t="s">
        <v>262</v>
      </c>
      <c r="E71" s="167">
        <v>390017</v>
      </c>
      <c r="F71" s="167">
        <v>390017</v>
      </c>
    </row>
    <row r="72" spans="1:6">
      <c r="A72">
        <f t="shared" si="1"/>
        <v>70</v>
      </c>
      <c r="B72" s="165">
        <v>9</v>
      </c>
      <c r="C72" s="166" t="s">
        <v>197</v>
      </c>
      <c r="D72" t="s">
        <v>263</v>
      </c>
      <c r="E72" s="167">
        <v>390018</v>
      </c>
      <c r="F72" s="167">
        <v>390018</v>
      </c>
    </row>
    <row r="73" spans="1:6">
      <c r="A73">
        <f t="shared" si="1"/>
        <v>71</v>
      </c>
      <c r="B73" s="165">
        <v>9</v>
      </c>
      <c r="C73" s="166" t="s">
        <v>197</v>
      </c>
      <c r="D73" t="s">
        <v>264</v>
      </c>
      <c r="E73" s="167">
        <v>390019</v>
      </c>
      <c r="F73" s="167">
        <v>390019</v>
      </c>
    </row>
    <row r="74" spans="1:6">
      <c r="A74">
        <f t="shared" si="1"/>
        <v>72</v>
      </c>
      <c r="B74" s="165">
        <v>9</v>
      </c>
      <c r="C74" s="166" t="s">
        <v>197</v>
      </c>
      <c r="D74" t="s">
        <v>265</v>
      </c>
      <c r="E74" s="167">
        <v>390020</v>
      </c>
      <c r="F74" s="167">
        <v>390020</v>
      </c>
    </row>
    <row r="75" spans="1:6">
      <c r="A75">
        <f t="shared" si="1"/>
        <v>73</v>
      </c>
      <c r="B75" s="165">
        <v>9</v>
      </c>
      <c r="C75" s="166" t="s">
        <v>197</v>
      </c>
      <c r="D75" t="s">
        <v>266</v>
      </c>
      <c r="E75" s="167">
        <v>390021</v>
      </c>
      <c r="F75" s="167">
        <v>390021</v>
      </c>
    </row>
    <row r="76" spans="1:6">
      <c r="A76">
        <f t="shared" si="1"/>
        <v>74</v>
      </c>
      <c r="B76" s="165">
        <v>9</v>
      </c>
      <c r="C76" s="166" t="s">
        <v>197</v>
      </c>
      <c r="D76" t="s">
        <v>267</v>
      </c>
      <c r="E76" s="167">
        <v>390022</v>
      </c>
      <c r="F76" s="167">
        <v>390022</v>
      </c>
    </row>
    <row r="77" spans="1:6">
      <c r="A77">
        <f t="shared" si="1"/>
        <v>75</v>
      </c>
      <c r="B77" s="165">
        <v>9</v>
      </c>
      <c r="C77" s="166" t="s">
        <v>197</v>
      </c>
      <c r="D77" t="s">
        <v>268</v>
      </c>
      <c r="E77" s="167">
        <v>390023</v>
      </c>
      <c r="F77" s="167">
        <v>390023</v>
      </c>
    </row>
    <row r="78" spans="1:6">
      <c r="A78">
        <f t="shared" si="1"/>
        <v>76</v>
      </c>
      <c r="B78" s="165">
        <v>9</v>
      </c>
      <c r="C78" s="166" t="s">
        <v>197</v>
      </c>
      <c r="D78" t="s">
        <v>269</v>
      </c>
      <c r="E78" s="167">
        <v>390024</v>
      </c>
      <c r="F78" s="167">
        <v>390024</v>
      </c>
    </row>
    <row r="79" spans="1:6">
      <c r="A79">
        <f t="shared" si="1"/>
        <v>77</v>
      </c>
      <c r="B79" s="165">
        <v>9</v>
      </c>
      <c r="C79" s="166" t="s">
        <v>197</v>
      </c>
      <c r="D79" t="s">
        <v>270</v>
      </c>
      <c r="E79" s="167">
        <v>390025</v>
      </c>
      <c r="F79" s="167">
        <v>390025</v>
      </c>
    </row>
    <row r="80" spans="1:6">
      <c r="A80">
        <f t="shared" si="1"/>
        <v>78</v>
      </c>
      <c r="B80" s="165">
        <v>9</v>
      </c>
      <c r="C80" s="166" t="s">
        <v>197</v>
      </c>
      <c r="D80" t="s">
        <v>271</v>
      </c>
      <c r="E80" s="167">
        <v>390026</v>
      </c>
      <c r="F80" s="167">
        <v>390026</v>
      </c>
    </row>
    <row r="81" spans="1:6">
      <c r="A81">
        <f t="shared" si="1"/>
        <v>79</v>
      </c>
      <c r="B81" s="165">
        <v>9</v>
      </c>
      <c r="C81" s="166" t="s">
        <v>197</v>
      </c>
      <c r="D81" t="s">
        <v>272</v>
      </c>
      <c r="E81" s="167">
        <v>390027</v>
      </c>
      <c r="F81" s="167">
        <v>390027</v>
      </c>
    </row>
    <row r="82" spans="1:6">
      <c r="A82">
        <f t="shared" si="1"/>
        <v>80</v>
      </c>
      <c r="B82" s="165">
        <v>9</v>
      </c>
      <c r="C82" s="166" t="s">
        <v>197</v>
      </c>
      <c r="D82" t="s">
        <v>273</v>
      </c>
      <c r="E82" s="167">
        <v>390029</v>
      </c>
      <c r="F82" s="167">
        <v>390029</v>
      </c>
    </row>
    <row r="83" spans="1:6">
      <c r="A83">
        <f t="shared" si="1"/>
        <v>81</v>
      </c>
      <c r="B83" s="165">
        <v>9</v>
      </c>
      <c r="C83" s="166" t="s">
        <v>197</v>
      </c>
      <c r="D83" t="s">
        <v>274</v>
      </c>
      <c r="E83" s="167">
        <v>390030</v>
      </c>
      <c r="F83" s="167">
        <v>390030</v>
      </c>
    </row>
    <row r="84" spans="1:6">
      <c r="A84">
        <f t="shared" si="1"/>
        <v>82</v>
      </c>
      <c r="B84" s="165">
        <v>9</v>
      </c>
      <c r="C84" s="166" t="s">
        <v>197</v>
      </c>
      <c r="D84" t="s">
        <v>275</v>
      </c>
      <c r="E84" s="167">
        <v>390031</v>
      </c>
      <c r="F84" s="167">
        <v>390031</v>
      </c>
    </row>
    <row r="85" spans="1:6">
      <c r="A85">
        <f t="shared" si="1"/>
        <v>83</v>
      </c>
      <c r="B85" s="165">
        <v>9</v>
      </c>
      <c r="C85" s="166" t="s">
        <v>197</v>
      </c>
      <c r="D85" t="s">
        <v>276</v>
      </c>
      <c r="E85" s="167">
        <v>390032</v>
      </c>
      <c r="F85" s="167">
        <v>390032</v>
      </c>
    </row>
    <row r="86" spans="1:6">
      <c r="A86">
        <f t="shared" si="1"/>
        <v>84</v>
      </c>
      <c r="B86" s="165">
        <v>9</v>
      </c>
      <c r="C86" s="166" t="s">
        <v>197</v>
      </c>
      <c r="D86" t="s">
        <v>277</v>
      </c>
      <c r="E86" s="167">
        <v>390049</v>
      </c>
      <c r="F86" s="167">
        <v>390049</v>
      </c>
    </row>
    <row r="87" spans="1:6">
      <c r="A87">
        <f t="shared" si="1"/>
        <v>85</v>
      </c>
      <c r="B87" s="165">
        <v>9</v>
      </c>
      <c r="C87" s="166" t="s">
        <v>197</v>
      </c>
      <c r="D87" t="s">
        <v>278</v>
      </c>
      <c r="E87" s="167">
        <v>390050</v>
      </c>
      <c r="F87" s="167">
        <v>390050</v>
      </c>
    </row>
    <row r="88" spans="1:6">
      <c r="A88">
        <f t="shared" si="1"/>
        <v>86</v>
      </c>
      <c r="B88" s="165">
        <v>9</v>
      </c>
      <c r="C88" s="166" t="s">
        <v>197</v>
      </c>
      <c r="D88" t="s">
        <v>279</v>
      </c>
      <c r="E88" s="167">
        <v>390051</v>
      </c>
      <c r="F88" s="167">
        <v>390051</v>
      </c>
    </row>
    <row r="89" spans="1:6">
      <c r="A89">
        <f t="shared" si="1"/>
        <v>87</v>
      </c>
      <c r="B89" s="165">
        <v>9</v>
      </c>
      <c r="C89" s="166" t="s">
        <v>197</v>
      </c>
      <c r="D89" t="s">
        <v>280</v>
      </c>
      <c r="E89" s="167">
        <v>390052</v>
      </c>
      <c r="F89" s="167">
        <v>390052</v>
      </c>
    </row>
    <row r="90" spans="1:6">
      <c r="A90">
        <f t="shared" si="1"/>
        <v>88</v>
      </c>
      <c r="B90" s="165">
        <v>9</v>
      </c>
      <c r="C90" s="166" t="s">
        <v>197</v>
      </c>
      <c r="D90" t="s">
        <v>281</v>
      </c>
      <c r="E90" s="167">
        <v>390053</v>
      </c>
      <c r="F90" s="167">
        <v>390053</v>
      </c>
    </row>
    <row r="91" spans="1:6">
      <c r="A91">
        <f t="shared" si="1"/>
        <v>89</v>
      </c>
      <c r="B91" s="165">
        <v>9</v>
      </c>
      <c r="C91" s="166" t="s">
        <v>197</v>
      </c>
      <c r="D91" t="s">
        <v>282</v>
      </c>
      <c r="E91" s="167">
        <v>390054</v>
      </c>
      <c r="F91" s="167">
        <v>390054</v>
      </c>
    </row>
    <row r="92" spans="1:6">
      <c r="A92">
        <f t="shared" si="1"/>
        <v>90</v>
      </c>
      <c r="B92" s="165">
        <v>9</v>
      </c>
      <c r="C92" s="166" t="s">
        <v>197</v>
      </c>
      <c r="D92" t="s">
        <v>283</v>
      </c>
      <c r="E92" s="167">
        <v>390055</v>
      </c>
      <c r="F92" s="167">
        <v>390055</v>
      </c>
    </row>
    <row r="93" spans="1:6">
      <c r="A93">
        <f t="shared" si="1"/>
        <v>91</v>
      </c>
      <c r="B93" s="165">
        <v>9</v>
      </c>
      <c r="C93" s="166" t="s">
        <v>197</v>
      </c>
      <c r="D93" t="s">
        <v>284</v>
      </c>
      <c r="E93" s="167">
        <v>390056</v>
      </c>
      <c r="F93" s="167">
        <v>390056</v>
      </c>
    </row>
    <row r="94" spans="1:6">
      <c r="A94">
        <f t="shared" si="1"/>
        <v>92</v>
      </c>
      <c r="B94" s="165">
        <v>9</v>
      </c>
      <c r="C94" s="166" t="s">
        <v>197</v>
      </c>
      <c r="D94" t="s">
        <v>285</v>
      </c>
      <c r="E94" s="167">
        <v>390057</v>
      </c>
      <c r="F94" s="167">
        <v>390057</v>
      </c>
    </row>
    <row r="95" spans="1:6">
      <c r="A95">
        <f t="shared" si="1"/>
        <v>93</v>
      </c>
      <c r="B95" s="165">
        <v>9</v>
      </c>
      <c r="C95" s="166" t="s">
        <v>197</v>
      </c>
      <c r="D95" t="s">
        <v>286</v>
      </c>
      <c r="E95" s="167">
        <v>390058</v>
      </c>
      <c r="F95" s="167">
        <v>390058</v>
      </c>
    </row>
    <row r="96" spans="1:6">
      <c r="A96">
        <f t="shared" si="1"/>
        <v>94</v>
      </c>
      <c r="B96" s="165">
        <v>9</v>
      </c>
      <c r="C96" s="166" t="s">
        <v>197</v>
      </c>
      <c r="D96" t="s">
        <v>287</v>
      </c>
      <c r="E96" s="167">
        <v>390059</v>
      </c>
      <c r="F96" s="167">
        <v>390059</v>
      </c>
    </row>
    <row r="97" spans="1:6">
      <c r="A97">
        <f t="shared" si="1"/>
        <v>95</v>
      </c>
      <c r="B97" s="165">
        <v>9</v>
      </c>
      <c r="C97" s="166" t="s">
        <v>197</v>
      </c>
      <c r="D97" t="s">
        <v>288</v>
      </c>
      <c r="E97" s="167">
        <v>390060</v>
      </c>
      <c r="F97" s="167">
        <v>390060</v>
      </c>
    </row>
    <row r="98" spans="1:6">
      <c r="A98">
        <f t="shared" si="1"/>
        <v>96</v>
      </c>
      <c r="B98" s="165">
        <v>9</v>
      </c>
      <c r="C98" s="166" t="s">
        <v>197</v>
      </c>
      <c r="D98" t="s">
        <v>289</v>
      </c>
      <c r="E98" s="167">
        <v>390061</v>
      </c>
      <c r="F98" s="167">
        <v>390061</v>
      </c>
    </row>
    <row r="99" spans="1:6">
      <c r="A99">
        <f t="shared" si="1"/>
        <v>97</v>
      </c>
      <c r="B99" s="165">
        <v>9</v>
      </c>
      <c r="C99" s="166" t="s">
        <v>197</v>
      </c>
      <c r="D99" t="s">
        <v>290</v>
      </c>
      <c r="E99" s="167">
        <v>390062</v>
      </c>
      <c r="F99" s="167">
        <v>390062</v>
      </c>
    </row>
    <row r="100" spans="1:6">
      <c r="A100">
        <f t="shared" si="1"/>
        <v>98</v>
      </c>
      <c r="B100" s="165">
        <v>9</v>
      </c>
      <c r="C100" s="166" t="s">
        <v>197</v>
      </c>
      <c r="D100" t="s">
        <v>291</v>
      </c>
      <c r="E100" s="167">
        <v>390063</v>
      </c>
      <c r="F100" s="167">
        <v>390063</v>
      </c>
    </row>
    <row r="101" spans="1:6">
      <c r="A101">
        <f t="shared" si="1"/>
        <v>99</v>
      </c>
      <c r="B101" s="165">
        <v>9</v>
      </c>
      <c r="C101" s="166" t="s">
        <v>197</v>
      </c>
      <c r="D101" t="s">
        <v>292</v>
      </c>
      <c r="E101" s="167">
        <v>390064</v>
      </c>
      <c r="F101" s="167">
        <v>390064</v>
      </c>
    </row>
    <row r="102" spans="1:6">
      <c r="A102">
        <f t="shared" si="1"/>
        <v>100</v>
      </c>
      <c r="B102" s="165">
        <v>9</v>
      </c>
      <c r="C102" s="166" t="s">
        <v>197</v>
      </c>
      <c r="D102" t="s">
        <v>293</v>
      </c>
      <c r="E102" s="167">
        <v>390065</v>
      </c>
      <c r="F102" s="167">
        <v>390065</v>
      </c>
    </row>
    <row r="103" spans="1:6">
      <c r="A103">
        <f t="shared" si="1"/>
        <v>101</v>
      </c>
      <c r="B103" s="165">
        <v>9</v>
      </c>
      <c r="C103" s="166" t="s">
        <v>197</v>
      </c>
      <c r="D103" t="s">
        <v>294</v>
      </c>
      <c r="E103" s="167">
        <v>390066</v>
      </c>
      <c r="F103" s="167">
        <v>390066</v>
      </c>
    </row>
    <row r="104" spans="1:6">
      <c r="A104">
        <f t="shared" si="1"/>
        <v>102</v>
      </c>
      <c r="B104" s="165">
        <v>9</v>
      </c>
      <c r="C104" s="166" t="s">
        <v>197</v>
      </c>
      <c r="D104" t="s">
        <v>295</v>
      </c>
      <c r="E104" s="167">
        <v>390067</v>
      </c>
      <c r="F104" s="167">
        <v>390067</v>
      </c>
    </row>
    <row r="105" spans="1:6">
      <c r="A105">
        <f t="shared" si="1"/>
        <v>103</v>
      </c>
      <c r="B105" s="165">
        <v>9</v>
      </c>
      <c r="C105" s="166" t="s">
        <v>197</v>
      </c>
      <c r="D105" t="s">
        <v>296</v>
      </c>
      <c r="E105" s="167">
        <v>390069</v>
      </c>
      <c r="F105" s="167">
        <v>390069</v>
      </c>
    </row>
    <row r="106" spans="1:6">
      <c r="A106">
        <f t="shared" si="1"/>
        <v>104</v>
      </c>
      <c r="B106" s="165">
        <v>9</v>
      </c>
      <c r="C106" s="166" t="s">
        <v>197</v>
      </c>
      <c r="D106" t="s">
        <v>297</v>
      </c>
      <c r="E106" s="167">
        <v>390070</v>
      </c>
      <c r="F106" s="167">
        <v>390070</v>
      </c>
    </row>
    <row r="107" spans="1:6">
      <c r="A107">
        <f t="shared" si="1"/>
        <v>105</v>
      </c>
      <c r="B107" s="165">
        <v>9</v>
      </c>
      <c r="C107" s="166" t="s">
        <v>197</v>
      </c>
      <c r="D107" t="s">
        <v>298</v>
      </c>
      <c r="E107" s="167">
        <v>390071</v>
      </c>
      <c r="F107" s="167">
        <v>390071</v>
      </c>
    </row>
    <row r="108" spans="1:6">
      <c r="A108">
        <f t="shared" si="1"/>
        <v>106</v>
      </c>
      <c r="B108" s="165">
        <v>9</v>
      </c>
      <c r="C108" s="166" t="s">
        <v>197</v>
      </c>
      <c r="D108" t="s">
        <v>299</v>
      </c>
      <c r="E108" s="167">
        <v>390072</v>
      </c>
      <c r="F108" s="167">
        <v>390072</v>
      </c>
    </row>
    <row r="109" spans="1:6">
      <c r="A109">
        <f t="shared" si="1"/>
        <v>107</v>
      </c>
      <c r="B109" s="165">
        <v>9</v>
      </c>
      <c r="C109" s="166" t="s">
        <v>197</v>
      </c>
      <c r="D109" t="s">
        <v>300</v>
      </c>
      <c r="E109" s="167">
        <v>390073</v>
      </c>
      <c r="F109" s="167">
        <v>390073</v>
      </c>
    </row>
    <row r="110" spans="1:6">
      <c r="A110">
        <f t="shared" si="1"/>
        <v>108</v>
      </c>
      <c r="B110" s="165">
        <v>9</v>
      </c>
      <c r="C110" s="166" t="s">
        <v>197</v>
      </c>
      <c r="D110" t="s">
        <v>301</v>
      </c>
      <c r="E110" s="167">
        <v>390074</v>
      </c>
      <c r="F110" s="167">
        <v>390074</v>
      </c>
    </row>
    <row r="111" spans="1:6">
      <c r="A111">
        <f t="shared" si="1"/>
        <v>109</v>
      </c>
      <c r="B111" s="165">
        <v>9</v>
      </c>
      <c r="C111" s="166" t="s">
        <v>197</v>
      </c>
      <c r="D111" t="s">
        <v>302</v>
      </c>
      <c r="E111" s="167">
        <v>390075</v>
      </c>
      <c r="F111" s="167">
        <v>390075</v>
      </c>
    </row>
    <row r="112" spans="1:6">
      <c r="A112">
        <f t="shared" si="1"/>
        <v>110</v>
      </c>
      <c r="B112" s="165">
        <v>9</v>
      </c>
      <c r="C112" s="166" t="s">
        <v>197</v>
      </c>
      <c r="D112" t="s">
        <v>303</v>
      </c>
      <c r="E112" s="167">
        <v>390076</v>
      </c>
      <c r="F112" s="167">
        <v>390076</v>
      </c>
    </row>
    <row r="113" spans="1:6">
      <c r="A113">
        <f t="shared" si="1"/>
        <v>111</v>
      </c>
      <c r="B113" s="165">
        <v>9</v>
      </c>
      <c r="C113" s="166" t="s">
        <v>197</v>
      </c>
      <c r="D113" t="s">
        <v>304</v>
      </c>
      <c r="E113" s="167">
        <v>390077</v>
      </c>
      <c r="F113" s="167">
        <v>390077</v>
      </c>
    </row>
    <row r="114" spans="1:6">
      <c r="A114">
        <f t="shared" si="1"/>
        <v>112</v>
      </c>
      <c r="B114" s="165">
        <v>9</v>
      </c>
      <c r="C114" s="166" t="s">
        <v>197</v>
      </c>
      <c r="D114" t="s">
        <v>305</v>
      </c>
      <c r="E114" s="167">
        <v>390078</v>
      </c>
      <c r="F114" s="167">
        <v>390078</v>
      </c>
    </row>
    <row r="115" spans="1:6">
      <c r="A115">
        <f t="shared" si="1"/>
        <v>113</v>
      </c>
      <c r="B115" s="165">
        <v>9</v>
      </c>
      <c r="C115" s="166" t="s">
        <v>197</v>
      </c>
      <c r="D115" t="s">
        <v>306</v>
      </c>
      <c r="E115" s="167">
        <v>390079</v>
      </c>
      <c r="F115" s="167">
        <v>390079</v>
      </c>
    </row>
    <row r="116" spans="1:6">
      <c r="A116">
        <f t="shared" si="1"/>
        <v>114</v>
      </c>
      <c r="B116" s="165">
        <v>9</v>
      </c>
      <c r="C116" s="166" t="s">
        <v>197</v>
      </c>
      <c r="D116" t="s">
        <v>307</v>
      </c>
      <c r="E116" s="167">
        <v>390080</v>
      </c>
      <c r="F116" s="167">
        <v>390080</v>
      </c>
    </row>
    <row r="117" spans="1:6">
      <c r="A117">
        <f t="shared" si="1"/>
        <v>115</v>
      </c>
      <c r="B117" s="165">
        <v>9</v>
      </c>
      <c r="C117" s="166" t="s">
        <v>197</v>
      </c>
      <c r="D117" t="s">
        <v>308</v>
      </c>
      <c r="E117" s="167">
        <v>390081</v>
      </c>
      <c r="F117" s="167">
        <v>390081</v>
      </c>
    </row>
    <row r="118" spans="1:6">
      <c r="A118">
        <f t="shared" si="1"/>
        <v>116</v>
      </c>
      <c r="B118" s="165">
        <v>9</v>
      </c>
      <c r="C118" s="166" t="s">
        <v>197</v>
      </c>
      <c r="D118" t="s">
        <v>309</v>
      </c>
      <c r="E118" s="167">
        <v>390083</v>
      </c>
      <c r="F118" s="167">
        <v>390083</v>
      </c>
    </row>
    <row r="119" spans="1:6">
      <c r="A119">
        <f t="shared" si="1"/>
        <v>117</v>
      </c>
      <c r="B119" s="165">
        <v>9</v>
      </c>
      <c r="C119" s="166" t="s">
        <v>197</v>
      </c>
      <c r="D119" t="s">
        <v>310</v>
      </c>
      <c r="E119" s="167">
        <v>390084</v>
      </c>
      <c r="F119" s="167">
        <v>390084</v>
      </c>
    </row>
    <row r="120" spans="1:6">
      <c r="A120">
        <f t="shared" si="1"/>
        <v>118</v>
      </c>
      <c r="B120" s="165">
        <v>9</v>
      </c>
      <c r="C120" s="166" t="s">
        <v>197</v>
      </c>
      <c r="D120" t="s">
        <v>311</v>
      </c>
      <c r="E120" s="167">
        <v>390085</v>
      </c>
      <c r="F120" s="167">
        <v>390085</v>
      </c>
    </row>
    <row r="121" spans="1:6">
      <c r="A121">
        <f t="shared" si="1"/>
        <v>119</v>
      </c>
      <c r="B121" s="165">
        <v>9</v>
      </c>
      <c r="C121" s="166" t="s">
        <v>197</v>
      </c>
      <c r="D121" t="s">
        <v>312</v>
      </c>
      <c r="E121" s="167">
        <v>390086</v>
      </c>
      <c r="F121" s="167">
        <v>390086</v>
      </c>
    </row>
    <row r="122" spans="1:6">
      <c r="A122">
        <f t="shared" si="1"/>
        <v>120</v>
      </c>
      <c r="B122" s="165">
        <v>9</v>
      </c>
      <c r="C122" s="166" t="s">
        <v>197</v>
      </c>
      <c r="D122" t="s">
        <v>313</v>
      </c>
      <c r="E122" s="167">
        <v>390087</v>
      </c>
      <c r="F122" s="167">
        <v>390087</v>
      </c>
    </row>
    <row r="123" spans="1:6">
      <c r="A123">
        <f t="shared" si="1"/>
        <v>121</v>
      </c>
      <c r="B123" s="165">
        <v>9</v>
      </c>
      <c r="C123" s="166" t="s">
        <v>197</v>
      </c>
      <c r="D123" t="s">
        <v>314</v>
      </c>
      <c r="E123" s="167">
        <v>390088</v>
      </c>
      <c r="F123" s="167">
        <v>390088</v>
      </c>
    </row>
    <row r="124" spans="1:6">
      <c r="A124">
        <f t="shared" si="1"/>
        <v>122</v>
      </c>
      <c r="B124" s="165">
        <v>9</v>
      </c>
      <c r="C124" s="166" t="s">
        <v>197</v>
      </c>
      <c r="D124" t="s">
        <v>315</v>
      </c>
      <c r="E124" s="167">
        <v>390089</v>
      </c>
      <c r="F124" s="167">
        <v>390089</v>
      </c>
    </row>
    <row r="125" spans="1:6">
      <c r="A125">
        <f t="shared" si="1"/>
        <v>123</v>
      </c>
      <c r="B125" s="165">
        <v>9</v>
      </c>
      <c r="C125" s="166" t="s">
        <v>197</v>
      </c>
      <c r="D125" t="s">
        <v>316</v>
      </c>
      <c r="E125" s="167">
        <v>390090</v>
      </c>
      <c r="F125" s="167">
        <v>390090</v>
      </c>
    </row>
    <row r="126" spans="1:6">
      <c r="A126">
        <f t="shared" si="1"/>
        <v>124</v>
      </c>
      <c r="B126" s="165">
        <v>9</v>
      </c>
      <c r="C126" s="166" t="s">
        <v>197</v>
      </c>
      <c r="D126" t="s">
        <v>317</v>
      </c>
      <c r="E126" s="167">
        <v>390091</v>
      </c>
      <c r="F126" s="167">
        <v>390091</v>
      </c>
    </row>
    <row r="127" spans="1:6">
      <c r="A127">
        <f t="shared" si="1"/>
        <v>125</v>
      </c>
      <c r="B127" s="165">
        <v>9</v>
      </c>
      <c r="C127" s="166" t="s">
        <v>197</v>
      </c>
      <c r="D127" t="s">
        <v>318</v>
      </c>
      <c r="E127" s="167">
        <v>390092</v>
      </c>
      <c r="F127" s="167">
        <v>390092</v>
      </c>
    </row>
    <row r="128" spans="1:6">
      <c r="A128">
        <f t="shared" si="1"/>
        <v>126</v>
      </c>
      <c r="B128" s="165">
        <v>9</v>
      </c>
      <c r="C128" s="166" t="s">
        <v>197</v>
      </c>
      <c r="D128" t="s">
        <v>319</v>
      </c>
      <c r="E128" s="167">
        <v>390093</v>
      </c>
      <c r="F128" s="167">
        <v>390093</v>
      </c>
    </row>
    <row r="129" spans="1:6">
      <c r="A129">
        <f t="shared" si="1"/>
        <v>127</v>
      </c>
      <c r="B129" s="165">
        <v>9</v>
      </c>
      <c r="C129" s="166" t="s">
        <v>197</v>
      </c>
      <c r="D129" t="s">
        <v>320</v>
      </c>
      <c r="E129" s="167">
        <v>390094</v>
      </c>
      <c r="F129" s="167">
        <v>390094</v>
      </c>
    </row>
    <row r="130" spans="1:6">
      <c r="A130">
        <f t="shared" si="1"/>
        <v>128</v>
      </c>
      <c r="B130" s="165">
        <v>9</v>
      </c>
      <c r="C130" s="166" t="s">
        <v>197</v>
      </c>
      <c r="D130" t="s">
        <v>321</v>
      </c>
      <c r="E130" s="167">
        <v>390095</v>
      </c>
      <c r="F130" s="167">
        <v>390095</v>
      </c>
    </row>
    <row r="131" spans="1:6">
      <c r="A131">
        <f t="shared" si="1"/>
        <v>129</v>
      </c>
      <c r="B131" s="165">
        <v>9</v>
      </c>
      <c r="C131" s="166" t="s">
        <v>197</v>
      </c>
      <c r="D131" t="s">
        <v>322</v>
      </c>
      <c r="E131" s="167">
        <v>390096</v>
      </c>
      <c r="F131" s="167">
        <v>390096</v>
      </c>
    </row>
    <row r="132" spans="1:6">
      <c r="A132">
        <f t="shared" ref="A132:A195" si="2">A131+1</f>
        <v>130</v>
      </c>
      <c r="B132" s="165">
        <v>9</v>
      </c>
      <c r="C132" s="166" t="s">
        <v>197</v>
      </c>
      <c r="D132" t="s">
        <v>323</v>
      </c>
      <c r="E132" s="167">
        <v>390098</v>
      </c>
      <c r="F132" s="167">
        <v>390098</v>
      </c>
    </row>
    <row r="133" spans="1:6">
      <c r="A133">
        <f t="shared" si="2"/>
        <v>131</v>
      </c>
      <c r="B133" s="165">
        <v>9</v>
      </c>
      <c r="C133" s="166" t="s">
        <v>197</v>
      </c>
      <c r="D133" t="s">
        <v>324</v>
      </c>
      <c r="E133" s="167">
        <v>390100</v>
      </c>
      <c r="F133" s="167">
        <v>390100</v>
      </c>
    </row>
    <row r="134" spans="1:6">
      <c r="A134">
        <f t="shared" si="2"/>
        <v>132</v>
      </c>
      <c r="B134" s="165">
        <v>9</v>
      </c>
      <c r="C134" s="166" t="s">
        <v>197</v>
      </c>
      <c r="D134" t="s">
        <v>325</v>
      </c>
      <c r="E134" s="167">
        <v>390101</v>
      </c>
      <c r="F134" s="167">
        <v>390101</v>
      </c>
    </row>
    <row r="135" spans="1:6">
      <c r="A135">
        <f t="shared" si="2"/>
        <v>133</v>
      </c>
      <c r="B135" s="165">
        <v>9</v>
      </c>
      <c r="C135" s="166" t="s">
        <v>197</v>
      </c>
      <c r="D135" t="s">
        <v>326</v>
      </c>
      <c r="E135" s="167">
        <v>390102</v>
      </c>
      <c r="F135" s="167">
        <v>390102</v>
      </c>
    </row>
    <row r="136" spans="1:6">
      <c r="A136">
        <f t="shared" si="2"/>
        <v>134</v>
      </c>
      <c r="B136" s="165">
        <v>9</v>
      </c>
      <c r="C136" s="166" t="s">
        <v>197</v>
      </c>
      <c r="D136" t="s">
        <v>327</v>
      </c>
      <c r="E136" s="167">
        <v>390103</v>
      </c>
      <c r="F136" s="167">
        <v>390103</v>
      </c>
    </row>
    <row r="137" spans="1:6">
      <c r="A137">
        <f t="shared" si="2"/>
        <v>135</v>
      </c>
      <c r="B137" s="165">
        <v>9</v>
      </c>
      <c r="C137" s="166" t="s">
        <v>197</v>
      </c>
      <c r="D137" t="s">
        <v>328</v>
      </c>
      <c r="E137" s="167">
        <v>390104</v>
      </c>
      <c r="F137" s="167">
        <v>390104</v>
      </c>
    </row>
    <row r="138" spans="1:6">
      <c r="A138">
        <f t="shared" si="2"/>
        <v>136</v>
      </c>
      <c r="B138" s="165">
        <v>9</v>
      </c>
      <c r="C138" s="166" t="s">
        <v>197</v>
      </c>
      <c r="D138" t="s">
        <v>329</v>
      </c>
      <c r="E138" s="167">
        <v>390105</v>
      </c>
      <c r="F138" s="167">
        <v>390105</v>
      </c>
    </row>
    <row r="139" spans="1:6">
      <c r="A139">
        <f t="shared" si="2"/>
        <v>137</v>
      </c>
      <c r="B139" s="165">
        <v>9</v>
      </c>
      <c r="C139" s="166" t="s">
        <v>197</v>
      </c>
      <c r="D139" t="s">
        <v>330</v>
      </c>
      <c r="E139" s="167">
        <v>390106</v>
      </c>
      <c r="F139" s="167">
        <v>390106</v>
      </c>
    </row>
    <row r="140" spans="1:6">
      <c r="A140">
        <f t="shared" si="2"/>
        <v>138</v>
      </c>
      <c r="B140" s="165">
        <v>9</v>
      </c>
      <c r="C140" s="166" t="s">
        <v>197</v>
      </c>
      <c r="D140" t="s">
        <v>331</v>
      </c>
      <c r="E140" s="167">
        <v>390107</v>
      </c>
      <c r="F140" s="167">
        <v>390107</v>
      </c>
    </row>
    <row r="141" spans="1:6">
      <c r="A141">
        <f t="shared" si="2"/>
        <v>139</v>
      </c>
      <c r="B141" s="165">
        <v>9</v>
      </c>
      <c r="C141" s="166" t="s">
        <v>197</v>
      </c>
      <c r="D141" t="s">
        <v>332</v>
      </c>
      <c r="E141" s="167">
        <v>390108</v>
      </c>
      <c r="F141" s="167">
        <v>390108</v>
      </c>
    </row>
    <row r="142" spans="1:6">
      <c r="A142">
        <f t="shared" si="2"/>
        <v>140</v>
      </c>
      <c r="B142" s="165">
        <v>9</v>
      </c>
      <c r="C142" s="166" t="s">
        <v>197</v>
      </c>
      <c r="D142" t="s">
        <v>333</v>
      </c>
      <c r="E142" s="167">
        <v>390109</v>
      </c>
      <c r="F142" s="167">
        <v>390109</v>
      </c>
    </row>
    <row r="143" spans="1:6">
      <c r="A143">
        <f t="shared" si="2"/>
        <v>141</v>
      </c>
      <c r="B143" s="165">
        <v>9</v>
      </c>
      <c r="C143" s="166" t="s">
        <v>197</v>
      </c>
      <c r="D143" t="s">
        <v>334</v>
      </c>
      <c r="E143" s="167">
        <v>390110</v>
      </c>
      <c r="F143" s="167">
        <v>390110</v>
      </c>
    </row>
    <row r="144" spans="1:6">
      <c r="A144">
        <f t="shared" si="2"/>
        <v>142</v>
      </c>
      <c r="B144" s="165">
        <v>9</v>
      </c>
      <c r="C144" s="166" t="s">
        <v>197</v>
      </c>
      <c r="D144" t="s">
        <v>335</v>
      </c>
      <c r="E144" s="167">
        <v>390111</v>
      </c>
      <c r="F144" s="167">
        <v>390111</v>
      </c>
    </row>
    <row r="145" spans="1:6">
      <c r="A145">
        <f t="shared" si="2"/>
        <v>143</v>
      </c>
      <c r="B145" s="165">
        <v>9</v>
      </c>
      <c r="C145" s="166" t="s">
        <v>197</v>
      </c>
      <c r="D145" t="s">
        <v>336</v>
      </c>
      <c r="E145" s="167">
        <v>390112</v>
      </c>
      <c r="F145" s="167">
        <v>390112</v>
      </c>
    </row>
    <row r="146" spans="1:6">
      <c r="A146">
        <f t="shared" si="2"/>
        <v>144</v>
      </c>
      <c r="B146" s="165">
        <v>9</v>
      </c>
      <c r="C146" s="166" t="s">
        <v>197</v>
      </c>
      <c r="D146" t="s">
        <v>337</v>
      </c>
      <c r="E146" s="167">
        <v>390113</v>
      </c>
      <c r="F146" s="167">
        <v>390113</v>
      </c>
    </row>
    <row r="147" spans="1:6">
      <c r="A147">
        <f t="shared" si="2"/>
        <v>145</v>
      </c>
      <c r="B147" s="165">
        <v>9</v>
      </c>
      <c r="C147" s="166" t="s">
        <v>197</v>
      </c>
      <c r="D147" t="s">
        <v>338</v>
      </c>
      <c r="E147" s="167">
        <v>390114</v>
      </c>
      <c r="F147" s="167">
        <v>390114</v>
      </c>
    </row>
    <row r="148" spans="1:6">
      <c r="A148">
        <f t="shared" si="2"/>
        <v>146</v>
      </c>
      <c r="B148" s="165">
        <v>9</v>
      </c>
      <c r="C148" s="166" t="s">
        <v>197</v>
      </c>
      <c r="D148" t="s">
        <v>339</v>
      </c>
      <c r="E148" s="167">
        <v>390115</v>
      </c>
      <c r="F148" s="167">
        <v>390115</v>
      </c>
    </row>
    <row r="149" spans="1:6">
      <c r="A149">
        <f t="shared" si="2"/>
        <v>147</v>
      </c>
      <c r="B149" s="165">
        <v>9</v>
      </c>
      <c r="C149" s="166" t="s">
        <v>197</v>
      </c>
      <c r="D149" t="s">
        <v>340</v>
      </c>
      <c r="E149" s="167">
        <v>390116</v>
      </c>
      <c r="F149" s="167">
        <v>390116</v>
      </c>
    </row>
    <row r="150" spans="1:6">
      <c r="A150">
        <f t="shared" si="2"/>
        <v>148</v>
      </c>
      <c r="B150" s="165">
        <v>9</v>
      </c>
      <c r="C150" s="166" t="s">
        <v>197</v>
      </c>
      <c r="D150" t="s">
        <v>341</v>
      </c>
      <c r="E150" s="167">
        <v>390117</v>
      </c>
      <c r="F150" s="167">
        <v>390117</v>
      </c>
    </row>
    <row r="151" spans="1:6">
      <c r="A151">
        <f t="shared" si="2"/>
        <v>149</v>
      </c>
      <c r="B151" s="165">
        <v>9</v>
      </c>
      <c r="C151" s="166" t="s">
        <v>197</v>
      </c>
      <c r="D151" t="s">
        <v>342</v>
      </c>
      <c r="E151" s="167">
        <v>390118</v>
      </c>
      <c r="F151" s="167">
        <v>390118</v>
      </c>
    </row>
    <row r="152" spans="1:6">
      <c r="A152">
        <f t="shared" si="2"/>
        <v>150</v>
      </c>
      <c r="B152" s="165">
        <v>9</v>
      </c>
      <c r="C152" s="166" t="s">
        <v>197</v>
      </c>
      <c r="D152" t="s">
        <v>343</v>
      </c>
      <c r="E152" s="167">
        <v>390119</v>
      </c>
      <c r="F152" s="167">
        <v>390119</v>
      </c>
    </row>
    <row r="153" spans="1:6">
      <c r="A153">
        <f t="shared" si="2"/>
        <v>151</v>
      </c>
      <c r="B153" s="165">
        <v>9</v>
      </c>
      <c r="C153" s="166" t="s">
        <v>197</v>
      </c>
      <c r="D153" t="s">
        <v>344</v>
      </c>
      <c r="E153" s="167">
        <v>390120</v>
      </c>
      <c r="F153" s="167">
        <v>390120</v>
      </c>
    </row>
    <row r="154" spans="1:6">
      <c r="A154">
        <f t="shared" si="2"/>
        <v>152</v>
      </c>
      <c r="B154" s="165">
        <v>9</v>
      </c>
      <c r="C154" s="166" t="s">
        <v>197</v>
      </c>
      <c r="D154" t="s">
        <v>345</v>
      </c>
      <c r="E154" s="167">
        <v>390121</v>
      </c>
      <c r="F154" s="167">
        <v>390121</v>
      </c>
    </row>
    <row r="155" spans="1:6">
      <c r="A155">
        <f t="shared" si="2"/>
        <v>153</v>
      </c>
      <c r="B155" s="165">
        <v>9</v>
      </c>
      <c r="C155" s="166" t="s">
        <v>197</v>
      </c>
      <c r="D155" t="s">
        <v>346</v>
      </c>
      <c r="E155" s="167">
        <v>390122</v>
      </c>
      <c r="F155" s="167">
        <v>390122</v>
      </c>
    </row>
    <row r="156" spans="1:6">
      <c r="A156">
        <f t="shared" si="2"/>
        <v>154</v>
      </c>
      <c r="B156" s="165">
        <v>9</v>
      </c>
      <c r="C156" s="166" t="s">
        <v>197</v>
      </c>
      <c r="D156" t="s">
        <v>347</v>
      </c>
      <c r="E156" s="167">
        <v>390123</v>
      </c>
      <c r="F156" s="167">
        <v>390123</v>
      </c>
    </row>
    <row r="157" spans="1:6">
      <c r="A157">
        <f t="shared" si="2"/>
        <v>155</v>
      </c>
      <c r="B157" s="165">
        <v>9</v>
      </c>
      <c r="C157" s="166" t="s">
        <v>197</v>
      </c>
      <c r="D157" t="s">
        <v>348</v>
      </c>
      <c r="E157" s="167">
        <v>390124</v>
      </c>
      <c r="F157" s="167">
        <v>390124</v>
      </c>
    </row>
    <row r="158" spans="1:6">
      <c r="A158">
        <f t="shared" si="2"/>
        <v>156</v>
      </c>
      <c r="B158" s="165">
        <v>9</v>
      </c>
      <c r="C158" s="166" t="s">
        <v>197</v>
      </c>
      <c r="D158" t="s">
        <v>349</v>
      </c>
      <c r="E158" s="167">
        <v>390125</v>
      </c>
      <c r="F158" s="167">
        <v>390125</v>
      </c>
    </row>
    <row r="159" spans="1:6">
      <c r="A159">
        <f t="shared" si="2"/>
        <v>157</v>
      </c>
      <c r="B159" s="165">
        <v>9</v>
      </c>
      <c r="C159" s="166" t="s">
        <v>197</v>
      </c>
      <c r="D159" t="s">
        <v>350</v>
      </c>
      <c r="E159" s="167">
        <v>390126</v>
      </c>
      <c r="F159" s="167">
        <v>390126</v>
      </c>
    </row>
    <row r="160" spans="1:6">
      <c r="A160">
        <f t="shared" si="2"/>
        <v>158</v>
      </c>
      <c r="B160" s="165">
        <v>10</v>
      </c>
      <c r="C160" s="166" t="s">
        <v>132</v>
      </c>
      <c r="D160" t="s">
        <v>351</v>
      </c>
      <c r="E160" s="167">
        <v>235000</v>
      </c>
      <c r="F160" s="167">
        <v>235099</v>
      </c>
    </row>
    <row r="161" spans="1:6">
      <c r="A161">
        <f t="shared" si="2"/>
        <v>159</v>
      </c>
      <c r="B161" s="165">
        <v>10</v>
      </c>
      <c r="C161" s="166" t="s">
        <v>132</v>
      </c>
      <c r="D161" t="s">
        <v>352</v>
      </c>
      <c r="E161" s="167">
        <v>235100</v>
      </c>
      <c r="F161" s="167">
        <v>235399</v>
      </c>
    </row>
    <row r="162" spans="1:6">
      <c r="A162">
        <f t="shared" si="2"/>
        <v>160</v>
      </c>
      <c r="B162" s="165">
        <v>10</v>
      </c>
      <c r="C162" s="166" t="s">
        <v>132</v>
      </c>
      <c r="D162" t="s">
        <v>353</v>
      </c>
      <c r="E162" s="167">
        <v>235400</v>
      </c>
      <c r="F162" s="167">
        <v>236499</v>
      </c>
    </row>
    <row r="163" spans="1:6">
      <c r="A163">
        <f t="shared" si="2"/>
        <v>161</v>
      </c>
      <c r="B163" s="165">
        <v>10</v>
      </c>
      <c r="C163" s="166" t="s">
        <v>132</v>
      </c>
      <c r="D163" t="s">
        <v>354</v>
      </c>
      <c r="E163" s="167">
        <v>236500</v>
      </c>
      <c r="F163" s="167">
        <v>236999</v>
      </c>
    </row>
    <row r="164" spans="1:6">
      <c r="A164">
        <f t="shared" si="2"/>
        <v>162</v>
      </c>
      <c r="B164" s="165">
        <v>10</v>
      </c>
      <c r="C164" s="166" t="s">
        <v>132</v>
      </c>
      <c r="D164" t="s">
        <v>355</v>
      </c>
      <c r="E164" s="167">
        <v>237000</v>
      </c>
      <c r="F164" s="167">
        <v>237499</v>
      </c>
    </row>
    <row r="165" spans="1:6">
      <c r="A165">
        <f t="shared" si="2"/>
        <v>163</v>
      </c>
      <c r="B165" s="165">
        <v>10</v>
      </c>
      <c r="C165" s="166" t="s">
        <v>132</v>
      </c>
      <c r="D165" t="s">
        <v>356</v>
      </c>
      <c r="E165" s="167">
        <v>240000</v>
      </c>
      <c r="F165" s="167">
        <v>240997</v>
      </c>
    </row>
    <row r="166" spans="1:6">
      <c r="A166">
        <f t="shared" si="2"/>
        <v>164</v>
      </c>
      <c r="B166" s="165">
        <v>10</v>
      </c>
      <c r="C166" s="166" t="s">
        <v>132</v>
      </c>
      <c r="D166" t="s">
        <v>357</v>
      </c>
      <c r="E166" s="167">
        <v>390028</v>
      </c>
      <c r="F166" s="167">
        <v>390028</v>
      </c>
    </row>
    <row r="167" spans="1:6">
      <c r="A167">
        <f t="shared" si="2"/>
        <v>165</v>
      </c>
      <c r="B167" s="165">
        <v>10</v>
      </c>
      <c r="C167" s="166" t="s">
        <v>132</v>
      </c>
      <c r="D167" t="s">
        <v>358</v>
      </c>
      <c r="E167" s="167">
        <v>390097</v>
      </c>
      <c r="F167" s="167">
        <v>390097</v>
      </c>
    </row>
    <row r="168" spans="1:6">
      <c r="A168">
        <f t="shared" si="2"/>
        <v>166</v>
      </c>
      <c r="B168" s="165">
        <v>10</v>
      </c>
      <c r="C168" s="166" t="s">
        <v>132</v>
      </c>
      <c r="D168" t="s">
        <v>359</v>
      </c>
      <c r="E168" s="167">
        <v>971101</v>
      </c>
      <c r="F168" s="167">
        <v>971101</v>
      </c>
    </row>
    <row r="169" spans="1:6">
      <c r="A169">
        <f t="shared" si="2"/>
        <v>167</v>
      </c>
      <c r="B169" s="165">
        <v>11</v>
      </c>
      <c r="C169" s="166" t="s">
        <v>133</v>
      </c>
      <c r="D169" t="s">
        <v>360</v>
      </c>
      <c r="E169" s="167">
        <v>995000</v>
      </c>
      <c r="F169" s="167">
        <v>996999</v>
      </c>
    </row>
    <row r="170" spans="1:6">
      <c r="A170">
        <f t="shared" si="2"/>
        <v>168</v>
      </c>
      <c r="B170" s="165">
        <v>15</v>
      </c>
      <c r="C170" s="166" t="s">
        <v>136</v>
      </c>
      <c r="D170" t="s">
        <v>361</v>
      </c>
      <c r="E170" s="167">
        <v>400000</v>
      </c>
      <c r="F170" s="167">
        <v>400189</v>
      </c>
    </row>
    <row r="171" spans="1:6">
      <c r="A171">
        <f t="shared" si="2"/>
        <v>169</v>
      </c>
      <c r="B171" s="165">
        <v>15</v>
      </c>
      <c r="C171" s="166" t="s">
        <v>136</v>
      </c>
      <c r="D171" t="s">
        <v>362</v>
      </c>
      <c r="E171" s="167">
        <v>400190</v>
      </c>
      <c r="F171" s="167">
        <v>400289</v>
      </c>
    </row>
    <row r="172" spans="1:6">
      <c r="A172">
        <f t="shared" si="2"/>
        <v>170</v>
      </c>
      <c r="B172" s="165">
        <v>15</v>
      </c>
      <c r="C172" s="166" t="s">
        <v>136</v>
      </c>
      <c r="D172" t="s">
        <v>363</v>
      </c>
      <c r="E172" s="167">
        <v>400290</v>
      </c>
      <c r="F172" s="167">
        <v>400389</v>
      </c>
    </row>
    <row r="173" spans="1:6">
      <c r="A173">
        <f t="shared" si="2"/>
        <v>171</v>
      </c>
      <c r="B173" s="165">
        <v>15</v>
      </c>
      <c r="C173" s="166" t="s">
        <v>136</v>
      </c>
      <c r="D173" t="s">
        <v>364</v>
      </c>
      <c r="E173" s="167">
        <v>400390</v>
      </c>
      <c r="F173" s="167">
        <v>400549</v>
      </c>
    </row>
    <row r="174" spans="1:6">
      <c r="A174">
        <f t="shared" si="2"/>
        <v>172</v>
      </c>
      <c r="B174" s="165">
        <v>15</v>
      </c>
      <c r="C174" s="166" t="s">
        <v>136</v>
      </c>
      <c r="D174" t="s">
        <v>365</v>
      </c>
      <c r="E174" s="167">
        <v>400550</v>
      </c>
      <c r="F174" s="167">
        <v>400689</v>
      </c>
    </row>
    <row r="175" spans="1:6">
      <c r="A175">
        <f t="shared" si="2"/>
        <v>173</v>
      </c>
      <c r="B175" s="165">
        <v>15</v>
      </c>
      <c r="C175" s="166" t="s">
        <v>136</v>
      </c>
      <c r="D175" t="s">
        <v>366</v>
      </c>
      <c r="E175" s="167">
        <v>400690</v>
      </c>
      <c r="F175" s="167">
        <v>400789</v>
      </c>
    </row>
    <row r="176" spans="1:6">
      <c r="A176">
        <f t="shared" si="2"/>
        <v>174</v>
      </c>
      <c r="B176" s="165">
        <v>15</v>
      </c>
      <c r="C176" s="166" t="s">
        <v>136</v>
      </c>
      <c r="D176" t="s">
        <v>367</v>
      </c>
      <c r="E176" s="167">
        <v>400790</v>
      </c>
      <c r="F176" s="167">
        <v>400889</v>
      </c>
    </row>
    <row r="177" spans="1:6">
      <c r="A177">
        <f t="shared" si="2"/>
        <v>175</v>
      </c>
      <c r="B177" s="165">
        <v>15</v>
      </c>
      <c r="C177" s="166" t="s">
        <v>136</v>
      </c>
      <c r="D177" t="s">
        <v>368</v>
      </c>
      <c r="E177" s="167">
        <v>400890</v>
      </c>
      <c r="F177" s="167">
        <v>400999</v>
      </c>
    </row>
    <row r="178" spans="1:6">
      <c r="A178">
        <f t="shared" si="2"/>
        <v>176</v>
      </c>
      <c r="B178" s="165">
        <v>15</v>
      </c>
      <c r="C178" s="166" t="s">
        <v>136</v>
      </c>
      <c r="D178" t="s">
        <v>369</v>
      </c>
      <c r="E178" s="167">
        <v>401000</v>
      </c>
      <c r="F178" s="167">
        <v>401099</v>
      </c>
    </row>
    <row r="179" spans="1:6">
      <c r="A179">
        <f t="shared" si="2"/>
        <v>177</v>
      </c>
      <c r="B179" s="165">
        <v>15</v>
      </c>
      <c r="C179" s="166" t="s">
        <v>136</v>
      </c>
      <c r="D179" t="s">
        <v>370</v>
      </c>
      <c r="E179" s="167">
        <v>401100</v>
      </c>
      <c r="F179" s="167">
        <v>401199</v>
      </c>
    </row>
    <row r="180" spans="1:6">
      <c r="A180">
        <f t="shared" si="2"/>
        <v>178</v>
      </c>
      <c r="B180" s="165">
        <v>15</v>
      </c>
      <c r="C180" s="166" t="s">
        <v>136</v>
      </c>
      <c r="D180" t="s">
        <v>371</v>
      </c>
      <c r="E180" s="167">
        <v>401200</v>
      </c>
      <c r="F180" s="167">
        <v>401449</v>
      </c>
    </row>
    <row r="181" spans="1:6">
      <c r="A181">
        <f t="shared" si="2"/>
        <v>179</v>
      </c>
      <c r="B181" s="165">
        <v>15</v>
      </c>
      <c r="C181" s="166" t="s">
        <v>136</v>
      </c>
      <c r="D181" t="s">
        <v>372</v>
      </c>
      <c r="E181" s="167">
        <v>401450</v>
      </c>
      <c r="F181" s="167">
        <v>401649</v>
      </c>
    </row>
    <row r="182" spans="1:6">
      <c r="A182">
        <f t="shared" si="2"/>
        <v>180</v>
      </c>
      <c r="B182" s="165">
        <v>15</v>
      </c>
      <c r="C182" s="166" t="s">
        <v>136</v>
      </c>
      <c r="D182" t="s">
        <v>373</v>
      </c>
      <c r="E182" s="167">
        <v>401650</v>
      </c>
      <c r="F182" s="167">
        <v>401749</v>
      </c>
    </row>
    <row r="183" spans="1:6">
      <c r="A183">
        <f t="shared" si="2"/>
        <v>181</v>
      </c>
      <c r="B183" s="165">
        <v>15</v>
      </c>
      <c r="C183" s="166" t="s">
        <v>136</v>
      </c>
      <c r="D183" t="s">
        <v>374</v>
      </c>
      <c r="E183" s="167">
        <v>401750</v>
      </c>
      <c r="F183" s="167">
        <v>401849</v>
      </c>
    </row>
    <row r="184" spans="1:6">
      <c r="A184">
        <f t="shared" si="2"/>
        <v>182</v>
      </c>
      <c r="B184" s="165">
        <v>15</v>
      </c>
      <c r="C184" s="166" t="s">
        <v>136</v>
      </c>
      <c r="D184" t="s">
        <v>375</v>
      </c>
      <c r="E184" s="167">
        <v>401850</v>
      </c>
      <c r="F184" s="167">
        <v>402099</v>
      </c>
    </row>
    <row r="185" spans="1:6">
      <c r="A185">
        <f t="shared" si="2"/>
        <v>183</v>
      </c>
      <c r="B185" s="165">
        <v>15</v>
      </c>
      <c r="C185" s="166" t="s">
        <v>136</v>
      </c>
      <c r="D185" t="s">
        <v>376</v>
      </c>
      <c r="E185" s="167">
        <v>402200</v>
      </c>
      <c r="F185" s="167">
        <v>402249</v>
      </c>
    </row>
    <row r="186" spans="1:6">
      <c r="A186">
        <f t="shared" si="2"/>
        <v>184</v>
      </c>
      <c r="B186" s="165">
        <v>15</v>
      </c>
      <c r="C186" s="166" t="s">
        <v>136</v>
      </c>
      <c r="D186" t="s">
        <v>377</v>
      </c>
      <c r="E186" s="167">
        <v>402250</v>
      </c>
      <c r="F186" s="167">
        <v>402299</v>
      </c>
    </row>
    <row r="187" spans="1:6">
      <c r="A187">
        <f t="shared" si="2"/>
        <v>185</v>
      </c>
      <c r="B187" s="165">
        <v>15</v>
      </c>
      <c r="C187" s="166" t="s">
        <v>136</v>
      </c>
      <c r="D187" t="s">
        <v>378</v>
      </c>
      <c r="E187" s="167">
        <v>402300</v>
      </c>
      <c r="F187" s="167">
        <v>402349</v>
      </c>
    </row>
    <row r="188" spans="1:6">
      <c r="A188">
        <f t="shared" si="2"/>
        <v>186</v>
      </c>
      <c r="B188" s="165">
        <v>15</v>
      </c>
      <c r="C188" s="166" t="s">
        <v>136</v>
      </c>
      <c r="D188" t="s">
        <v>379</v>
      </c>
      <c r="E188" s="167">
        <v>402350</v>
      </c>
      <c r="F188" s="167">
        <v>402399</v>
      </c>
    </row>
    <row r="189" spans="1:6">
      <c r="A189">
        <f t="shared" si="2"/>
        <v>187</v>
      </c>
      <c r="B189" s="165">
        <v>15</v>
      </c>
      <c r="C189" s="166" t="s">
        <v>136</v>
      </c>
      <c r="D189" t="s">
        <v>380</v>
      </c>
      <c r="E189" s="167">
        <v>402400</v>
      </c>
      <c r="F189" s="167">
        <v>402499</v>
      </c>
    </row>
    <row r="190" spans="1:6">
      <c r="A190">
        <f t="shared" si="2"/>
        <v>188</v>
      </c>
      <c r="B190" s="165">
        <v>15</v>
      </c>
      <c r="C190" s="166" t="s">
        <v>136</v>
      </c>
      <c r="D190" t="s">
        <v>381</v>
      </c>
      <c r="E190" s="167">
        <v>402500</v>
      </c>
      <c r="F190" s="167">
        <v>403099</v>
      </c>
    </row>
    <row r="191" spans="1:6">
      <c r="A191">
        <f t="shared" si="2"/>
        <v>189</v>
      </c>
      <c r="B191" s="165">
        <v>15</v>
      </c>
      <c r="C191" s="166" t="s">
        <v>136</v>
      </c>
      <c r="D191" t="s">
        <v>382</v>
      </c>
      <c r="E191" s="167">
        <v>403100</v>
      </c>
      <c r="F191" s="167">
        <v>404999</v>
      </c>
    </row>
    <row r="192" spans="1:6">
      <c r="A192">
        <f t="shared" si="2"/>
        <v>190</v>
      </c>
      <c r="B192" s="165">
        <v>16</v>
      </c>
      <c r="C192" s="166" t="s">
        <v>137</v>
      </c>
      <c r="D192" t="s">
        <v>383</v>
      </c>
      <c r="E192" s="167">
        <v>405000</v>
      </c>
      <c r="F192" s="167">
        <v>405149</v>
      </c>
    </row>
    <row r="193" spans="1:6">
      <c r="A193">
        <f t="shared" si="2"/>
        <v>191</v>
      </c>
      <c r="B193" s="165">
        <v>16</v>
      </c>
      <c r="C193" s="166" t="s">
        <v>137</v>
      </c>
      <c r="D193" t="s">
        <v>384</v>
      </c>
      <c r="E193" s="167">
        <v>405150</v>
      </c>
      <c r="F193" s="167">
        <v>405249</v>
      </c>
    </row>
    <row r="194" spans="1:6">
      <c r="A194">
        <f t="shared" si="2"/>
        <v>192</v>
      </c>
      <c r="B194" s="165">
        <v>16</v>
      </c>
      <c r="C194" s="166" t="s">
        <v>137</v>
      </c>
      <c r="D194" t="s">
        <v>385</v>
      </c>
      <c r="E194" s="167">
        <v>405250</v>
      </c>
      <c r="F194" s="167">
        <v>405349</v>
      </c>
    </row>
    <row r="195" spans="1:6">
      <c r="A195">
        <f t="shared" si="2"/>
        <v>193</v>
      </c>
      <c r="B195" s="165">
        <v>16</v>
      </c>
      <c r="C195" s="166" t="s">
        <v>137</v>
      </c>
      <c r="D195" t="s">
        <v>386</v>
      </c>
      <c r="E195" s="167">
        <v>405350</v>
      </c>
      <c r="F195" s="167">
        <v>405449</v>
      </c>
    </row>
    <row r="196" spans="1:6">
      <c r="A196">
        <f t="shared" ref="A196:A259" si="3">A195+1</f>
        <v>194</v>
      </c>
      <c r="B196" s="165">
        <v>16</v>
      </c>
      <c r="C196" s="166" t="s">
        <v>137</v>
      </c>
      <c r="D196" t="s">
        <v>387</v>
      </c>
      <c r="E196" s="167">
        <v>405450</v>
      </c>
      <c r="F196" s="167">
        <v>405999</v>
      </c>
    </row>
    <row r="197" spans="1:6">
      <c r="A197">
        <f t="shared" si="3"/>
        <v>195</v>
      </c>
      <c r="B197" s="165">
        <v>16</v>
      </c>
      <c r="C197" s="166" t="s">
        <v>137</v>
      </c>
      <c r="D197" t="s">
        <v>388</v>
      </c>
      <c r="E197" s="167">
        <v>406000</v>
      </c>
      <c r="F197" s="167">
        <v>407499</v>
      </c>
    </row>
    <row r="198" spans="1:6">
      <c r="A198">
        <f t="shared" si="3"/>
        <v>196</v>
      </c>
      <c r="B198" s="165">
        <v>17</v>
      </c>
      <c r="C198" s="166" t="s">
        <v>138</v>
      </c>
      <c r="D198" t="s">
        <v>389</v>
      </c>
      <c r="E198" s="167">
        <v>407500</v>
      </c>
      <c r="F198" s="167">
        <v>407699</v>
      </c>
    </row>
    <row r="199" spans="1:6">
      <c r="A199">
        <f t="shared" si="3"/>
        <v>197</v>
      </c>
      <c r="B199" s="165">
        <v>17</v>
      </c>
      <c r="C199" s="166" t="s">
        <v>138</v>
      </c>
      <c r="D199" t="s">
        <v>390</v>
      </c>
      <c r="E199" s="167">
        <v>407700</v>
      </c>
      <c r="F199" s="167">
        <v>407799</v>
      </c>
    </row>
    <row r="200" spans="1:6">
      <c r="A200">
        <f t="shared" si="3"/>
        <v>198</v>
      </c>
      <c r="B200" s="165">
        <v>17</v>
      </c>
      <c r="C200" s="166" t="s">
        <v>138</v>
      </c>
      <c r="D200" t="s">
        <v>391</v>
      </c>
      <c r="E200" s="167">
        <v>407800</v>
      </c>
      <c r="F200" s="167">
        <v>407899</v>
      </c>
    </row>
    <row r="201" spans="1:6">
      <c r="A201">
        <f t="shared" si="3"/>
        <v>199</v>
      </c>
      <c r="B201" s="165">
        <v>17</v>
      </c>
      <c r="C201" s="166" t="s">
        <v>138</v>
      </c>
      <c r="D201" t="s">
        <v>392</v>
      </c>
      <c r="E201" s="167">
        <v>407900</v>
      </c>
      <c r="F201" s="167">
        <v>407999</v>
      </c>
    </row>
    <row r="202" spans="1:6">
      <c r="A202">
        <f t="shared" si="3"/>
        <v>200</v>
      </c>
      <c r="B202" s="165">
        <v>17</v>
      </c>
      <c r="C202" s="166" t="s">
        <v>138</v>
      </c>
      <c r="D202" t="s">
        <v>393</v>
      </c>
      <c r="E202" s="167">
        <v>408100</v>
      </c>
      <c r="F202" s="167">
        <v>408199</v>
      </c>
    </row>
    <row r="203" spans="1:6">
      <c r="A203">
        <f t="shared" si="3"/>
        <v>201</v>
      </c>
      <c r="B203" s="165">
        <v>17</v>
      </c>
      <c r="C203" s="166" t="s">
        <v>138</v>
      </c>
      <c r="D203" t="s">
        <v>394</v>
      </c>
      <c r="E203" s="167">
        <v>408200</v>
      </c>
      <c r="F203" s="167">
        <v>408299</v>
      </c>
    </row>
    <row r="204" spans="1:6">
      <c r="A204">
        <f t="shared" si="3"/>
        <v>202</v>
      </c>
      <c r="B204" s="165">
        <v>17</v>
      </c>
      <c r="C204" s="166" t="s">
        <v>138</v>
      </c>
      <c r="D204" t="s">
        <v>395</v>
      </c>
      <c r="E204" s="167">
        <v>410000</v>
      </c>
      <c r="F204" s="167">
        <v>418399</v>
      </c>
    </row>
    <row r="205" spans="1:6">
      <c r="A205">
        <f t="shared" si="3"/>
        <v>203</v>
      </c>
      <c r="B205" s="165">
        <v>18</v>
      </c>
      <c r="C205" s="166" t="s">
        <v>139</v>
      </c>
      <c r="D205" t="s">
        <v>396</v>
      </c>
      <c r="E205" s="167">
        <v>418400</v>
      </c>
      <c r="F205" s="167">
        <v>418499</v>
      </c>
    </row>
    <row r="206" spans="1:6">
      <c r="A206">
        <f t="shared" si="3"/>
        <v>204</v>
      </c>
      <c r="B206" s="165">
        <v>18</v>
      </c>
      <c r="C206" s="166" t="s">
        <v>139</v>
      </c>
      <c r="D206" t="s">
        <v>397</v>
      </c>
      <c r="E206" s="167">
        <v>418500</v>
      </c>
      <c r="F206" s="167">
        <v>418599</v>
      </c>
    </row>
    <row r="207" spans="1:6">
      <c r="A207">
        <f t="shared" si="3"/>
        <v>205</v>
      </c>
      <c r="B207" s="165">
        <v>18</v>
      </c>
      <c r="C207" s="166" t="s">
        <v>139</v>
      </c>
      <c r="D207" t="s">
        <v>398</v>
      </c>
      <c r="E207" s="167">
        <v>418600</v>
      </c>
      <c r="F207" s="167">
        <v>418699</v>
      </c>
    </row>
    <row r="208" spans="1:6">
      <c r="A208">
        <f t="shared" si="3"/>
        <v>206</v>
      </c>
      <c r="B208" s="165">
        <v>18</v>
      </c>
      <c r="C208" s="166" t="s">
        <v>139</v>
      </c>
      <c r="D208" t="s">
        <v>399</v>
      </c>
      <c r="E208" s="167">
        <v>418700</v>
      </c>
      <c r="F208" s="167">
        <v>418799</v>
      </c>
    </row>
    <row r="209" spans="1:6">
      <c r="A209">
        <f t="shared" si="3"/>
        <v>207</v>
      </c>
      <c r="B209" s="165">
        <v>18</v>
      </c>
      <c r="C209" s="166" t="s">
        <v>139</v>
      </c>
      <c r="D209" t="s">
        <v>400</v>
      </c>
      <c r="E209" s="167">
        <v>418800</v>
      </c>
      <c r="F209" s="167">
        <v>418899</v>
      </c>
    </row>
    <row r="210" spans="1:6">
      <c r="A210">
        <f t="shared" si="3"/>
        <v>208</v>
      </c>
      <c r="B210" s="165">
        <v>18</v>
      </c>
      <c r="C210" s="166" t="s">
        <v>139</v>
      </c>
      <c r="D210" t="s">
        <v>401</v>
      </c>
      <c r="E210" s="167">
        <v>418900</v>
      </c>
      <c r="F210" s="167">
        <v>418999</v>
      </c>
    </row>
    <row r="211" spans="1:6">
      <c r="A211">
        <f t="shared" si="3"/>
        <v>209</v>
      </c>
      <c r="B211" s="165">
        <v>18</v>
      </c>
      <c r="C211" s="166" t="s">
        <v>139</v>
      </c>
      <c r="D211" t="s">
        <v>402</v>
      </c>
      <c r="E211" s="167">
        <v>419000</v>
      </c>
      <c r="F211" s="167">
        <v>419089</v>
      </c>
    </row>
    <row r="212" spans="1:6">
      <c r="A212">
        <f t="shared" si="3"/>
        <v>210</v>
      </c>
      <c r="B212" s="165">
        <v>18</v>
      </c>
      <c r="C212" s="166" t="s">
        <v>139</v>
      </c>
      <c r="D212" t="s">
        <v>403</v>
      </c>
      <c r="E212" s="167">
        <v>419090</v>
      </c>
      <c r="F212" s="167">
        <v>419899</v>
      </c>
    </row>
    <row r="213" spans="1:6">
      <c r="A213">
        <f t="shared" si="3"/>
        <v>211</v>
      </c>
      <c r="B213" s="165">
        <v>18</v>
      </c>
      <c r="C213" s="166" t="s">
        <v>139</v>
      </c>
      <c r="D213" t="s">
        <v>404</v>
      </c>
      <c r="E213" s="167">
        <v>419900</v>
      </c>
      <c r="F213" s="167">
        <v>420499</v>
      </c>
    </row>
    <row r="214" spans="1:6">
      <c r="A214">
        <f t="shared" si="3"/>
        <v>212</v>
      </c>
      <c r="B214" s="165">
        <v>18</v>
      </c>
      <c r="C214" s="166" t="s">
        <v>139</v>
      </c>
      <c r="D214" t="s">
        <v>405</v>
      </c>
      <c r="E214" s="167">
        <v>420500</v>
      </c>
      <c r="F214" s="167">
        <v>420999</v>
      </c>
    </row>
    <row r="215" spans="1:6">
      <c r="A215">
        <f t="shared" si="3"/>
        <v>213</v>
      </c>
      <c r="B215" s="165">
        <v>18</v>
      </c>
      <c r="C215" s="166" t="s">
        <v>139</v>
      </c>
      <c r="D215" t="s">
        <v>406</v>
      </c>
      <c r="E215" s="167">
        <v>421000</v>
      </c>
      <c r="F215" s="167">
        <v>421199</v>
      </c>
    </row>
    <row r="216" spans="1:6">
      <c r="A216">
        <f t="shared" si="3"/>
        <v>214</v>
      </c>
      <c r="B216" s="165">
        <v>18</v>
      </c>
      <c r="C216" s="166" t="s">
        <v>139</v>
      </c>
      <c r="D216" t="s">
        <v>407</v>
      </c>
      <c r="E216" s="167">
        <v>421200</v>
      </c>
      <c r="F216" s="167">
        <v>421399</v>
      </c>
    </row>
    <row r="217" spans="1:6">
      <c r="A217">
        <f t="shared" si="3"/>
        <v>215</v>
      </c>
      <c r="B217" s="165">
        <v>18</v>
      </c>
      <c r="C217" s="166" t="s">
        <v>139</v>
      </c>
      <c r="D217" t="s">
        <v>408</v>
      </c>
      <c r="E217" s="167">
        <v>421400</v>
      </c>
      <c r="F217" s="167">
        <v>421599</v>
      </c>
    </row>
    <row r="218" spans="1:6">
      <c r="A218">
        <f t="shared" si="3"/>
        <v>216</v>
      </c>
      <c r="B218" s="165">
        <v>18</v>
      </c>
      <c r="C218" s="166" t="s">
        <v>139</v>
      </c>
      <c r="D218" t="s">
        <v>409</v>
      </c>
      <c r="E218" s="167">
        <v>421600</v>
      </c>
      <c r="F218" s="167">
        <v>421799</v>
      </c>
    </row>
    <row r="219" spans="1:6">
      <c r="A219">
        <f t="shared" si="3"/>
        <v>217</v>
      </c>
      <c r="B219" s="165">
        <v>18</v>
      </c>
      <c r="C219" s="166" t="s">
        <v>139</v>
      </c>
      <c r="D219" t="s">
        <v>410</v>
      </c>
      <c r="E219" s="167">
        <v>421800</v>
      </c>
      <c r="F219" s="167">
        <v>421999</v>
      </c>
    </row>
    <row r="220" spans="1:6">
      <c r="A220">
        <f t="shared" si="3"/>
        <v>218</v>
      </c>
      <c r="B220" s="165">
        <v>18</v>
      </c>
      <c r="C220" s="166" t="s">
        <v>139</v>
      </c>
      <c r="D220" t="s">
        <v>411</v>
      </c>
      <c r="E220" s="167">
        <v>422000</v>
      </c>
      <c r="F220" s="167">
        <v>422099</v>
      </c>
    </row>
    <row r="221" spans="1:6">
      <c r="A221">
        <f t="shared" si="3"/>
        <v>219</v>
      </c>
      <c r="B221" s="165">
        <v>18</v>
      </c>
      <c r="C221" s="166" t="s">
        <v>139</v>
      </c>
      <c r="D221" t="s">
        <v>412</v>
      </c>
      <c r="E221" s="167">
        <v>422100</v>
      </c>
      <c r="F221" s="167">
        <v>422204</v>
      </c>
    </row>
    <row r="222" spans="1:6">
      <c r="A222">
        <f t="shared" si="3"/>
        <v>220</v>
      </c>
      <c r="B222" s="165">
        <v>18</v>
      </c>
      <c r="C222" s="166" t="s">
        <v>139</v>
      </c>
      <c r="D222" t="s">
        <v>413</v>
      </c>
      <c r="E222" s="167">
        <v>422210</v>
      </c>
      <c r="F222" s="167">
        <v>422259</v>
      </c>
    </row>
    <row r="223" spans="1:6">
      <c r="A223">
        <f t="shared" si="3"/>
        <v>221</v>
      </c>
      <c r="B223" s="165">
        <v>18</v>
      </c>
      <c r="C223" s="166" t="s">
        <v>139</v>
      </c>
      <c r="D223" t="s">
        <v>414</v>
      </c>
      <c r="E223" s="167">
        <v>422260</v>
      </c>
      <c r="F223" s="167">
        <v>422299</v>
      </c>
    </row>
    <row r="224" spans="1:6">
      <c r="A224">
        <f t="shared" si="3"/>
        <v>222</v>
      </c>
      <c r="B224" s="165">
        <v>18</v>
      </c>
      <c r="C224" s="166" t="s">
        <v>139</v>
      </c>
      <c r="D224" t="s">
        <v>415</v>
      </c>
      <c r="E224" s="167">
        <v>422300</v>
      </c>
      <c r="F224" s="167">
        <v>422359</v>
      </c>
    </row>
    <row r="225" spans="1:6">
      <c r="A225">
        <f t="shared" si="3"/>
        <v>223</v>
      </c>
      <c r="B225" s="165">
        <v>18</v>
      </c>
      <c r="C225" s="166" t="s">
        <v>139</v>
      </c>
      <c r="D225" t="s">
        <v>416</v>
      </c>
      <c r="E225" s="167">
        <v>422360</v>
      </c>
      <c r="F225" s="167">
        <v>422399</v>
      </c>
    </row>
    <row r="226" spans="1:6">
      <c r="A226">
        <f t="shared" si="3"/>
        <v>224</v>
      </c>
      <c r="B226" s="165">
        <v>18</v>
      </c>
      <c r="C226" s="166" t="s">
        <v>139</v>
      </c>
      <c r="D226" t="s">
        <v>417</v>
      </c>
      <c r="E226" s="167">
        <v>422400</v>
      </c>
      <c r="F226" s="167">
        <v>422409</v>
      </c>
    </row>
    <row r="227" spans="1:6">
      <c r="A227">
        <f t="shared" si="3"/>
        <v>225</v>
      </c>
      <c r="B227" s="165">
        <v>18</v>
      </c>
      <c r="C227" s="166" t="s">
        <v>139</v>
      </c>
      <c r="D227" t="s">
        <v>418</v>
      </c>
      <c r="E227" s="167">
        <v>422410</v>
      </c>
      <c r="F227" s="167">
        <v>422439</v>
      </c>
    </row>
    <row r="228" spans="1:6">
      <c r="A228">
        <f t="shared" si="3"/>
        <v>226</v>
      </c>
      <c r="B228" s="165">
        <v>18</v>
      </c>
      <c r="C228" s="166" t="s">
        <v>139</v>
      </c>
      <c r="D228" t="s">
        <v>419</v>
      </c>
      <c r="E228" s="167">
        <v>422440</v>
      </c>
      <c r="F228" s="167">
        <v>422499</v>
      </c>
    </row>
    <row r="229" spans="1:6">
      <c r="A229">
        <f t="shared" si="3"/>
        <v>227</v>
      </c>
      <c r="B229" s="165">
        <v>18</v>
      </c>
      <c r="C229" s="166" t="s">
        <v>139</v>
      </c>
      <c r="D229" t="s">
        <v>420</v>
      </c>
      <c r="E229" s="167">
        <v>422500</v>
      </c>
      <c r="F229" s="167">
        <v>422799</v>
      </c>
    </row>
    <row r="230" spans="1:6">
      <c r="A230">
        <f t="shared" si="3"/>
        <v>228</v>
      </c>
      <c r="B230" s="165">
        <v>18</v>
      </c>
      <c r="C230" s="166" t="s">
        <v>139</v>
      </c>
      <c r="D230" t="s">
        <v>421</v>
      </c>
      <c r="E230" s="167">
        <v>422800</v>
      </c>
      <c r="F230" s="167">
        <v>422899</v>
      </c>
    </row>
    <row r="231" spans="1:6">
      <c r="A231">
        <f t="shared" si="3"/>
        <v>229</v>
      </c>
      <c r="B231" s="165">
        <v>18</v>
      </c>
      <c r="C231" s="166" t="s">
        <v>139</v>
      </c>
      <c r="D231" t="s">
        <v>422</v>
      </c>
      <c r="E231" s="167">
        <v>422900</v>
      </c>
      <c r="F231" s="167">
        <v>424999</v>
      </c>
    </row>
    <row r="232" spans="1:6">
      <c r="A232">
        <f t="shared" si="3"/>
        <v>230</v>
      </c>
      <c r="B232" s="165">
        <v>19</v>
      </c>
      <c r="C232" s="166" t="s">
        <v>140</v>
      </c>
      <c r="D232" t="s">
        <v>423</v>
      </c>
      <c r="E232" s="167">
        <v>425000</v>
      </c>
      <c r="F232" s="167">
        <v>425099</v>
      </c>
    </row>
    <row r="233" spans="1:6">
      <c r="A233">
        <f t="shared" si="3"/>
        <v>231</v>
      </c>
      <c r="B233" s="165">
        <v>19</v>
      </c>
      <c r="C233" s="166" t="s">
        <v>140</v>
      </c>
      <c r="D233" t="s">
        <v>424</v>
      </c>
      <c r="E233" s="167">
        <v>425100</v>
      </c>
      <c r="F233" s="167">
        <v>425199</v>
      </c>
    </row>
    <row r="234" spans="1:6">
      <c r="A234">
        <f t="shared" si="3"/>
        <v>232</v>
      </c>
      <c r="B234" s="165">
        <v>19</v>
      </c>
      <c r="C234" s="166" t="s">
        <v>140</v>
      </c>
      <c r="D234" t="s">
        <v>425</v>
      </c>
      <c r="E234" s="167">
        <v>425200</v>
      </c>
      <c r="F234" s="167">
        <v>425299</v>
      </c>
    </row>
    <row r="235" spans="1:6">
      <c r="A235">
        <f t="shared" si="3"/>
        <v>233</v>
      </c>
      <c r="B235" s="165">
        <v>19</v>
      </c>
      <c r="C235" s="166" t="s">
        <v>140</v>
      </c>
      <c r="D235" t="s">
        <v>426</v>
      </c>
      <c r="E235" s="167">
        <v>425300</v>
      </c>
      <c r="F235" s="167">
        <v>425399</v>
      </c>
    </row>
    <row r="236" spans="1:6">
      <c r="A236">
        <f t="shared" si="3"/>
        <v>234</v>
      </c>
      <c r="B236" s="165">
        <v>19</v>
      </c>
      <c r="C236" s="166" t="s">
        <v>140</v>
      </c>
      <c r="D236" t="s">
        <v>427</v>
      </c>
      <c r="E236" s="167">
        <v>425400</v>
      </c>
      <c r="F236" s="167">
        <v>426399</v>
      </c>
    </row>
    <row r="237" spans="1:6">
      <c r="A237">
        <f t="shared" si="3"/>
        <v>235</v>
      </c>
      <c r="B237" s="165">
        <v>19</v>
      </c>
      <c r="C237" s="166" t="s">
        <v>140</v>
      </c>
      <c r="D237" t="s">
        <v>428</v>
      </c>
      <c r="E237" s="167">
        <v>426400</v>
      </c>
      <c r="F237" s="167">
        <v>427499</v>
      </c>
    </row>
    <row r="238" spans="1:6">
      <c r="A238">
        <f t="shared" si="3"/>
        <v>236</v>
      </c>
      <c r="B238" s="165">
        <v>20</v>
      </c>
      <c r="C238" s="166" t="s">
        <v>141</v>
      </c>
      <c r="D238" t="s">
        <v>429</v>
      </c>
      <c r="E238" s="167">
        <v>427500</v>
      </c>
      <c r="F238" s="167">
        <v>428259</v>
      </c>
    </row>
    <row r="239" spans="1:6">
      <c r="A239">
        <f t="shared" si="3"/>
        <v>237</v>
      </c>
      <c r="B239" s="165">
        <v>20</v>
      </c>
      <c r="C239" s="166" t="s">
        <v>141</v>
      </c>
      <c r="D239" t="s">
        <v>430</v>
      </c>
      <c r="E239" s="167">
        <v>428260</v>
      </c>
      <c r="F239" s="167">
        <v>428289</v>
      </c>
    </row>
    <row r="240" spans="1:6">
      <c r="A240">
        <f t="shared" si="3"/>
        <v>238</v>
      </c>
      <c r="B240" s="165">
        <v>20</v>
      </c>
      <c r="C240" s="166" t="s">
        <v>141</v>
      </c>
      <c r="D240" t="s">
        <v>431</v>
      </c>
      <c r="E240" s="167">
        <v>428290</v>
      </c>
      <c r="F240" s="167">
        <v>429199</v>
      </c>
    </row>
    <row r="241" spans="1:6">
      <c r="A241">
        <f t="shared" si="3"/>
        <v>239</v>
      </c>
      <c r="B241" s="165">
        <v>20</v>
      </c>
      <c r="C241" s="166" t="s">
        <v>141</v>
      </c>
      <c r="D241" t="s">
        <v>432</v>
      </c>
      <c r="E241" s="167">
        <v>429200</v>
      </c>
      <c r="F241" s="167">
        <v>429999</v>
      </c>
    </row>
    <row r="242" spans="1:6">
      <c r="A242">
        <f t="shared" si="3"/>
        <v>240</v>
      </c>
      <c r="B242" s="165">
        <v>20</v>
      </c>
      <c r="C242" s="166" t="s">
        <v>141</v>
      </c>
      <c r="D242" t="s">
        <v>433</v>
      </c>
      <c r="E242" s="167">
        <v>430000</v>
      </c>
      <c r="F242" s="167">
        <v>430199</v>
      </c>
    </row>
    <row r="243" spans="1:6">
      <c r="A243">
        <f t="shared" si="3"/>
        <v>241</v>
      </c>
      <c r="B243" s="165">
        <v>20</v>
      </c>
      <c r="C243" s="166" t="s">
        <v>141</v>
      </c>
      <c r="D243" t="s">
        <v>434</v>
      </c>
      <c r="E243" s="167">
        <v>430200</v>
      </c>
      <c r="F243" s="167">
        <v>430899</v>
      </c>
    </row>
    <row r="244" spans="1:6">
      <c r="A244">
        <f t="shared" si="3"/>
        <v>242</v>
      </c>
      <c r="B244" s="165">
        <v>20</v>
      </c>
      <c r="C244" s="166" t="s">
        <v>141</v>
      </c>
      <c r="D244" t="s">
        <v>435</v>
      </c>
      <c r="E244" s="167">
        <v>430900</v>
      </c>
      <c r="F244" s="167">
        <v>430999</v>
      </c>
    </row>
    <row r="245" spans="1:6">
      <c r="A245">
        <f t="shared" si="3"/>
        <v>243</v>
      </c>
      <c r="B245" s="165">
        <v>20</v>
      </c>
      <c r="C245" s="166" t="s">
        <v>141</v>
      </c>
      <c r="D245" t="s">
        <v>436</v>
      </c>
      <c r="E245" s="167">
        <v>431000</v>
      </c>
      <c r="F245" s="167">
        <v>431000</v>
      </c>
    </row>
    <row r="246" spans="1:6">
      <c r="A246">
        <f t="shared" si="3"/>
        <v>244</v>
      </c>
      <c r="B246" s="165">
        <v>20</v>
      </c>
      <c r="C246" s="166" t="s">
        <v>141</v>
      </c>
      <c r="D246" t="s">
        <v>437</v>
      </c>
      <c r="E246" s="167">
        <v>431001</v>
      </c>
      <c r="F246" s="167">
        <v>439999</v>
      </c>
    </row>
    <row r="247" spans="1:6">
      <c r="A247">
        <f t="shared" si="3"/>
        <v>245</v>
      </c>
      <c r="B247" s="165">
        <v>23</v>
      </c>
      <c r="C247" s="166" t="s">
        <v>144</v>
      </c>
      <c r="D247" t="s">
        <v>438</v>
      </c>
      <c r="E247" s="167">
        <v>460000</v>
      </c>
      <c r="F247" s="167">
        <v>479999</v>
      </c>
    </row>
    <row r="248" spans="1:6">
      <c r="A248">
        <f t="shared" si="3"/>
        <v>246</v>
      </c>
      <c r="B248" s="165">
        <v>24</v>
      </c>
      <c r="C248" s="166" t="s">
        <v>145</v>
      </c>
      <c r="D248" t="s">
        <v>439</v>
      </c>
      <c r="E248" s="167">
        <v>440100</v>
      </c>
      <c r="F248" s="167">
        <v>450199</v>
      </c>
    </row>
    <row r="249" spans="1:6">
      <c r="A249">
        <f t="shared" si="3"/>
        <v>247</v>
      </c>
      <c r="B249" s="165">
        <v>24</v>
      </c>
      <c r="C249" s="166" t="s">
        <v>145</v>
      </c>
      <c r="D249" t="s">
        <v>440</v>
      </c>
      <c r="E249" s="167">
        <v>450200</v>
      </c>
      <c r="F249" s="167">
        <v>450299</v>
      </c>
    </row>
    <row r="250" spans="1:6">
      <c r="A250">
        <f t="shared" si="3"/>
        <v>248</v>
      </c>
      <c r="B250" s="165">
        <v>24</v>
      </c>
      <c r="C250" s="166" t="s">
        <v>145</v>
      </c>
      <c r="D250" t="s">
        <v>441</v>
      </c>
      <c r="E250" s="167">
        <v>450300</v>
      </c>
      <c r="F250" s="167">
        <v>450399</v>
      </c>
    </row>
    <row r="251" spans="1:6">
      <c r="A251">
        <f t="shared" si="3"/>
        <v>249</v>
      </c>
      <c r="B251" s="165">
        <v>24</v>
      </c>
      <c r="C251" s="166" t="s">
        <v>145</v>
      </c>
      <c r="D251" t="s">
        <v>442</v>
      </c>
      <c r="E251" s="167">
        <v>450400</v>
      </c>
      <c r="F251" s="167">
        <v>450499</v>
      </c>
    </row>
    <row r="252" spans="1:6">
      <c r="A252">
        <f t="shared" si="3"/>
        <v>250</v>
      </c>
      <c r="B252" s="165">
        <v>24</v>
      </c>
      <c r="C252" s="166" t="s">
        <v>145</v>
      </c>
      <c r="D252" t="s">
        <v>443</v>
      </c>
      <c r="E252" s="167">
        <v>450500</v>
      </c>
      <c r="F252" s="167">
        <v>450599</v>
      </c>
    </row>
    <row r="253" spans="1:6">
      <c r="A253">
        <f t="shared" si="3"/>
        <v>251</v>
      </c>
      <c r="B253" s="165">
        <v>24</v>
      </c>
      <c r="C253" s="166" t="s">
        <v>145</v>
      </c>
      <c r="D253" t="s">
        <v>444</v>
      </c>
      <c r="E253" s="167">
        <v>450600</v>
      </c>
      <c r="F253" s="167">
        <v>459999</v>
      </c>
    </row>
    <row r="254" spans="1:6">
      <c r="A254">
        <f t="shared" si="3"/>
        <v>252</v>
      </c>
      <c r="B254" s="165">
        <v>25</v>
      </c>
      <c r="C254" s="166" t="s">
        <v>146</v>
      </c>
      <c r="D254" t="s">
        <v>445</v>
      </c>
      <c r="E254" s="167">
        <v>480000</v>
      </c>
      <c r="F254" s="167">
        <v>482499</v>
      </c>
    </row>
    <row r="255" spans="1:6">
      <c r="A255">
        <f t="shared" si="3"/>
        <v>253</v>
      </c>
      <c r="B255" s="165">
        <v>25</v>
      </c>
      <c r="C255" s="166" t="s">
        <v>146</v>
      </c>
      <c r="D255" t="s">
        <v>446</v>
      </c>
      <c r="E255" s="167">
        <v>482500</v>
      </c>
      <c r="F255" s="167">
        <v>484999</v>
      </c>
    </row>
    <row r="256" spans="1:6">
      <c r="A256">
        <f t="shared" si="3"/>
        <v>254</v>
      </c>
      <c r="B256" s="165">
        <v>25</v>
      </c>
      <c r="C256" s="166" t="s">
        <v>146</v>
      </c>
      <c r="D256" t="s">
        <v>447</v>
      </c>
      <c r="E256" s="167">
        <v>485000</v>
      </c>
      <c r="F256" s="167">
        <v>487499</v>
      </c>
    </row>
    <row r="257" spans="1:6">
      <c r="A257">
        <f t="shared" si="3"/>
        <v>255</v>
      </c>
      <c r="B257" s="165">
        <v>25</v>
      </c>
      <c r="C257" s="166" t="s">
        <v>146</v>
      </c>
      <c r="D257" t="s">
        <v>448</v>
      </c>
      <c r="E257" s="167">
        <v>500000</v>
      </c>
      <c r="F257" s="167">
        <v>502499</v>
      </c>
    </row>
    <row r="258" spans="1:6">
      <c r="A258">
        <f t="shared" si="3"/>
        <v>256</v>
      </c>
      <c r="B258" s="165">
        <v>25</v>
      </c>
      <c r="C258" s="166" t="s">
        <v>146</v>
      </c>
      <c r="D258" t="s">
        <v>449</v>
      </c>
      <c r="E258" s="167">
        <v>512500</v>
      </c>
      <c r="F258" s="167">
        <v>514999</v>
      </c>
    </row>
    <row r="259" spans="1:6">
      <c r="A259">
        <f t="shared" si="3"/>
        <v>257</v>
      </c>
      <c r="B259" s="165">
        <v>25</v>
      </c>
      <c r="C259" s="166" t="s">
        <v>146</v>
      </c>
      <c r="D259" t="s">
        <v>450</v>
      </c>
      <c r="E259" s="167">
        <v>517500</v>
      </c>
      <c r="F259" s="167">
        <v>519999</v>
      </c>
    </row>
    <row r="260" spans="1:6">
      <c r="A260">
        <f t="shared" ref="A260:A323" si="4">A259+1</f>
        <v>258</v>
      </c>
      <c r="B260" s="165">
        <v>25</v>
      </c>
      <c r="C260" s="166" t="s">
        <v>146</v>
      </c>
      <c r="D260" t="s">
        <v>451</v>
      </c>
      <c r="E260" s="167">
        <v>527500</v>
      </c>
      <c r="F260" s="167">
        <v>529999</v>
      </c>
    </row>
    <row r="261" spans="1:6">
      <c r="A261">
        <f t="shared" si="4"/>
        <v>259</v>
      </c>
      <c r="B261" s="165">
        <v>25</v>
      </c>
      <c r="C261" s="166" t="s">
        <v>146</v>
      </c>
      <c r="D261" t="s">
        <v>452</v>
      </c>
      <c r="E261" s="167">
        <v>530000</v>
      </c>
      <c r="F261" s="167">
        <v>532499</v>
      </c>
    </row>
    <row r="262" spans="1:6">
      <c r="A262">
        <f t="shared" si="4"/>
        <v>260</v>
      </c>
      <c r="B262" s="165">
        <v>25</v>
      </c>
      <c r="C262" s="166" t="s">
        <v>146</v>
      </c>
      <c r="D262" t="s">
        <v>453</v>
      </c>
      <c r="E262" s="167">
        <v>540000</v>
      </c>
      <c r="F262" s="167">
        <v>542499</v>
      </c>
    </row>
    <row r="263" spans="1:6">
      <c r="A263">
        <f t="shared" si="4"/>
        <v>261</v>
      </c>
      <c r="B263" s="165">
        <v>25</v>
      </c>
      <c r="C263" s="166" t="s">
        <v>146</v>
      </c>
      <c r="D263" t="s">
        <v>454</v>
      </c>
      <c r="E263" s="167">
        <v>790000</v>
      </c>
      <c r="F263" s="167">
        <v>790099</v>
      </c>
    </row>
    <row r="264" spans="1:6">
      <c r="A264">
        <f t="shared" si="4"/>
        <v>262</v>
      </c>
      <c r="B264" s="165">
        <v>25</v>
      </c>
      <c r="C264" s="166" t="s">
        <v>146</v>
      </c>
      <c r="D264" t="s">
        <v>455</v>
      </c>
      <c r="E264" s="167">
        <v>790100</v>
      </c>
      <c r="F264" s="167">
        <v>790109</v>
      </c>
    </row>
    <row r="265" spans="1:6">
      <c r="A265">
        <f t="shared" si="4"/>
        <v>263</v>
      </c>
      <c r="B265" s="165">
        <v>25</v>
      </c>
      <c r="C265" s="166" t="s">
        <v>146</v>
      </c>
      <c r="D265" t="s">
        <v>456</v>
      </c>
      <c r="E265" s="167">
        <v>790110</v>
      </c>
      <c r="F265" s="167">
        <v>790275</v>
      </c>
    </row>
    <row r="266" spans="1:6">
      <c r="A266">
        <f t="shared" si="4"/>
        <v>264</v>
      </c>
      <c r="B266" s="165">
        <v>26</v>
      </c>
      <c r="C266" s="166" t="s">
        <v>147</v>
      </c>
      <c r="D266" t="s">
        <v>457</v>
      </c>
      <c r="E266" s="167">
        <v>522500</v>
      </c>
      <c r="F266" s="167">
        <v>524999</v>
      </c>
    </row>
    <row r="267" spans="1:6">
      <c r="A267">
        <f t="shared" si="4"/>
        <v>265</v>
      </c>
      <c r="B267" s="165">
        <v>26</v>
      </c>
      <c r="C267" s="166" t="s">
        <v>147</v>
      </c>
      <c r="D267" t="s">
        <v>458</v>
      </c>
      <c r="E267" s="167">
        <v>550000</v>
      </c>
      <c r="F267" s="167">
        <v>552499</v>
      </c>
    </row>
    <row r="268" spans="1:6">
      <c r="A268">
        <f t="shared" si="4"/>
        <v>266</v>
      </c>
      <c r="B268" s="165">
        <v>27</v>
      </c>
      <c r="C268" s="166" t="s">
        <v>148</v>
      </c>
      <c r="D268" t="s">
        <v>459</v>
      </c>
      <c r="E268" s="167">
        <v>502500</v>
      </c>
      <c r="F268" s="167">
        <v>504999</v>
      </c>
    </row>
    <row r="269" spans="1:6">
      <c r="A269">
        <f t="shared" si="4"/>
        <v>267</v>
      </c>
      <c r="B269" s="165">
        <v>28</v>
      </c>
      <c r="C269" s="166" t="s">
        <v>149</v>
      </c>
      <c r="D269" t="s">
        <v>460</v>
      </c>
      <c r="E269" s="167">
        <v>487500</v>
      </c>
      <c r="F269" s="167">
        <v>489999</v>
      </c>
    </row>
    <row r="270" spans="1:6">
      <c r="A270">
        <f t="shared" si="4"/>
        <v>268</v>
      </c>
      <c r="B270" s="165">
        <v>28</v>
      </c>
      <c r="C270" s="166" t="s">
        <v>149</v>
      </c>
      <c r="D270" t="s">
        <v>461</v>
      </c>
      <c r="E270" s="167">
        <v>490000</v>
      </c>
      <c r="F270" s="167">
        <v>492499</v>
      </c>
    </row>
    <row r="271" spans="1:6">
      <c r="A271">
        <f t="shared" si="4"/>
        <v>269</v>
      </c>
      <c r="B271" s="165">
        <v>28</v>
      </c>
      <c r="C271" s="166" t="s">
        <v>149</v>
      </c>
      <c r="D271" t="s">
        <v>462</v>
      </c>
      <c r="E271" s="167">
        <v>507500</v>
      </c>
      <c r="F271" s="167">
        <v>509999</v>
      </c>
    </row>
    <row r="272" spans="1:6">
      <c r="A272">
        <f t="shared" si="4"/>
        <v>270</v>
      </c>
      <c r="B272" s="165">
        <v>29</v>
      </c>
      <c r="C272" s="166" t="s">
        <v>150</v>
      </c>
      <c r="D272" t="s">
        <v>463</v>
      </c>
      <c r="E272" s="167">
        <v>492500</v>
      </c>
      <c r="F272" s="167">
        <v>494999</v>
      </c>
    </row>
    <row r="273" spans="1:6">
      <c r="A273">
        <f t="shared" si="4"/>
        <v>271</v>
      </c>
      <c r="B273" s="165">
        <v>29</v>
      </c>
      <c r="C273" s="166" t="s">
        <v>150</v>
      </c>
      <c r="D273" t="s">
        <v>464</v>
      </c>
      <c r="E273" s="167">
        <v>495000</v>
      </c>
      <c r="F273" s="167">
        <v>497499</v>
      </c>
    </row>
    <row r="274" spans="1:6">
      <c r="A274">
        <f t="shared" si="4"/>
        <v>272</v>
      </c>
      <c r="B274" s="165">
        <v>29</v>
      </c>
      <c r="C274" s="166" t="s">
        <v>150</v>
      </c>
      <c r="D274" t="s">
        <v>465</v>
      </c>
      <c r="E274" s="167">
        <v>497500</v>
      </c>
      <c r="F274" s="167">
        <v>499999</v>
      </c>
    </row>
    <row r="275" spans="1:6">
      <c r="A275">
        <f t="shared" si="4"/>
        <v>273</v>
      </c>
      <c r="B275" s="165">
        <v>29</v>
      </c>
      <c r="C275" s="166" t="s">
        <v>150</v>
      </c>
      <c r="D275" t="s">
        <v>466</v>
      </c>
      <c r="E275" s="167">
        <v>510000</v>
      </c>
      <c r="F275" s="167">
        <v>512499</v>
      </c>
    </row>
    <row r="276" spans="1:6">
      <c r="A276">
        <f t="shared" si="4"/>
        <v>274</v>
      </c>
      <c r="B276" s="165">
        <v>29</v>
      </c>
      <c r="C276" s="166" t="s">
        <v>150</v>
      </c>
      <c r="D276" t="s">
        <v>467</v>
      </c>
      <c r="E276" s="167">
        <v>515000</v>
      </c>
      <c r="F276" s="167">
        <v>517499</v>
      </c>
    </row>
    <row r="277" spans="1:6">
      <c r="A277">
        <f t="shared" si="4"/>
        <v>275</v>
      </c>
      <c r="B277" s="165">
        <v>29</v>
      </c>
      <c r="C277" s="166" t="s">
        <v>150</v>
      </c>
      <c r="D277" t="s">
        <v>468</v>
      </c>
      <c r="E277" s="167">
        <v>520000</v>
      </c>
      <c r="F277" s="167">
        <v>522499</v>
      </c>
    </row>
    <row r="278" spans="1:6">
      <c r="A278">
        <f t="shared" si="4"/>
        <v>276</v>
      </c>
      <c r="B278" s="165">
        <v>29</v>
      </c>
      <c r="C278" s="166" t="s">
        <v>150</v>
      </c>
      <c r="D278" t="s">
        <v>469</v>
      </c>
      <c r="E278" s="167">
        <v>532500</v>
      </c>
      <c r="F278" s="167">
        <v>534999</v>
      </c>
    </row>
    <row r="279" spans="1:6">
      <c r="A279">
        <f t="shared" si="4"/>
        <v>277</v>
      </c>
      <c r="B279" s="165">
        <v>29</v>
      </c>
      <c r="C279" s="166" t="s">
        <v>150</v>
      </c>
      <c r="D279" t="s">
        <v>470</v>
      </c>
      <c r="E279" s="167">
        <v>535000</v>
      </c>
      <c r="F279" s="167">
        <v>537499</v>
      </c>
    </row>
    <row r="280" spans="1:6">
      <c r="A280">
        <f t="shared" si="4"/>
        <v>278</v>
      </c>
      <c r="B280" s="165">
        <v>29</v>
      </c>
      <c r="C280" s="166" t="s">
        <v>150</v>
      </c>
      <c r="D280" t="s">
        <v>471</v>
      </c>
      <c r="E280" s="167">
        <v>537500</v>
      </c>
      <c r="F280" s="167">
        <v>539999</v>
      </c>
    </row>
    <row r="281" spans="1:6">
      <c r="A281">
        <f t="shared" si="4"/>
        <v>279</v>
      </c>
      <c r="B281" s="165">
        <v>29</v>
      </c>
      <c r="C281" s="166" t="s">
        <v>150</v>
      </c>
      <c r="D281" t="s">
        <v>472</v>
      </c>
      <c r="E281" s="167">
        <v>547500</v>
      </c>
      <c r="F281" s="167">
        <v>549999</v>
      </c>
    </row>
    <row r="282" spans="1:6">
      <c r="A282">
        <f t="shared" si="4"/>
        <v>280</v>
      </c>
      <c r="B282" s="165">
        <v>29</v>
      </c>
      <c r="C282" s="166" t="s">
        <v>150</v>
      </c>
      <c r="D282" t="s">
        <v>473</v>
      </c>
      <c r="E282" s="167">
        <v>552500</v>
      </c>
      <c r="F282" s="167">
        <v>557499</v>
      </c>
    </row>
    <row r="283" spans="1:6">
      <c r="A283">
        <f t="shared" si="4"/>
        <v>281</v>
      </c>
      <c r="B283" s="165">
        <v>29</v>
      </c>
      <c r="C283" s="166" t="s">
        <v>150</v>
      </c>
      <c r="D283" t="s">
        <v>474</v>
      </c>
      <c r="E283" s="167">
        <v>557500</v>
      </c>
      <c r="F283" s="167">
        <v>699999</v>
      </c>
    </row>
    <row r="284" spans="1:6">
      <c r="A284">
        <f t="shared" si="4"/>
        <v>282</v>
      </c>
      <c r="B284" s="165">
        <v>29</v>
      </c>
      <c r="C284" s="166" t="s">
        <v>150</v>
      </c>
      <c r="D284" t="s">
        <v>475</v>
      </c>
      <c r="E284" s="167">
        <v>950700</v>
      </c>
      <c r="F284" s="167">
        <v>950799</v>
      </c>
    </row>
    <row r="285" spans="1:6">
      <c r="A285">
        <f t="shared" si="4"/>
        <v>283</v>
      </c>
      <c r="B285" s="165">
        <v>32</v>
      </c>
      <c r="C285" s="166" t="s">
        <v>153</v>
      </c>
      <c r="D285" t="s">
        <v>476</v>
      </c>
      <c r="E285" s="167">
        <v>700000</v>
      </c>
      <c r="F285" s="167">
        <v>700099</v>
      </c>
    </row>
    <row r="286" spans="1:6">
      <c r="A286">
        <f t="shared" si="4"/>
        <v>284</v>
      </c>
      <c r="B286" s="165">
        <v>32</v>
      </c>
      <c r="C286" s="166" t="s">
        <v>153</v>
      </c>
      <c r="D286" t="s">
        <v>477</v>
      </c>
      <c r="E286" s="167">
        <v>700100</v>
      </c>
      <c r="F286" s="167">
        <v>701999</v>
      </c>
    </row>
    <row r="287" spans="1:6">
      <c r="A287">
        <f t="shared" si="4"/>
        <v>285</v>
      </c>
      <c r="B287" s="165">
        <v>33</v>
      </c>
      <c r="C287" s="166" t="s">
        <v>154</v>
      </c>
      <c r="D287" t="s">
        <v>478</v>
      </c>
      <c r="E287" s="167">
        <v>702000</v>
      </c>
      <c r="F287" s="167">
        <v>703999</v>
      </c>
    </row>
    <row r="288" spans="1:6">
      <c r="A288">
        <f t="shared" si="4"/>
        <v>286</v>
      </c>
      <c r="B288" s="165">
        <v>36</v>
      </c>
      <c r="C288" s="166" t="s">
        <v>157</v>
      </c>
      <c r="D288" t="s">
        <v>479</v>
      </c>
      <c r="E288" s="167">
        <v>545000</v>
      </c>
      <c r="F288" s="167">
        <v>545499</v>
      </c>
    </row>
    <row r="289" spans="1:6">
      <c r="A289">
        <f t="shared" si="4"/>
        <v>287</v>
      </c>
      <c r="B289" s="165">
        <v>37</v>
      </c>
      <c r="C289" s="166" t="s">
        <v>158</v>
      </c>
      <c r="D289" t="s">
        <v>480</v>
      </c>
      <c r="E289" s="167">
        <v>750000</v>
      </c>
      <c r="F289" s="167">
        <v>750099</v>
      </c>
    </row>
    <row r="290" spans="1:6">
      <c r="A290">
        <f t="shared" si="4"/>
        <v>288</v>
      </c>
      <c r="B290" s="165">
        <v>37</v>
      </c>
      <c r="C290" s="166" t="s">
        <v>158</v>
      </c>
      <c r="D290" t="s">
        <v>481</v>
      </c>
      <c r="E290" s="167">
        <v>750100</v>
      </c>
      <c r="F290" s="167">
        <v>750199</v>
      </c>
    </row>
    <row r="291" spans="1:6">
      <c r="A291">
        <f t="shared" si="4"/>
        <v>289</v>
      </c>
      <c r="B291" s="165">
        <v>37</v>
      </c>
      <c r="C291" s="166" t="s">
        <v>158</v>
      </c>
      <c r="D291" t="s">
        <v>482</v>
      </c>
      <c r="E291" s="167">
        <v>750200</v>
      </c>
      <c r="F291" s="167">
        <v>750299</v>
      </c>
    </row>
    <row r="292" spans="1:6">
      <c r="A292">
        <f t="shared" si="4"/>
        <v>290</v>
      </c>
      <c r="B292" s="165">
        <v>37</v>
      </c>
      <c r="C292" s="166" t="s">
        <v>158</v>
      </c>
      <c r="D292" t="s">
        <v>483</v>
      </c>
      <c r="E292" s="167">
        <v>750300</v>
      </c>
      <c r="F292" s="167">
        <v>750399</v>
      </c>
    </row>
    <row r="293" spans="1:6">
      <c r="A293">
        <f t="shared" si="4"/>
        <v>291</v>
      </c>
      <c r="B293" s="165">
        <v>37</v>
      </c>
      <c r="C293" s="166" t="s">
        <v>158</v>
      </c>
      <c r="D293" t="s">
        <v>484</v>
      </c>
      <c r="E293" s="167">
        <v>750400</v>
      </c>
      <c r="F293" s="167">
        <v>750499</v>
      </c>
    </row>
    <row r="294" spans="1:6">
      <c r="A294">
        <f t="shared" si="4"/>
        <v>292</v>
      </c>
      <c r="B294" s="165">
        <v>37</v>
      </c>
      <c r="C294" s="166" t="s">
        <v>158</v>
      </c>
      <c r="D294" t="s">
        <v>485</v>
      </c>
      <c r="E294" s="167">
        <v>750500</v>
      </c>
      <c r="F294" s="167">
        <v>750599</v>
      </c>
    </row>
    <row r="295" spans="1:6">
      <c r="A295">
        <f t="shared" si="4"/>
        <v>293</v>
      </c>
      <c r="B295" s="165">
        <v>37</v>
      </c>
      <c r="C295" s="166" t="s">
        <v>158</v>
      </c>
      <c r="D295" t="s">
        <v>486</v>
      </c>
      <c r="E295" s="167">
        <v>750600</v>
      </c>
      <c r="F295" s="167">
        <v>750699</v>
      </c>
    </row>
    <row r="296" spans="1:6">
      <c r="A296">
        <f t="shared" si="4"/>
        <v>294</v>
      </c>
      <c r="B296" s="165">
        <v>37</v>
      </c>
      <c r="C296" s="166" t="s">
        <v>158</v>
      </c>
      <c r="D296" t="s">
        <v>487</v>
      </c>
      <c r="E296" s="167">
        <v>750700</v>
      </c>
      <c r="F296" s="167">
        <v>750799</v>
      </c>
    </row>
    <row r="297" spans="1:6">
      <c r="A297">
        <f t="shared" si="4"/>
        <v>295</v>
      </c>
      <c r="B297" s="165">
        <v>37</v>
      </c>
      <c r="C297" s="166" t="s">
        <v>158</v>
      </c>
      <c r="D297" t="s">
        <v>488</v>
      </c>
      <c r="E297" s="167">
        <v>750800</v>
      </c>
      <c r="F297" s="167">
        <v>750899</v>
      </c>
    </row>
    <row r="298" spans="1:6">
      <c r="A298">
        <f t="shared" si="4"/>
        <v>296</v>
      </c>
      <c r="B298" s="165">
        <v>37</v>
      </c>
      <c r="C298" s="166" t="s">
        <v>158</v>
      </c>
      <c r="D298" t="s">
        <v>489</v>
      </c>
      <c r="E298" s="167">
        <v>750900</v>
      </c>
      <c r="F298" s="167">
        <v>750999</v>
      </c>
    </row>
    <row r="299" spans="1:6">
      <c r="A299">
        <f t="shared" si="4"/>
        <v>297</v>
      </c>
      <c r="B299" s="165">
        <v>37</v>
      </c>
      <c r="C299" s="166" t="s">
        <v>158</v>
      </c>
      <c r="D299" t="s">
        <v>490</v>
      </c>
      <c r="E299" s="167">
        <v>751000</v>
      </c>
      <c r="F299" s="167">
        <v>751099</v>
      </c>
    </row>
    <row r="300" spans="1:6">
      <c r="A300">
        <f t="shared" si="4"/>
        <v>298</v>
      </c>
      <c r="B300" s="165">
        <v>37</v>
      </c>
      <c r="C300" s="166" t="s">
        <v>158</v>
      </c>
      <c r="D300" t="s">
        <v>491</v>
      </c>
      <c r="E300" s="167">
        <v>751100</v>
      </c>
      <c r="F300" s="167">
        <v>751199</v>
      </c>
    </row>
    <row r="301" spans="1:6">
      <c r="A301">
        <f t="shared" si="4"/>
        <v>299</v>
      </c>
      <c r="B301" s="165">
        <v>37</v>
      </c>
      <c r="C301" s="166" t="s">
        <v>158</v>
      </c>
      <c r="D301" t="s">
        <v>492</v>
      </c>
      <c r="E301" s="167">
        <v>752492</v>
      </c>
      <c r="F301" s="167">
        <v>752492</v>
      </c>
    </row>
    <row r="302" spans="1:6">
      <c r="A302">
        <f t="shared" si="4"/>
        <v>300</v>
      </c>
      <c r="B302" s="165">
        <v>37</v>
      </c>
      <c r="C302" s="166" t="s">
        <v>158</v>
      </c>
      <c r="D302" t="s">
        <v>493</v>
      </c>
      <c r="E302" s="167">
        <v>752493</v>
      </c>
      <c r="F302" s="167">
        <v>752493</v>
      </c>
    </row>
    <row r="303" spans="1:6">
      <c r="A303">
        <f t="shared" si="4"/>
        <v>301</v>
      </c>
      <c r="B303" s="165">
        <v>37</v>
      </c>
      <c r="C303" s="166" t="s">
        <v>158</v>
      </c>
      <c r="D303" t="s">
        <v>494</v>
      </c>
      <c r="E303" s="167">
        <v>752494</v>
      </c>
      <c r="F303" s="167">
        <v>752494</v>
      </c>
    </row>
    <row r="304" spans="1:6">
      <c r="A304">
        <f t="shared" si="4"/>
        <v>302</v>
      </c>
      <c r="B304" s="165">
        <v>37</v>
      </c>
      <c r="C304" s="166" t="s">
        <v>158</v>
      </c>
      <c r="D304" t="s">
        <v>495</v>
      </c>
      <c r="E304" s="167">
        <v>752495</v>
      </c>
      <c r="F304" s="167">
        <v>752495</v>
      </c>
    </row>
    <row r="305" spans="1:6">
      <c r="A305">
        <f t="shared" si="4"/>
        <v>303</v>
      </c>
      <c r="B305" s="165">
        <v>37</v>
      </c>
      <c r="C305" s="166" t="s">
        <v>158</v>
      </c>
      <c r="D305" t="s">
        <v>496</v>
      </c>
      <c r="E305" s="167">
        <v>752496</v>
      </c>
      <c r="F305" s="167">
        <v>752496</v>
      </c>
    </row>
    <row r="306" spans="1:6">
      <c r="A306">
        <f t="shared" si="4"/>
        <v>304</v>
      </c>
      <c r="B306" s="165">
        <v>38</v>
      </c>
      <c r="C306" s="166" t="s">
        <v>33</v>
      </c>
      <c r="D306" t="s">
        <v>497</v>
      </c>
      <c r="E306" s="167">
        <v>762500</v>
      </c>
      <c r="F306" s="167">
        <v>792500</v>
      </c>
    </row>
    <row r="307" spans="1:6">
      <c r="A307">
        <f t="shared" si="4"/>
        <v>305</v>
      </c>
      <c r="B307" s="165">
        <v>38</v>
      </c>
      <c r="C307" s="166" t="s">
        <v>33</v>
      </c>
      <c r="D307" t="s">
        <v>498</v>
      </c>
      <c r="E307" s="167">
        <v>792501</v>
      </c>
      <c r="F307" s="167">
        <v>792501</v>
      </c>
    </row>
    <row r="308" spans="1:6">
      <c r="A308">
        <f t="shared" si="4"/>
        <v>306</v>
      </c>
      <c r="B308" s="165">
        <v>38</v>
      </c>
      <c r="C308" s="166" t="s">
        <v>33</v>
      </c>
      <c r="D308" t="s">
        <v>499</v>
      </c>
      <c r="E308" s="167">
        <v>810000</v>
      </c>
      <c r="F308" s="167">
        <v>810099</v>
      </c>
    </row>
    <row r="309" spans="1:6">
      <c r="A309">
        <f t="shared" si="4"/>
        <v>307</v>
      </c>
      <c r="B309" s="165">
        <v>38</v>
      </c>
      <c r="C309" s="166" t="s">
        <v>33</v>
      </c>
      <c r="D309" t="s">
        <v>500</v>
      </c>
      <c r="E309" s="167">
        <v>810100</v>
      </c>
      <c r="F309" s="167">
        <v>810199</v>
      </c>
    </row>
    <row r="310" spans="1:6">
      <c r="A310">
        <f t="shared" si="4"/>
        <v>308</v>
      </c>
      <c r="B310" s="165">
        <v>38</v>
      </c>
      <c r="C310" s="166" t="s">
        <v>33</v>
      </c>
      <c r="D310" t="s">
        <v>501</v>
      </c>
      <c r="E310" s="167">
        <v>810200</v>
      </c>
      <c r="F310" s="167">
        <v>810299</v>
      </c>
    </row>
    <row r="311" spans="1:6">
      <c r="A311">
        <f t="shared" si="4"/>
        <v>309</v>
      </c>
      <c r="B311" s="165">
        <v>38</v>
      </c>
      <c r="C311" s="166" t="s">
        <v>33</v>
      </c>
      <c r="D311" t="s">
        <v>502</v>
      </c>
      <c r="E311" s="167">
        <v>810300</v>
      </c>
      <c r="F311" s="167">
        <v>810349</v>
      </c>
    </row>
    <row r="312" spans="1:6">
      <c r="A312">
        <f t="shared" si="4"/>
        <v>310</v>
      </c>
      <c r="B312" s="165">
        <v>38</v>
      </c>
      <c r="C312" s="166" t="s">
        <v>33</v>
      </c>
      <c r="D312" t="s">
        <v>503</v>
      </c>
      <c r="E312" s="167">
        <v>810350</v>
      </c>
      <c r="F312" s="167">
        <v>810399</v>
      </c>
    </row>
    <row r="313" spans="1:6">
      <c r="A313">
        <f t="shared" si="4"/>
        <v>311</v>
      </c>
      <c r="B313" s="165">
        <v>38</v>
      </c>
      <c r="C313" s="166" t="s">
        <v>33</v>
      </c>
      <c r="D313" t="s">
        <v>504</v>
      </c>
      <c r="E313" s="167">
        <v>810400</v>
      </c>
      <c r="F313" s="167">
        <v>810499</v>
      </c>
    </row>
    <row r="314" spans="1:6">
      <c r="A314">
        <f t="shared" si="4"/>
        <v>312</v>
      </c>
      <c r="B314" s="165">
        <v>38</v>
      </c>
      <c r="C314" s="166" t="s">
        <v>33</v>
      </c>
      <c r="D314" t="s">
        <v>505</v>
      </c>
      <c r="E314" s="167">
        <v>810500</v>
      </c>
      <c r="F314" s="167">
        <v>810599</v>
      </c>
    </row>
    <row r="315" spans="1:6">
      <c r="A315">
        <f t="shared" si="4"/>
        <v>313</v>
      </c>
      <c r="B315" s="165">
        <v>38</v>
      </c>
      <c r="C315" s="166" t="s">
        <v>33</v>
      </c>
      <c r="D315" t="s">
        <v>506</v>
      </c>
      <c r="E315" s="167">
        <v>810600</v>
      </c>
      <c r="F315" s="167">
        <v>810699</v>
      </c>
    </row>
    <row r="316" spans="1:6">
      <c r="A316">
        <f t="shared" si="4"/>
        <v>314</v>
      </c>
      <c r="B316" s="165">
        <v>38</v>
      </c>
      <c r="C316" s="166" t="s">
        <v>33</v>
      </c>
      <c r="D316" t="s">
        <v>507</v>
      </c>
      <c r="E316" s="167">
        <v>810700</v>
      </c>
      <c r="F316" s="167">
        <v>810799</v>
      </c>
    </row>
    <row r="317" spans="1:6">
      <c r="A317">
        <f t="shared" si="4"/>
        <v>315</v>
      </c>
      <c r="B317" s="165">
        <v>38</v>
      </c>
      <c r="C317" s="166" t="s">
        <v>33</v>
      </c>
      <c r="D317" t="s">
        <v>508</v>
      </c>
      <c r="E317" s="167">
        <v>810800</v>
      </c>
      <c r="F317" s="167">
        <v>810899</v>
      </c>
    </row>
    <row r="318" spans="1:6">
      <c r="A318">
        <f t="shared" si="4"/>
        <v>316</v>
      </c>
      <c r="B318" s="165">
        <v>38</v>
      </c>
      <c r="C318" s="166" t="s">
        <v>33</v>
      </c>
      <c r="D318" t="s">
        <v>509</v>
      </c>
      <c r="E318" s="167">
        <v>810900</v>
      </c>
      <c r="F318" s="167">
        <v>810999</v>
      </c>
    </row>
    <row r="319" spans="1:6">
      <c r="A319">
        <f t="shared" si="4"/>
        <v>317</v>
      </c>
      <c r="B319" s="165">
        <v>38</v>
      </c>
      <c r="C319" s="166" t="s">
        <v>33</v>
      </c>
      <c r="D319" t="s">
        <v>510</v>
      </c>
      <c r="E319" s="167">
        <v>811000</v>
      </c>
      <c r="F319" s="167">
        <v>811099</v>
      </c>
    </row>
    <row r="320" spans="1:6">
      <c r="A320">
        <f t="shared" si="4"/>
        <v>318</v>
      </c>
      <c r="B320" s="165">
        <v>38</v>
      </c>
      <c r="C320" s="166" t="s">
        <v>33</v>
      </c>
      <c r="D320" t="s">
        <v>511</v>
      </c>
      <c r="E320" s="167">
        <v>811100</v>
      </c>
      <c r="F320" s="167">
        <v>811199</v>
      </c>
    </row>
    <row r="321" spans="1:6">
      <c r="A321">
        <f t="shared" si="4"/>
        <v>319</v>
      </c>
      <c r="B321" s="165">
        <v>38</v>
      </c>
      <c r="C321" s="166" t="s">
        <v>33</v>
      </c>
      <c r="D321" t="s">
        <v>512</v>
      </c>
      <c r="E321" s="167">
        <v>811200</v>
      </c>
      <c r="F321" s="167">
        <v>811299</v>
      </c>
    </row>
    <row r="322" spans="1:6">
      <c r="A322">
        <f t="shared" si="4"/>
        <v>320</v>
      </c>
      <c r="B322" s="165">
        <v>38</v>
      </c>
      <c r="C322" s="166" t="s">
        <v>33</v>
      </c>
      <c r="D322" t="s">
        <v>513</v>
      </c>
      <c r="E322" s="167">
        <v>811300</v>
      </c>
      <c r="F322" s="167">
        <v>811399</v>
      </c>
    </row>
    <row r="323" spans="1:6">
      <c r="A323">
        <f t="shared" si="4"/>
        <v>321</v>
      </c>
      <c r="B323" s="165">
        <v>38</v>
      </c>
      <c r="C323" s="166" t="s">
        <v>33</v>
      </c>
      <c r="D323" t="s">
        <v>514</v>
      </c>
      <c r="E323" s="167">
        <v>970100</v>
      </c>
      <c r="F323" s="167">
        <v>970199</v>
      </c>
    </row>
    <row r="324" spans="1:6">
      <c r="A324">
        <f t="shared" ref="A324:A351" si="5">A323+1</f>
        <v>322</v>
      </c>
      <c r="B324" s="165">
        <v>38</v>
      </c>
      <c r="C324" s="166" t="s">
        <v>33</v>
      </c>
      <c r="D324" t="s">
        <v>515</v>
      </c>
      <c r="E324" s="167">
        <v>970200</v>
      </c>
      <c r="F324" s="167">
        <v>970299</v>
      </c>
    </row>
    <row r="325" spans="1:6">
      <c r="A325">
        <f t="shared" si="5"/>
        <v>323</v>
      </c>
      <c r="B325" s="165">
        <v>39</v>
      </c>
      <c r="C325" s="166" t="s">
        <v>159</v>
      </c>
      <c r="D325" t="s">
        <v>516</v>
      </c>
      <c r="E325" s="167">
        <v>950000</v>
      </c>
      <c r="F325" s="167">
        <v>950099</v>
      </c>
    </row>
    <row r="326" spans="1:6">
      <c r="A326">
        <f t="shared" si="5"/>
        <v>324</v>
      </c>
      <c r="B326" s="165">
        <v>39</v>
      </c>
      <c r="C326" s="166" t="s">
        <v>159</v>
      </c>
      <c r="D326" t="s">
        <v>517</v>
      </c>
      <c r="E326" s="167">
        <v>950100</v>
      </c>
      <c r="F326" s="167">
        <v>950199</v>
      </c>
    </row>
    <row r="327" spans="1:6">
      <c r="A327">
        <f t="shared" si="5"/>
        <v>325</v>
      </c>
      <c r="B327" s="165">
        <v>39</v>
      </c>
      <c r="C327" s="166" t="s">
        <v>159</v>
      </c>
      <c r="D327" t="s">
        <v>518</v>
      </c>
      <c r="E327" s="167">
        <v>950200</v>
      </c>
      <c r="F327" s="167">
        <v>950299</v>
      </c>
    </row>
    <row r="328" spans="1:6">
      <c r="A328">
        <f t="shared" si="5"/>
        <v>326</v>
      </c>
      <c r="B328" s="165">
        <v>39</v>
      </c>
      <c r="C328" s="166" t="s">
        <v>159</v>
      </c>
      <c r="D328" t="s">
        <v>519</v>
      </c>
      <c r="E328" s="167">
        <v>950300</v>
      </c>
      <c r="F328" s="167">
        <v>950399</v>
      </c>
    </row>
    <row r="329" spans="1:6">
      <c r="A329">
        <f t="shared" si="5"/>
        <v>327</v>
      </c>
      <c r="B329" s="165">
        <v>39</v>
      </c>
      <c r="C329" s="166" t="s">
        <v>159</v>
      </c>
      <c r="D329" t="s">
        <v>520</v>
      </c>
      <c r="E329" s="167">
        <v>950400</v>
      </c>
      <c r="F329" s="167">
        <v>950499</v>
      </c>
    </row>
    <row r="330" spans="1:6">
      <c r="A330">
        <f t="shared" si="5"/>
        <v>328</v>
      </c>
      <c r="B330" s="165">
        <v>39</v>
      </c>
      <c r="C330" s="166" t="s">
        <v>159</v>
      </c>
      <c r="D330" t="s">
        <v>521</v>
      </c>
      <c r="E330" s="167">
        <v>950500</v>
      </c>
      <c r="F330" s="167">
        <v>950599</v>
      </c>
    </row>
    <row r="331" spans="1:6">
      <c r="A331">
        <f t="shared" si="5"/>
        <v>329</v>
      </c>
      <c r="B331" s="165">
        <v>39</v>
      </c>
      <c r="C331" s="166" t="s">
        <v>159</v>
      </c>
      <c r="D331" t="s">
        <v>522</v>
      </c>
      <c r="E331" s="167">
        <v>950600</v>
      </c>
      <c r="F331" s="167">
        <v>950699</v>
      </c>
    </row>
    <row r="332" spans="1:6">
      <c r="A332">
        <f t="shared" si="5"/>
        <v>330</v>
      </c>
      <c r="B332" s="165">
        <v>40</v>
      </c>
      <c r="C332" s="166" t="s">
        <v>160</v>
      </c>
      <c r="D332" t="s">
        <v>523</v>
      </c>
      <c r="E332" s="167">
        <v>790276</v>
      </c>
      <c r="F332" s="167">
        <v>790399</v>
      </c>
    </row>
    <row r="333" spans="1:6">
      <c r="A333">
        <f t="shared" si="5"/>
        <v>331</v>
      </c>
      <c r="B333" s="165">
        <v>40</v>
      </c>
      <c r="C333" s="166" t="s">
        <v>160</v>
      </c>
      <c r="D333" t="s">
        <v>524</v>
      </c>
      <c r="E333" s="167">
        <v>960000</v>
      </c>
      <c r="F333" s="167">
        <v>960199</v>
      </c>
    </row>
    <row r="334" spans="1:6">
      <c r="A334">
        <f t="shared" si="5"/>
        <v>332</v>
      </c>
      <c r="B334" s="165">
        <v>40</v>
      </c>
      <c r="C334" s="166" t="s">
        <v>160</v>
      </c>
      <c r="D334" t="s">
        <v>525</v>
      </c>
      <c r="E334" s="167">
        <v>960400</v>
      </c>
      <c r="F334" s="167">
        <v>960499</v>
      </c>
    </row>
    <row r="335" spans="1:6">
      <c r="A335">
        <f t="shared" si="5"/>
        <v>333</v>
      </c>
      <c r="B335" s="165">
        <v>41</v>
      </c>
      <c r="C335" s="166" t="s">
        <v>161</v>
      </c>
      <c r="D335" t="s">
        <v>526</v>
      </c>
      <c r="E335" s="167">
        <v>960200</v>
      </c>
      <c r="F335" s="167">
        <v>960299</v>
      </c>
    </row>
    <row r="336" spans="1:6">
      <c r="A336">
        <f t="shared" si="5"/>
        <v>334</v>
      </c>
      <c r="B336" s="165">
        <v>45</v>
      </c>
      <c r="C336" s="166" t="s">
        <v>165</v>
      </c>
      <c r="D336" t="s">
        <v>527</v>
      </c>
      <c r="E336" s="167">
        <v>997000</v>
      </c>
      <c r="F336" s="167">
        <v>999997</v>
      </c>
    </row>
    <row r="337" spans="1:6">
      <c r="A337">
        <f t="shared" si="5"/>
        <v>335</v>
      </c>
      <c r="B337" s="165">
        <v>46</v>
      </c>
      <c r="C337" s="166" t="s">
        <v>166</v>
      </c>
      <c r="D337" t="s">
        <v>528</v>
      </c>
      <c r="E337" s="167">
        <v>542500</v>
      </c>
      <c r="F337" s="167">
        <v>544999</v>
      </c>
    </row>
    <row r="338" spans="1:6">
      <c r="A338">
        <f t="shared" si="5"/>
        <v>336</v>
      </c>
      <c r="B338" s="165">
        <v>46</v>
      </c>
      <c r="C338" s="166" t="s">
        <v>166</v>
      </c>
      <c r="D338" t="s">
        <v>529</v>
      </c>
      <c r="E338" s="167">
        <v>811400</v>
      </c>
      <c r="F338" s="167">
        <v>812399</v>
      </c>
    </row>
    <row r="339" spans="1:6">
      <c r="A339">
        <f t="shared" si="5"/>
        <v>337</v>
      </c>
      <c r="B339" s="165">
        <v>46</v>
      </c>
      <c r="C339" s="166" t="s">
        <v>166</v>
      </c>
      <c r="D339" t="s">
        <v>530</v>
      </c>
      <c r="E339" s="167">
        <v>970000</v>
      </c>
      <c r="F339" s="167">
        <v>970099</v>
      </c>
    </row>
    <row r="340" spans="1:6">
      <c r="A340">
        <f t="shared" si="5"/>
        <v>338</v>
      </c>
      <c r="B340" s="165">
        <v>46</v>
      </c>
      <c r="C340" s="166" t="s">
        <v>166</v>
      </c>
      <c r="D340" t="s">
        <v>531</v>
      </c>
      <c r="E340" s="167">
        <v>970300</v>
      </c>
      <c r="F340" s="167">
        <v>970399</v>
      </c>
    </row>
    <row r="341" spans="1:6">
      <c r="A341">
        <f t="shared" si="5"/>
        <v>339</v>
      </c>
      <c r="B341" s="165">
        <v>46</v>
      </c>
      <c r="C341" s="166" t="s">
        <v>166</v>
      </c>
      <c r="D341" t="s">
        <v>532</v>
      </c>
      <c r="E341" s="167">
        <v>970400</v>
      </c>
      <c r="F341" s="167">
        <v>970499</v>
      </c>
    </row>
    <row r="342" spans="1:6">
      <c r="A342">
        <f t="shared" si="5"/>
        <v>340</v>
      </c>
      <c r="B342" s="165">
        <v>46</v>
      </c>
      <c r="C342" s="166" t="s">
        <v>166</v>
      </c>
      <c r="D342" t="s">
        <v>533</v>
      </c>
      <c r="E342" s="167">
        <v>970500</v>
      </c>
      <c r="F342" s="167">
        <v>970599</v>
      </c>
    </row>
    <row r="343" spans="1:6">
      <c r="A343">
        <f t="shared" si="5"/>
        <v>341</v>
      </c>
      <c r="B343" s="165">
        <v>46</v>
      </c>
      <c r="C343" s="166" t="s">
        <v>166</v>
      </c>
      <c r="D343" t="s">
        <v>534</v>
      </c>
      <c r="E343" s="167">
        <v>970600</v>
      </c>
      <c r="F343" s="167">
        <v>970699</v>
      </c>
    </row>
    <row r="344" spans="1:6">
      <c r="A344">
        <f t="shared" si="5"/>
        <v>342</v>
      </c>
      <c r="B344" s="165">
        <v>46</v>
      </c>
      <c r="C344" s="166" t="s">
        <v>166</v>
      </c>
      <c r="D344" t="s">
        <v>535</v>
      </c>
      <c r="E344" s="167">
        <v>970700</v>
      </c>
      <c r="F344" s="167">
        <v>970799</v>
      </c>
    </row>
    <row r="345" spans="1:6">
      <c r="A345">
        <f t="shared" si="5"/>
        <v>343</v>
      </c>
      <c r="B345" s="165">
        <v>46</v>
      </c>
      <c r="C345" s="166" t="s">
        <v>166</v>
      </c>
      <c r="D345" t="s">
        <v>536</v>
      </c>
      <c r="E345" s="167">
        <v>970800</v>
      </c>
      <c r="F345" s="167">
        <v>970899</v>
      </c>
    </row>
    <row r="346" spans="1:6">
      <c r="A346">
        <f t="shared" si="5"/>
        <v>344</v>
      </c>
      <c r="B346" s="165">
        <v>46</v>
      </c>
      <c r="C346" s="166" t="s">
        <v>166</v>
      </c>
      <c r="D346" t="s">
        <v>537</v>
      </c>
      <c r="E346" s="167">
        <v>970900</v>
      </c>
      <c r="F346" s="167">
        <v>970999</v>
      </c>
    </row>
    <row r="347" spans="1:6">
      <c r="A347">
        <f t="shared" si="5"/>
        <v>345</v>
      </c>
      <c r="B347" s="165">
        <v>46</v>
      </c>
      <c r="C347" s="166" t="s">
        <v>166</v>
      </c>
      <c r="D347" t="s">
        <v>538</v>
      </c>
      <c r="E347" s="167">
        <v>971000</v>
      </c>
      <c r="F347" s="167">
        <v>971099</v>
      </c>
    </row>
    <row r="348" spans="1:6">
      <c r="A348">
        <f t="shared" si="5"/>
        <v>346</v>
      </c>
      <c r="B348" s="165">
        <v>46</v>
      </c>
      <c r="C348" s="166" t="s">
        <v>166</v>
      </c>
      <c r="D348" t="s">
        <v>539</v>
      </c>
      <c r="E348" s="167">
        <v>971100</v>
      </c>
      <c r="F348" s="167">
        <v>971199</v>
      </c>
    </row>
    <row r="349" spans="1:6">
      <c r="A349">
        <f t="shared" si="5"/>
        <v>347</v>
      </c>
      <c r="B349" s="165">
        <v>46</v>
      </c>
      <c r="C349" s="166" t="s">
        <v>166</v>
      </c>
      <c r="D349" t="s">
        <v>540</v>
      </c>
      <c r="E349" s="167">
        <v>971200</v>
      </c>
      <c r="F349" s="167">
        <v>971299</v>
      </c>
    </row>
    <row r="350" spans="1:6">
      <c r="A350">
        <f t="shared" si="5"/>
        <v>348</v>
      </c>
      <c r="B350" s="165">
        <v>46</v>
      </c>
      <c r="C350" s="166" t="s">
        <v>166</v>
      </c>
      <c r="D350" t="s">
        <v>541</v>
      </c>
      <c r="E350" s="167">
        <v>971300</v>
      </c>
      <c r="F350" s="167">
        <v>971399</v>
      </c>
    </row>
    <row r="351" spans="1:6">
      <c r="A351">
        <f t="shared" si="5"/>
        <v>349</v>
      </c>
      <c r="B351" s="165">
        <v>46</v>
      </c>
      <c r="C351" s="166" t="s">
        <v>166</v>
      </c>
      <c r="D351" t="s">
        <v>542</v>
      </c>
      <c r="E351" s="167">
        <v>972000</v>
      </c>
      <c r="F351" s="167">
        <v>994999</v>
      </c>
    </row>
    <row r="352" spans="1:6">
      <c r="A352" t="str">
        <f t="shared" ref="A352:A415" si="6">IF(B352="","",A351+1)</f>
        <v/>
      </c>
    </row>
    <row r="353" spans="1:1">
      <c r="A353" t="str">
        <f t="shared" si="6"/>
        <v/>
      </c>
    </row>
    <row r="354" spans="1:1">
      <c r="A354" t="str">
        <f t="shared" si="6"/>
        <v/>
      </c>
    </row>
    <row r="355" spans="1:1">
      <c r="A355" t="str">
        <f t="shared" si="6"/>
        <v/>
      </c>
    </row>
    <row r="356" spans="1:1">
      <c r="A356" t="str">
        <f t="shared" si="6"/>
        <v/>
      </c>
    </row>
    <row r="357" spans="1:1">
      <c r="A357" t="str">
        <f t="shared" si="6"/>
        <v/>
      </c>
    </row>
    <row r="358" spans="1:1">
      <c r="A358" t="str">
        <f t="shared" si="6"/>
        <v/>
      </c>
    </row>
    <row r="359" spans="1:1">
      <c r="A359" t="str">
        <f t="shared" si="6"/>
        <v/>
      </c>
    </row>
    <row r="360" spans="1:1">
      <c r="A360" t="str">
        <f t="shared" si="6"/>
        <v/>
      </c>
    </row>
    <row r="361" spans="1:1">
      <c r="A361" t="str">
        <f t="shared" si="6"/>
        <v/>
      </c>
    </row>
    <row r="362" spans="1:1">
      <c r="A362" t="str">
        <f t="shared" si="6"/>
        <v/>
      </c>
    </row>
    <row r="363" spans="1:1">
      <c r="A363" t="str">
        <f t="shared" si="6"/>
        <v/>
      </c>
    </row>
    <row r="364" spans="1:1">
      <c r="A364" t="str">
        <f t="shared" si="6"/>
        <v/>
      </c>
    </row>
    <row r="365" spans="1:1">
      <c r="A365" t="str">
        <f t="shared" si="6"/>
        <v/>
      </c>
    </row>
    <row r="366" spans="1:1">
      <c r="A366" t="str">
        <f t="shared" si="6"/>
        <v/>
      </c>
    </row>
    <row r="367" spans="1:1">
      <c r="A367" t="str">
        <f t="shared" si="6"/>
        <v/>
      </c>
    </row>
    <row r="368" spans="1:1">
      <c r="A368" t="str">
        <f t="shared" si="6"/>
        <v/>
      </c>
    </row>
    <row r="369" spans="1:1">
      <c r="A369" t="str">
        <f t="shared" si="6"/>
        <v/>
      </c>
    </row>
    <row r="370" spans="1:1">
      <c r="A370" t="str">
        <f t="shared" si="6"/>
        <v/>
      </c>
    </row>
    <row r="371" spans="1:1">
      <c r="A371" t="str">
        <f t="shared" si="6"/>
        <v/>
      </c>
    </row>
    <row r="372" spans="1:1">
      <c r="A372" t="str">
        <f t="shared" si="6"/>
        <v/>
      </c>
    </row>
    <row r="373" spans="1:1">
      <c r="A373" t="str">
        <f t="shared" si="6"/>
        <v/>
      </c>
    </row>
    <row r="374" spans="1:1">
      <c r="A374" t="str">
        <f t="shared" si="6"/>
        <v/>
      </c>
    </row>
    <row r="375" spans="1:1">
      <c r="A375" t="str">
        <f t="shared" si="6"/>
        <v/>
      </c>
    </row>
    <row r="376" spans="1:1">
      <c r="A376" t="str">
        <f t="shared" si="6"/>
        <v/>
      </c>
    </row>
    <row r="377" spans="1:1">
      <c r="A377" t="str">
        <f t="shared" si="6"/>
        <v/>
      </c>
    </row>
    <row r="378" spans="1:1">
      <c r="A378" t="str">
        <f t="shared" si="6"/>
        <v/>
      </c>
    </row>
    <row r="379" spans="1:1">
      <c r="A379" t="str">
        <f t="shared" si="6"/>
        <v/>
      </c>
    </row>
    <row r="380" spans="1:1">
      <c r="A380" t="str">
        <f t="shared" si="6"/>
        <v/>
      </c>
    </row>
    <row r="381" spans="1:1">
      <c r="A381" t="str">
        <f t="shared" si="6"/>
        <v/>
      </c>
    </row>
    <row r="382" spans="1:1">
      <c r="A382" t="str">
        <f t="shared" si="6"/>
        <v/>
      </c>
    </row>
    <row r="383" spans="1:1">
      <c r="A383" t="str">
        <f t="shared" si="6"/>
        <v/>
      </c>
    </row>
    <row r="384" spans="1:1">
      <c r="A384" t="str">
        <f t="shared" si="6"/>
        <v/>
      </c>
    </row>
    <row r="385" spans="1:1">
      <c r="A385" t="str">
        <f t="shared" si="6"/>
        <v/>
      </c>
    </row>
    <row r="386" spans="1:1">
      <c r="A386" t="str">
        <f t="shared" si="6"/>
        <v/>
      </c>
    </row>
    <row r="387" spans="1:1">
      <c r="A387" t="str">
        <f t="shared" si="6"/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si="6"/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ref="A416:A479" si="7">IF(B416="","",A415+1)</f>
        <v/>
      </c>
    </row>
    <row r="417" spans="1:1">
      <c r="A417" t="str">
        <f t="shared" si="7"/>
        <v/>
      </c>
    </row>
    <row r="418" spans="1:1">
      <c r="A418" t="str">
        <f t="shared" si="7"/>
        <v/>
      </c>
    </row>
    <row r="419" spans="1:1">
      <c r="A419" t="str">
        <f t="shared" si="7"/>
        <v/>
      </c>
    </row>
    <row r="420" spans="1:1">
      <c r="A420" t="str">
        <f t="shared" si="7"/>
        <v/>
      </c>
    </row>
    <row r="421" spans="1:1">
      <c r="A421" t="str">
        <f t="shared" si="7"/>
        <v/>
      </c>
    </row>
    <row r="422" spans="1:1">
      <c r="A422" t="str">
        <f t="shared" si="7"/>
        <v/>
      </c>
    </row>
    <row r="423" spans="1:1">
      <c r="A423" t="str">
        <f t="shared" si="7"/>
        <v/>
      </c>
    </row>
    <row r="424" spans="1:1">
      <c r="A424" t="str">
        <f t="shared" si="7"/>
        <v/>
      </c>
    </row>
    <row r="425" spans="1:1">
      <c r="A425" t="str">
        <f t="shared" si="7"/>
        <v/>
      </c>
    </row>
    <row r="426" spans="1:1">
      <c r="A426" t="str">
        <f t="shared" si="7"/>
        <v/>
      </c>
    </row>
    <row r="427" spans="1:1">
      <c r="A427" t="str">
        <f t="shared" si="7"/>
        <v/>
      </c>
    </row>
    <row r="428" spans="1:1">
      <c r="A428" t="str">
        <f t="shared" si="7"/>
        <v/>
      </c>
    </row>
    <row r="429" spans="1:1">
      <c r="A429" t="str">
        <f t="shared" si="7"/>
        <v/>
      </c>
    </row>
    <row r="430" spans="1:1">
      <c r="A430" t="str">
        <f t="shared" si="7"/>
        <v/>
      </c>
    </row>
    <row r="431" spans="1:1">
      <c r="A431" t="str">
        <f t="shared" si="7"/>
        <v/>
      </c>
    </row>
    <row r="432" spans="1:1">
      <c r="A432" t="str">
        <f t="shared" si="7"/>
        <v/>
      </c>
    </row>
    <row r="433" spans="1:1">
      <c r="A433" t="str">
        <f t="shared" si="7"/>
        <v/>
      </c>
    </row>
    <row r="434" spans="1:1">
      <c r="A434" t="str">
        <f t="shared" si="7"/>
        <v/>
      </c>
    </row>
    <row r="435" spans="1:1">
      <c r="A435" t="str">
        <f t="shared" si="7"/>
        <v/>
      </c>
    </row>
    <row r="436" spans="1:1">
      <c r="A436" t="str">
        <f t="shared" si="7"/>
        <v/>
      </c>
    </row>
    <row r="437" spans="1:1">
      <c r="A437" t="str">
        <f t="shared" si="7"/>
        <v/>
      </c>
    </row>
    <row r="438" spans="1:1">
      <c r="A438" t="str">
        <f t="shared" si="7"/>
        <v/>
      </c>
    </row>
    <row r="439" spans="1:1">
      <c r="A439" t="str">
        <f t="shared" si="7"/>
        <v/>
      </c>
    </row>
    <row r="440" spans="1:1">
      <c r="A440" t="str">
        <f t="shared" si="7"/>
        <v/>
      </c>
    </row>
    <row r="441" spans="1:1">
      <c r="A441" t="str">
        <f t="shared" si="7"/>
        <v/>
      </c>
    </row>
    <row r="442" spans="1:1">
      <c r="A442" t="str">
        <f t="shared" si="7"/>
        <v/>
      </c>
    </row>
    <row r="443" spans="1:1">
      <c r="A443" t="str">
        <f t="shared" si="7"/>
        <v/>
      </c>
    </row>
    <row r="444" spans="1:1">
      <c r="A444" t="str">
        <f t="shared" si="7"/>
        <v/>
      </c>
    </row>
    <row r="445" spans="1:1">
      <c r="A445" t="str">
        <f t="shared" si="7"/>
        <v/>
      </c>
    </row>
    <row r="446" spans="1:1">
      <c r="A446" t="str">
        <f t="shared" si="7"/>
        <v/>
      </c>
    </row>
    <row r="447" spans="1:1">
      <c r="A447" t="str">
        <f t="shared" si="7"/>
        <v/>
      </c>
    </row>
    <row r="448" spans="1:1">
      <c r="A448" t="str">
        <f t="shared" si="7"/>
        <v/>
      </c>
    </row>
    <row r="449" spans="1:1">
      <c r="A449" t="str">
        <f t="shared" si="7"/>
        <v/>
      </c>
    </row>
    <row r="450" spans="1:1">
      <c r="A450" t="str">
        <f t="shared" si="7"/>
        <v/>
      </c>
    </row>
    <row r="451" spans="1:1">
      <c r="A451" t="str">
        <f t="shared" si="7"/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si="7"/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ref="A480:A543" si="8">IF(B480="","",A479+1)</f>
        <v/>
      </c>
    </row>
    <row r="481" spans="1:1">
      <c r="A481" t="str">
        <f t="shared" si="8"/>
        <v/>
      </c>
    </row>
    <row r="482" spans="1:1">
      <c r="A482" t="str">
        <f t="shared" si="8"/>
        <v/>
      </c>
    </row>
    <row r="483" spans="1:1">
      <c r="A483" t="str">
        <f t="shared" si="8"/>
        <v/>
      </c>
    </row>
    <row r="484" spans="1:1">
      <c r="A484" t="str">
        <f t="shared" si="8"/>
        <v/>
      </c>
    </row>
    <row r="485" spans="1:1">
      <c r="A485" t="str">
        <f t="shared" si="8"/>
        <v/>
      </c>
    </row>
    <row r="486" spans="1:1">
      <c r="A486" t="str">
        <f t="shared" si="8"/>
        <v/>
      </c>
    </row>
    <row r="487" spans="1:1">
      <c r="A487" t="str">
        <f t="shared" si="8"/>
        <v/>
      </c>
    </row>
    <row r="488" spans="1:1">
      <c r="A488" t="str">
        <f t="shared" si="8"/>
        <v/>
      </c>
    </row>
    <row r="489" spans="1:1">
      <c r="A489" t="str">
        <f t="shared" si="8"/>
        <v/>
      </c>
    </row>
    <row r="490" spans="1:1">
      <c r="A490" t="str">
        <f t="shared" si="8"/>
        <v/>
      </c>
    </row>
    <row r="491" spans="1:1">
      <c r="A491" t="str">
        <f t="shared" si="8"/>
        <v/>
      </c>
    </row>
    <row r="492" spans="1:1">
      <c r="A492" t="str">
        <f t="shared" si="8"/>
        <v/>
      </c>
    </row>
    <row r="493" spans="1:1">
      <c r="A493" t="str">
        <f t="shared" si="8"/>
        <v/>
      </c>
    </row>
    <row r="494" spans="1:1">
      <c r="A494" t="str">
        <f t="shared" si="8"/>
        <v/>
      </c>
    </row>
    <row r="495" spans="1:1">
      <c r="A495" t="str">
        <f t="shared" si="8"/>
        <v/>
      </c>
    </row>
    <row r="496" spans="1:1">
      <c r="A496" t="str">
        <f t="shared" si="8"/>
        <v/>
      </c>
    </row>
    <row r="497" spans="1:1">
      <c r="A497" t="str">
        <f t="shared" si="8"/>
        <v/>
      </c>
    </row>
    <row r="498" spans="1:1">
      <c r="A498" t="str">
        <f t="shared" si="8"/>
        <v/>
      </c>
    </row>
    <row r="499" spans="1:1">
      <c r="A499" t="str">
        <f t="shared" si="8"/>
        <v/>
      </c>
    </row>
    <row r="500" spans="1:1">
      <c r="A500" t="str">
        <f t="shared" si="8"/>
        <v/>
      </c>
    </row>
    <row r="501" spans="1:1">
      <c r="A501" t="str">
        <f t="shared" si="8"/>
        <v/>
      </c>
    </row>
    <row r="502" spans="1:1">
      <c r="A502" t="str">
        <f t="shared" si="8"/>
        <v/>
      </c>
    </row>
    <row r="503" spans="1:1">
      <c r="A503" t="str">
        <f t="shared" si="8"/>
        <v/>
      </c>
    </row>
    <row r="504" spans="1:1">
      <c r="A504" t="str">
        <f t="shared" si="8"/>
        <v/>
      </c>
    </row>
    <row r="505" spans="1:1">
      <c r="A505" t="str">
        <f t="shared" si="8"/>
        <v/>
      </c>
    </row>
    <row r="506" spans="1:1">
      <c r="A506" t="str">
        <f t="shared" si="8"/>
        <v/>
      </c>
    </row>
    <row r="507" spans="1:1">
      <c r="A507" t="str">
        <f t="shared" si="8"/>
        <v/>
      </c>
    </row>
    <row r="508" spans="1:1">
      <c r="A508" t="str">
        <f t="shared" si="8"/>
        <v/>
      </c>
    </row>
    <row r="509" spans="1:1">
      <c r="A509" t="str">
        <f t="shared" si="8"/>
        <v/>
      </c>
    </row>
    <row r="510" spans="1:1">
      <c r="A510" t="str">
        <f t="shared" si="8"/>
        <v/>
      </c>
    </row>
    <row r="511" spans="1:1">
      <c r="A511" t="str">
        <f t="shared" si="8"/>
        <v/>
      </c>
    </row>
    <row r="512" spans="1:1">
      <c r="A512" t="str">
        <f t="shared" si="8"/>
        <v/>
      </c>
    </row>
    <row r="513" spans="1:1">
      <c r="A513" t="str">
        <f t="shared" si="8"/>
        <v/>
      </c>
    </row>
    <row r="514" spans="1:1">
      <c r="A514" t="str">
        <f t="shared" si="8"/>
        <v/>
      </c>
    </row>
    <row r="515" spans="1:1">
      <c r="A515" t="str">
        <f t="shared" si="8"/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si="8"/>
        <v/>
      </c>
    </row>
    <row r="520" spans="1:1">
      <c r="A520" t="str">
        <f t="shared" si="8"/>
        <v/>
      </c>
    </row>
    <row r="521" spans="1:1">
      <c r="A521" t="str">
        <f t="shared" si="8"/>
        <v/>
      </c>
    </row>
    <row r="522" spans="1:1">
      <c r="A522" t="str">
        <f t="shared" si="8"/>
        <v/>
      </c>
    </row>
    <row r="523" spans="1:1">
      <c r="A523" t="str">
        <f t="shared" si="8"/>
        <v/>
      </c>
    </row>
    <row r="524" spans="1:1">
      <c r="A524" t="str">
        <f t="shared" si="8"/>
        <v/>
      </c>
    </row>
    <row r="525" spans="1:1">
      <c r="A525" t="str">
        <f t="shared" si="8"/>
        <v/>
      </c>
    </row>
    <row r="526" spans="1:1">
      <c r="A526" t="str">
        <f t="shared" si="8"/>
        <v/>
      </c>
    </row>
    <row r="527" spans="1:1">
      <c r="A527" t="str">
        <f t="shared" si="8"/>
        <v/>
      </c>
    </row>
    <row r="528" spans="1:1">
      <c r="A528" t="str">
        <f t="shared" si="8"/>
        <v/>
      </c>
    </row>
    <row r="529" spans="1:1">
      <c r="A529" t="str">
        <f t="shared" si="8"/>
        <v/>
      </c>
    </row>
    <row r="530" spans="1:1">
      <c r="A530" t="str">
        <f t="shared" si="8"/>
        <v/>
      </c>
    </row>
    <row r="531" spans="1:1">
      <c r="A531" t="str">
        <f t="shared" si="8"/>
        <v/>
      </c>
    </row>
    <row r="532" spans="1:1">
      <c r="A532" t="str">
        <f t="shared" si="8"/>
        <v/>
      </c>
    </row>
    <row r="533" spans="1:1">
      <c r="A533" t="str">
        <f t="shared" si="8"/>
        <v/>
      </c>
    </row>
    <row r="534" spans="1:1">
      <c r="A534" t="str">
        <f t="shared" si="8"/>
        <v/>
      </c>
    </row>
    <row r="535" spans="1:1">
      <c r="A535" t="str">
        <f t="shared" si="8"/>
        <v/>
      </c>
    </row>
    <row r="536" spans="1:1">
      <c r="A536" t="str">
        <f t="shared" si="8"/>
        <v/>
      </c>
    </row>
    <row r="537" spans="1:1">
      <c r="A537" t="str">
        <f t="shared" si="8"/>
        <v/>
      </c>
    </row>
    <row r="538" spans="1:1">
      <c r="A538" t="str">
        <f t="shared" si="8"/>
        <v/>
      </c>
    </row>
    <row r="539" spans="1:1">
      <c r="A539" t="str">
        <f t="shared" si="8"/>
        <v/>
      </c>
    </row>
    <row r="540" spans="1:1">
      <c r="A540" t="str">
        <f t="shared" si="8"/>
        <v/>
      </c>
    </row>
    <row r="541" spans="1:1">
      <c r="A541" t="str">
        <f t="shared" si="8"/>
        <v/>
      </c>
    </row>
    <row r="542" spans="1:1">
      <c r="A542" t="str">
        <f t="shared" si="8"/>
        <v/>
      </c>
    </row>
    <row r="543" spans="1:1">
      <c r="A543" t="str">
        <f t="shared" si="8"/>
        <v/>
      </c>
    </row>
    <row r="544" spans="1:1">
      <c r="A544" t="str">
        <f t="shared" ref="A544:A607" si="9">IF(B544="","",A543+1)</f>
        <v/>
      </c>
    </row>
    <row r="545" spans="1:1">
      <c r="A545" t="str">
        <f t="shared" si="9"/>
        <v/>
      </c>
    </row>
    <row r="546" spans="1:1">
      <c r="A546" t="str">
        <f t="shared" si="9"/>
        <v/>
      </c>
    </row>
    <row r="547" spans="1:1">
      <c r="A547" t="str">
        <f t="shared" si="9"/>
        <v/>
      </c>
    </row>
    <row r="548" spans="1:1">
      <c r="A548" t="str">
        <f t="shared" si="9"/>
        <v/>
      </c>
    </row>
    <row r="549" spans="1:1">
      <c r="A549" t="str">
        <f t="shared" si="9"/>
        <v/>
      </c>
    </row>
    <row r="550" spans="1:1">
      <c r="A550" t="str">
        <f t="shared" si="9"/>
        <v/>
      </c>
    </row>
    <row r="551" spans="1:1">
      <c r="A551" t="str">
        <f t="shared" si="9"/>
        <v/>
      </c>
    </row>
    <row r="552" spans="1:1">
      <c r="A552" t="str">
        <f t="shared" si="9"/>
        <v/>
      </c>
    </row>
    <row r="553" spans="1:1">
      <c r="A553" t="str">
        <f t="shared" si="9"/>
        <v/>
      </c>
    </row>
    <row r="554" spans="1:1">
      <c r="A554" t="str">
        <f t="shared" si="9"/>
        <v/>
      </c>
    </row>
    <row r="555" spans="1:1">
      <c r="A555" t="str">
        <f t="shared" si="9"/>
        <v/>
      </c>
    </row>
    <row r="556" spans="1:1">
      <c r="A556" t="str">
        <f t="shared" si="9"/>
        <v/>
      </c>
    </row>
    <row r="557" spans="1:1">
      <c r="A557" t="str">
        <f t="shared" si="9"/>
        <v/>
      </c>
    </row>
    <row r="558" spans="1:1">
      <c r="A558" t="str">
        <f t="shared" si="9"/>
        <v/>
      </c>
    </row>
    <row r="559" spans="1:1">
      <c r="A559" t="str">
        <f t="shared" si="9"/>
        <v/>
      </c>
    </row>
    <row r="560" spans="1:1">
      <c r="A560" t="str">
        <f t="shared" si="9"/>
        <v/>
      </c>
    </row>
    <row r="561" spans="1:1">
      <c r="A561" t="str">
        <f t="shared" si="9"/>
        <v/>
      </c>
    </row>
    <row r="562" spans="1:1">
      <c r="A562" t="str">
        <f t="shared" si="9"/>
        <v/>
      </c>
    </row>
    <row r="563" spans="1:1">
      <c r="A563" t="str">
        <f t="shared" si="9"/>
        <v/>
      </c>
    </row>
    <row r="564" spans="1:1">
      <c r="A564" t="str">
        <f t="shared" si="9"/>
        <v/>
      </c>
    </row>
    <row r="565" spans="1:1">
      <c r="A565" t="str">
        <f t="shared" si="9"/>
        <v/>
      </c>
    </row>
    <row r="566" spans="1:1">
      <c r="A566" t="str">
        <f t="shared" si="9"/>
        <v/>
      </c>
    </row>
    <row r="567" spans="1:1">
      <c r="A567" t="str">
        <f t="shared" si="9"/>
        <v/>
      </c>
    </row>
    <row r="568" spans="1:1">
      <c r="A568" t="str">
        <f t="shared" si="9"/>
        <v/>
      </c>
    </row>
    <row r="569" spans="1:1">
      <c r="A569" t="str">
        <f t="shared" si="9"/>
        <v/>
      </c>
    </row>
    <row r="570" spans="1:1">
      <c r="A570" t="str">
        <f t="shared" si="9"/>
        <v/>
      </c>
    </row>
    <row r="571" spans="1:1">
      <c r="A571" t="str">
        <f t="shared" si="9"/>
        <v/>
      </c>
    </row>
    <row r="572" spans="1:1">
      <c r="A572" t="str">
        <f t="shared" si="9"/>
        <v/>
      </c>
    </row>
    <row r="573" spans="1:1">
      <c r="A573" t="str">
        <f t="shared" si="9"/>
        <v/>
      </c>
    </row>
    <row r="574" spans="1:1">
      <c r="A574" t="str">
        <f t="shared" si="9"/>
        <v/>
      </c>
    </row>
    <row r="575" spans="1:1">
      <c r="A575" t="str">
        <f t="shared" si="9"/>
        <v/>
      </c>
    </row>
    <row r="576" spans="1:1">
      <c r="A576" t="str">
        <f t="shared" si="9"/>
        <v/>
      </c>
    </row>
    <row r="577" spans="1:1">
      <c r="A577" t="str">
        <f t="shared" si="9"/>
        <v/>
      </c>
    </row>
    <row r="578" spans="1:1">
      <c r="A578" t="str">
        <f t="shared" si="9"/>
        <v/>
      </c>
    </row>
    <row r="579" spans="1:1">
      <c r="A579" t="str">
        <f t="shared" si="9"/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si="9"/>
        <v/>
      </c>
    </row>
    <row r="584" spans="1:1">
      <c r="A584" t="str">
        <f t="shared" si="9"/>
        <v/>
      </c>
    </row>
    <row r="585" spans="1:1">
      <c r="A585" t="str">
        <f t="shared" si="9"/>
        <v/>
      </c>
    </row>
    <row r="586" spans="1:1">
      <c r="A586" t="str">
        <f t="shared" si="9"/>
        <v/>
      </c>
    </row>
    <row r="587" spans="1:1">
      <c r="A587" t="str">
        <f t="shared" si="9"/>
        <v/>
      </c>
    </row>
    <row r="588" spans="1:1">
      <c r="A588" t="str">
        <f t="shared" si="9"/>
        <v/>
      </c>
    </row>
    <row r="589" spans="1:1">
      <c r="A589" t="str">
        <f t="shared" si="9"/>
        <v/>
      </c>
    </row>
    <row r="590" spans="1:1">
      <c r="A590" t="str">
        <f t="shared" si="9"/>
        <v/>
      </c>
    </row>
    <row r="591" spans="1:1">
      <c r="A591" t="str">
        <f t="shared" si="9"/>
        <v/>
      </c>
    </row>
    <row r="592" spans="1:1">
      <c r="A592" t="str">
        <f t="shared" si="9"/>
        <v/>
      </c>
    </row>
    <row r="593" spans="1:1">
      <c r="A593" t="str">
        <f t="shared" si="9"/>
        <v/>
      </c>
    </row>
    <row r="594" spans="1:1">
      <c r="A594" t="str">
        <f t="shared" si="9"/>
        <v/>
      </c>
    </row>
    <row r="595" spans="1:1">
      <c r="A595" t="str">
        <f t="shared" si="9"/>
        <v/>
      </c>
    </row>
    <row r="596" spans="1:1">
      <c r="A596" t="str">
        <f t="shared" si="9"/>
        <v/>
      </c>
    </row>
    <row r="597" spans="1:1">
      <c r="A597" t="str">
        <f t="shared" si="9"/>
        <v/>
      </c>
    </row>
    <row r="598" spans="1:1">
      <c r="A598" t="str">
        <f t="shared" si="9"/>
        <v/>
      </c>
    </row>
    <row r="599" spans="1:1">
      <c r="A599" t="str">
        <f t="shared" si="9"/>
        <v/>
      </c>
    </row>
    <row r="600" spans="1:1">
      <c r="A600" t="str">
        <f t="shared" si="9"/>
        <v/>
      </c>
    </row>
    <row r="601" spans="1:1">
      <c r="A601" t="str">
        <f t="shared" si="9"/>
        <v/>
      </c>
    </row>
    <row r="602" spans="1:1">
      <c r="A602" t="str">
        <f t="shared" si="9"/>
        <v/>
      </c>
    </row>
    <row r="603" spans="1:1">
      <c r="A603" t="str">
        <f t="shared" si="9"/>
        <v/>
      </c>
    </row>
    <row r="604" spans="1:1">
      <c r="A604" t="str">
        <f t="shared" si="9"/>
        <v/>
      </c>
    </row>
    <row r="605" spans="1:1">
      <c r="A605" t="str">
        <f t="shared" si="9"/>
        <v/>
      </c>
    </row>
    <row r="606" spans="1:1">
      <c r="A606" t="str">
        <f t="shared" si="9"/>
        <v/>
      </c>
    </row>
    <row r="607" spans="1:1">
      <c r="A607" t="str">
        <f t="shared" si="9"/>
        <v/>
      </c>
    </row>
    <row r="608" spans="1:1">
      <c r="A608" t="str">
        <f t="shared" ref="A608:A671" si="10">IF(B608="","",A607+1)</f>
        <v/>
      </c>
    </row>
    <row r="609" spans="1:1">
      <c r="A609" t="str">
        <f t="shared" si="10"/>
        <v/>
      </c>
    </row>
    <row r="610" spans="1:1">
      <c r="A610" t="str">
        <f t="shared" si="10"/>
        <v/>
      </c>
    </row>
    <row r="611" spans="1:1">
      <c r="A611" t="str">
        <f t="shared" si="10"/>
        <v/>
      </c>
    </row>
    <row r="612" spans="1:1">
      <c r="A612" t="str">
        <f t="shared" si="10"/>
        <v/>
      </c>
    </row>
    <row r="613" spans="1:1">
      <c r="A613" t="str">
        <f t="shared" si="10"/>
        <v/>
      </c>
    </row>
    <row r="614" spans="1:1">
      <c r="A614" t="str">
        <f t="shared" si="10"/>
        <v/>
      </c>
    </row>
    <row r="615" spans="1:1">
      <c r="A615" t="str">
        <f t="shared" si="10"/>
        <v/>
      </c>
    </row>
    <row r="616" spans="1:1">
      <c r="A616" t="str">
        <f t="shared" si="10"/>
        <v/>
      </c>
    </row>
    <row r="617" spans="1:1">
      <c r="A617" t="str">
        <f t="shared" si="10"/>
        <v/>
      </c>
    </row>
    <row r="618" spans="1:1">
      <c r="A618" t="str">
        <f t="shared" si="10"/>
        <v/>
      </c>
    </row>
    <row r="619" spans="1:1">
      <c r="A619" t="str">
        <f t="shared" si="10"/>
        <v/>
      </c>
    </row>
    <row r="620" spans="1:1">
      <c r="A620" t="str">
        <f t="shared" si="10"/>
        <v/>
      </c>
    </row>
    <row r="621" spans="1:1">
      <c r="A621" t="str">
        <f t="shared" si="10"/>
        <v/>
      </c>
    </row>
    <row r="622" spans="1:1">
      <c r="A622" t="str">
        <f t="shared" si="10"/>
        <v/>
      </c>
    </row>
    <row r="623" spans="1:1">
      <c r="A623" t="str">
        <f t="shared" si="10"/>
        <v/>
      </c>
    </row>
    <row r="624" spans="1:1">
      <c r="A624" t="str">
        <f t="shared" si="10"/>
        <v/>
      </c>
    </row>
    <row r="625" spans="1:1">
      <c r="A625" t="str">
        <f t="shared" si="10"/>
        <v/>
      </c>
    </row>
    <row r="626" spans="1:1">
      <c r="A626" t="str">
        <f t="shared" si="10"/>
        <v/>
      </c>
    </row>
    <row r="627" spans="1:1">
      <c r="A627" t="str">
        <f t="shared" si="10"/>
        <v/>
      </c>
    </row>
    <row r="628" spans="1:1">
      <c r="A628" t="str">
        <f t="shared" si="10"/>
        <v/>
      </c>
    </row>
    <row r="629" spans="1:1">
      <c r="A629" t="str">
        <f t="shared" si="10"/>
        <v/>
      </c>
    </row>
    <row r="630" spans="1:1">
      <c r="A630" t="str">
        <f t="shared" si="10"/>
        <v/>
      </c>
    </row>
    <row r="631" spans="1:1">
      <c r="A631" t="str">
        <f t="shared" si="10"/>
        <v/>
      </c>
    </row>
    <row r="632" spans="1:1">
      <c r="A632" t="str">
        <f t="shared" si="10"/>
        <v/>
      </c>
    </row>
    <row r="633" spans="1:1">
      <c r="A633" t="str">
        <f t="shared" si="10"/>
        <v/>
      </c>
    </row>
    <row r="634" spans="1:1">
      <c r="A634" t="str">
        <f t="shared" si="10"/>
        <v/>
      </c>
    </row>
    <row r="635" spans="1:1">
      <c r="A635" t="str">
        <f t="shared" si="10"/>
        <v/>
      </c>
    </row>
    <row r="636" spans="1:1">
      <c r="A636" t="str">
        <f t="shared" si="10"/>
        <v/>
      </c>
    </row>
    <row r="637" spans="1:1">
      <c r="A637" t="str">
        <f t="shared" si="10"/>
        <v/>
      </c>
    </row>
    <row r="638" spans="1:1">
      <c r="A638" t="str">
        <f t="shared" si="10"/>
        <v/>
      </c>
    </row>
    <row r="639" spans="1:1">
      <c r="A639" t="str">
        <f t="shared" si="10"/>
        <v/>
      </c>
    </row>
    <row r="640" spans="1:1">
      <c r="A640" t="str">
        <f t="shared" si="10"/>
        <v/>
      </c>
    </row>
    <row r="641" spans="1:1">
      <c r="A641" t="str">
        <f t="shared" si="10"/>
        <v/>
      </c>
    </row>
    <row r="642" spans="1:1">
      <c r="A642" t="str">
        <f t="shared" si="10"/>
        <v/>
      </c>
    </row>
    <row r="643" spans="1:1">
      <c r="A643" t="str">
        <f t="shared" si="10"/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si="10"/>
        <v/>
      </c>
    </row>
    <row r="648" spans="1:1">
      <c r="A648" t="str">
        <f t="shared" si="10"/>
        <v/>
      </c>
    </row>
    <row r="649" spans="1:1">
      <c r="A649" t="str">
        <f t="shared" si="10"/>
        <v/>
      </c>
    </row>
    <row r="650" spans="1:1">
      <c r="A650" t="str">
        <f t="shared" si="10"/>
        <v/>
      </c>
    </row>
    <row r="651" spans="1:1">
      <c r="A651" t="str">
        <f t="shared" si="10"/>
        <v/>
      </c>
    </row>
    <row r="652" spans="1:1">
      <c r="A652" t="str">
        <f t="shared" si="10"/>
        <v/>
      </c>
    </row>
    <row r="653" spans="1:1">
      <c r="A653" t="str">
        <f t="shared" si="10"/>
        <v/>
      </c>
    </row>
    <row r="654" spans="1:1">
      <c r="A654" t="str">
        <f t="shared" si="10"/>
        <v/>
      </c>
    </row>
    <row r="655" spans="1:1">
      <c r="A655" t="str">
        <f t="shared" si="10"/>
        <v/>
      </c>
    </row>
    <row r="656" spans="1:1">
      <c r="A656" t="str">
        <f t="shared" si="10"/>
        <v/>
      </c>
    </row>
    <row r="657" spans="1:1">
      <c r="A657" t="str">
        <f t="shared" si="10"/>
        <v/>
      </c>
    </row>
    <row r="658" spans="1:1">
      <c r="A658" t="str">
        <f t="shared" si="10"/>
        <v/>
      </c>
    </row>
    <row r="659" spans="1:1">
      <c r="A659" t="str">
        <f t="shared" si="10"/>
        <v/>
      </c>
    </row>
    <row r="660" spans="1:1">
      <c r="A660" t="str">
        <f t="shared" si="10"/>
        <v/>
      </c>
    </row>
    <row r="661" spans="1:1">
      <c r="A661" t="str">
        <f t="shared" si="10"/>
        <v/>
      </c>
    </row>
    <row r="662" spans="1:1">
      <c r="A662" t="str">
        <f t="shared" si="10"/>
        <v/>
      </c>
    </row>
    <row r="663" spans="1:1">
      <c r="A663" t="str">
        <f t="shared" si="10"/>
        <v/>
      </c>
    </row>
    <row r="664" spans="1:1">
      <c r="A664" t="str">
        <f t="shared" si="10"/>
        <v/>
      </c>
    </row>
    <row r="665" spans="1:1">
      <c r="A665" t="str">
        <f t="shared" si="10"/>
        <v/>
      </c>
    </row>
    <row r="666" spans="1:1">
      <c r="A666" t="str">
        <f t="shared" si="10"/>
        <v/>
      </c>
    </row>
    <row r="667" spans="1:1">
      <c r="A667" t="str">
        <f t="shared" si="10"/>
        <v/>
      </c>
    </row>
    <row r="668" spans="1:1">
      <c r="A668" t="str">
        <f t="shared" si="10"/>
        <v/>
      </c>
    </row>
    <row r="669" spans="1:1">
      <c r="A669" t="str">
        <f t="shared" si="10"/>
        <v/>
      </c>
    </row>
    <row r="670" spans="1:1">
      <c r="A670" t="str">
        <f t="shared" si="10"/>
        <v/>
      </c>
    </row>
    <row r="671" spans="1:1">
      <c r="A671" t="str">
        <f t="shared" si="10"/>
        <v/>
      </c>
    </row>
    <row r="672" spans="1:1">
      <c r="A672" t="str">
        <f t="shared" ref="A672:A735" si="11">IF(B672="","",A671+1)</f>
        <v/>
      </c>
    </row>
    <row r="673" spans="1:1">
      <c r="A673" t="str">
        <f t="shared" si="11"/>
        <v/>
      </c>
    </row>
    <row r="674" spans="1:1">
      <c r="A674" t="str">
        <f t="shared" si="11"/>
        <v/>
      </c>
    </row>
    <row r="675" spans="1:1">
      <c r="A675" t="str">
        <f t="shared" si="11"/>
        <v/>
      </c>
    </row>
    <row r="676" spans="1:1">
      <c r="A676" t="str">
        <f t="shared" si="11"/>
        <v/>
      </c>
    </row>
    <row r="677" spans="1:1">
      <c r="A677" t="str">
        <f t="shared" si="11"/>
        <v/>
      </c>
    </row>
    <row r="678" spans="1:1">
      <c r="A678" t="str">
        <f t="shared" si="11"/>
        <v/>
      </c>
    </row>
    <row r="679" spans="1:1">
      <c r="A679" t="str">
        <f t="shared" si="11"/>
        <v/>
      </c>
    </row>
    <row r="680" spans="1:1">
      <c r="A680" t="str">
        <f t="shared" si="11"/>
        <v/>
      </c>
    </row>
    <row r="681" spans="1:1">
      <c r="A681" t="str">
        <f t="shared" si="11"/>
        <v/>
      </c>
    </row>
    <row r="682" spans="1:1">
      <c r="A682" t="str">
        <f t="shared" si="11"/>
        <v/>
      </c>
    </row>
    <row r="683" spans="1:1">
      <c r="A683" t="str">
        <f t="shared" si="11"/>
        <v/>
      </c>
    </row>
    <row r="684" spans="1:1">
      <c r="A684" t="str">
        <f t="shared" si="11"/>
        <v/>
      </c>
    </row>
    <row r="685" spans="1:1">
      <c r="A685" t="str">
        <f t="shared" si="11"/>
        <v/>
      </c>
    </row>
    <row r="686" spans="1:1">
      <c r="A686" t="str">
        <f t="shared" si="11"/>
        <v/>
      </c>
    </row>
    <row r="687" spans="1:1">
      <c r="A687" t="str">
        <f t="shared" si="11"/>
        <v/>
      </c>
    </row>
    <row r="688" spans="1:1">
      <c r="A688" t="str">
        <f t="shared" si="11"/>
        <v/>
      </c>
    </row>
    <row r="689" spans="1:1">
      <c r="A689" t="str">
        <f t="shared" si="11"/>
        <v/>
      </c>
    </row>
    <row r="690" spans="1:1">
      <c r="A690" t="str">
        <f t="shared" si="11"/>
        <v/>
      </c>
    </row>
    <row r="691" spans="1:1">
      <c r="A691" t="str">
        <f t="shared" si="11"/>
        <v/>
      </c>
    </row>
    <row r="692" spans="1:1">
      <c r="A692" t="str">
        <f t="shared" si="11"/>
        <v/>
      </c>
    </row>
    <row r="693" spans="1:1">
      <c r="A693" t="str">
        <f t="shared" si="11"/>
        <v/>
      </c>
    </row>
    <row r="694" spans="1:1">
      <c r="A694" t="str">
        <f t="shared" si="11"/>
        <v/>
      </c>
    </row>
    <row r="695" spans="1:1">
      <c r="A695" t="str">
        <f t="shared" si="11"/>
        <v/>
      </c>
    </row>
    <row r="696" spans="1:1">
      <c r="A696" t="str">
        <f t="shared" si="11"/>
        <v/>
      </c>
    </row>
    <row r="697" spans="1:1">
      <c r="A697" t="str">
        <f t="shared" si="11"/>
        <v/>
      </c>
    </row>
    <row r="698" spans="1:1">
      <c r="A698" t="str">
        <f t="shared" si="11"/>
        <v/>
      </c>
    </row>
    <row r="699" spans="1:1">
      <c r="A699" t="str">
        <f t="shared" si="11"/>
        <v/>
      </c>
    </row>
    <row r="700" spans="1:1">
      <c r="A700" t="str">
        <f t="shared" si="11"/>
        <v/>
      </c>
    </row>
    <row r="701" spans="1:1">
      <c r="A701" t="str">
        <f t="shared" si="11"/>
        <v/>
      </c>
    </row>
    <row r="702" spans="1:1">
      <c r="A702" t="str">
        <f t="shared" si="11"/>
        <v/>
      </c>
    </row>
    <row r="703" spans="1:1">
      <c r="A703" t="str">
        <f t="shared" si="11"/>
        <v/>
      </c>
    </row>
    <row r="704" spans="1:1">
      <c r="A704" t="str">
        <f t="shared" si="11"/>
        <v/>
      </c>
    </row>
    <row r="705" spans="1:1">
      <c r="A705" t="str">
        <f t="shared" si="11"/>
        <v/>
      </c>
    </row>
    <row r="706" spans="1:1">
      <c r="A706" t="str">
        <f t="shared" si="11"/>
        <v/>
      </c>
    </row>
    <row r="707" spans="1:1">
      <c r="A707" t="str">
        <f t="shared" si="11"/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si="11"/>
        <v/>
      </c>
    </row>
    <row r="712" spans="1:1">
      <c r="A712" t="str">
        <f t="shared" si="11"/>
        <v/>
      </c>
    </row>
    <row r="713" spans="1:1">
      <c r="A713" t="str">
        <f t="shared" si="11"/>
        <v/>
      </c>
    </row>
    <row r="714" spans="1:1">
      <c r="A714" t="str">
        <f t="shared" si="11"/>
        <v/>
      </c>
    </row>
    <row r="715" spans="1:1">
      <c r="A715" t="str">
        <f t="shared" si="11"/>
        <v/>
      </c>
    </row>
    <row r="716" spans="1:1">
      <c r="A716" t="str">
        <f t="shared" si="11"/>
        <v/>
      </c>
    </row>
    <row r="717" spans="1:1">
      <c r="A717" t="str">
        <f t="shared" si="11"/>
        <v/>
      </c>
    </row>
    <row r="718" spans="1:1">
      <c r="A718" t="str">
        <f t="shared" si="11"/>
        <v/>
      </c>
    </row>
    <row r="719" spans="1:1">
      <c r="A719" t="str">
        <f t="shared" si="11"/>
        <v/>
      </c>
    </row>
    <row r="720" spans="1:1">
      <c r="A720" t="str">
        <f t="shared" si="11"/>
        <v/>
      </c>
    </row>
    <row r="721" spans="1:1">
      <c r="A721" t="str">
        <f t="shared" si="11"/>
        <v/>
      </c>
    </row>
    <row r="722" spans="1:1">
      <c r="A722" t="str">
        <f t="shared" si="11"/>
        <v/>
      </c>
    </row>
    <row r="723" spans="1:1">
      <c r="A723" t="str">
        <f t="shared" si="11"/>
        <v/>
      </c>
    </row>
    <row r="724" spans="1:1">
      <c r="A724" t="str">
        <f t="shared" si="11"/>
        <v/>
      </c>
    </row>
    <row r="725" spans="1:1">
      <c r="A725" t="str">
        <f t="shared" si="11"/>
        <v/>
      </c>
    </row>
    <row r="726" spans="1:1">
      <c r="A726" t="str">
        <f t="shared" si="11"/>
        <v/>
      </c>
    </row>
    <row r="727" spans="1:1">
      <c r="A727" t="str">
        <f t="shared" si="11"/>
        <v/>
      </c>
    </row>
    <row r="728" spans="1:1">
      <c r="A728" t="str">
        <f t="shared" si="11"/>
        <v/>
      </c>
    </row>
    <row r="729" spans="1:1">
      <c r="A729" t="str">
        <f t="shared" si="11"/>
        <v/>
      </c>
    </row>
    <row r="730" spans="1:1">
      <c r="A730" t="str">
        <f t="shared" si="11"/>
        <v/>
      </c>
    </row>
    <row r="731" spans="1:1">
      <c r="A731" t="str">
        <f t="shared" si="11"/>
        <v/>
      </c>
    </row>
    <row r="732" spans="1:1">
      <c r="A732" t="str">
        <f t="shared" si="11"/>
        <v/>
      </c>
    </row>
    <row r="733" spans="1:1">
      <c r="A733" t="str">
        <f t="shared" si="11"/>
        <v/>
      </c>
    </row>
    <row r="734" spans="1:1">
      <c r="A734" t="str">
        <f t="shared" si="11"/>
        <v/>
      </c>
    </row>
    <row r="735" spans="1:1">
      <c r="A735" t="str">
        <f t="shared" si="11"/>
        <v/>
      </c>
    </row>
    <row r="736" spans="1:1">
      <c r="A736" t="str">
        <f t="shared" ref="A736:A799" si="12">IF(B736="","",A735+1)</f>
        <v/>
      </c>
    </row>
    <row r="737" spans="1:1">
      <c r="A737" t="str">
        <f t="shared" si="12"/>
        <v/>
      </c>
    </row>
    <row r="738" spans="1:1">
      <c r="A738" t="str">
        <f t="shared" si="12"/>
        <v/>
      </c>
    </row>
    <row r="739" spans="1:1">
      <c r="A739" t="str">
        <f t="shared" si="12"/>
        <v/>
      </c>
    </row>
    <row r="740" spans="1:1">
      <c r="A740" t="str">
        <f t="shared" si="12"/>
        <v/>
      </c>
    </row>
    <row r="741" spans="1:1">
      <c r="A741" t="str">
        <f t="shared" si="12"/>
        <v/>
      </c>
    </row>
    <row r="742" spans="1:1">
      <c r="A742" t="str">
        <f t="shared" si="12"/>
        <v/>
      </c>
    </row>
    <row r="743" spans="1:1">
      <c r="A743" t="str">
        <f t="shared" si="12"/>
        <v/>
      </c>
    </row>
    <row r="744" spans="1:1">
      <c r="A744" t="str">
        <f t="shared" si="12"/>
        <v/>
      </c>
    </row>
    <row r="745" spans="1:1">
      <c r="A745" t="str">
        <f t="shared" si="12"/>
        <v/>
      </c>
    </row>
    <row r="746" spans="1:1">
      <c r="A746" t="str">
        <f t="shared" si="12"/>
        <v/>
      </c>
    </row>
    <row r="747" spans="1:1">
      <c r="A747" t="str">
        <f t="shared" si="12"/>
        <v/>
      </c>
    </row>
    <row r="748" spans="1:1">
      <c r="A748" t="str">
        <f t="shared" si="12"/>
        <v/>
      </c>
    </row>
    <row r="749" spans="1:1">
      <c r="A749" t="str">
        <f t="shared" si="12"/>
        <v/>
      </c>
    </row>
    <row r="750" spans="1:1">
      <c r="A750" t="str">
        <f t="shared" si="12"/>
        <v/>
      </c>
    </row>
    <row r="751" spans="1:1">
      <c r="A751" t="str">
        <f t="shared" si="12"/>
        <v/>
      </c>
    </row>
    <row r="752" spans="1:1">
      <c r="A752" t="str">
        <f t="shared" si="12"/>
        <v/>
      </c>
    </row>
    <row r="753" spans="1:1">
      <c r="A753" t="str">
        <f t="shared" si="12"/>
        <v/>
      </c>
    </row>
    <row r="754" spans="1:1">
      <c r="A754" t="str">
        <f t="shared" si="12"/>
        <v/>
      </c>
    </row>
    <row r="755" spans="1:1">
      <c r="A755" t="str">
        <f t="shared" si="12"/>
        <v/>
      </c>
    </row>
    <row r="756" spans="1:1">
      <c r="A756" t="str">
        <f t="shared" si="12"/>
        <v/>
      </c>
    </row>
    <row r="757" spans="1:1">
      <c r="A757" t="str">
        <f t="shared" si="12"/>
        <v/>
      </c>
    </row>
    <row r="758" spans="1:1">
      <c r="A758" t="str">
        <f t="shared" si="12"/>
        <v/>
      </c>
    </row>
    <row r="759" spans="1:1">
      <c r="A759" t="str">
        <f t="shared" si="12"/>
        <v/>
      </c>
    </row>
    <row r="760" spans="1:1">
      <c r="A760" t="str">
        <f t="shared" si="12"/>
        <v/>
      </c>
    </row>
    <row r="761" spans="1:1">
      <c r="A761" t="str">
        <f t="shared" si="12"/>
        <v/>
      </c>
    </row>
    <row r="762" spans="1:1">
      <c r="A762" t="str">
        <f t="shared" si="12"/>
        <v/>
      </c>
    </row>
    <row r="763" spans="1:1">
      <c r="A763" t="str">
        <f t="shared" si="12"/>
        <v/>
      </c>
    </row>
    <row r="764" spans="1:1">
      <c r="A764" t="str">
        <f t="shared" si="12"/>
        <v/>
      </c>
    </row>
    <row r="765" spans="1:1">
      <c r="A765" t="str">
        <f t="shared" si="12"/>
        <v/>
      </c>
    </row>
    <row r="766" spans="1:1">
      <c r="A766" t="str">
        <f t="shared" si="12"/>
        <v/>
      </c>
    </row>
    <row r="767" spans="1:1">
      <c r="A767" t="str">
        <f t="shared" si="12"/>
        <v/>
      </c>
    </row>
    <row r="768" spans="1:1">
      <c r="A768" t="str">
        <f t="shared" si="12"/>
        <v/>
      </c>
    </row>
    <row r="769" spans="1:1">
      <c r="A769" t="str">
        <f t="shared" si="12"/>
        <v/>
      </c>
    </row>
    <row r="770" spans="1:1">
      <c r="A770" t="str">
        <f t="shared" si="12"/>
        <v/>
      </c>
    </row>
    <row r="771" spans="1:1">
      <c r="A771" t="str">
        <f t="shared" si="12"/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si="12"/>
        <v/>
      </c>
    </row>
    <row r="776" spans="1:1">
      <c r="A776" t="str">
        <f t="shared" si="12"/>
        <v/>
      </c>
    </row>
    <row r="777" spans="1:1">
      <c r="A777" t="str">
        <f t="shared" si="12"/>
        <v/>
      </c>
    </row>
    <row r="778" spans="1:1">
      <c r="A778" t="str">
        <f t="shared" si="12"/>
        <v/>
      </c>
    </row>
    <row r="779" spans="1:1">
      <c r="A779" t="str">
        <f t="shared" si="12"/>
        <v/>
      </c>
    </row>
    <row r="780" spans="1:1">
      <c r="A780" t="str">
        <f t="shared" si="12"/>
        <v/>
      </c>
    </row>
    <row r="781" spans="1:1">
      <c r="A781" t="str">
        <f t="shared" si="12"/>
        <v/>
      </c>
    </row>
    <row r="782" spans="1:1">
      <c r="A782" t="str">
        <f t="shared" si="12"/>
        <v/>
      </c>
    </row>
    <row r="783" spans="1:1">
      <c r="A783" t="str">
        <f t="shared" si="12"/>
        <v/>
      </c>
    </row>
    <row r="784" spans="1:1">
      <c r="A784" t="str">
        <f t="shared" si="12"/>
        <v/>
      </c>
    </row>
    <row r="785" spans="1:1">
      <c r="A785" t="str">
        <f t="shared" si="12"/>
        <v/>
      </c>
    </row>
    <row r="786" spans="1:1">
      <c r="A786" t="str">
        <f t="shared" si="12"/>
        <v/>
      </c>
    </row>
    <row r="787" spans="1:1">
      <c r="A787" t="str">
        <f t="shared" si="12"/>
        <v/>
      </c>
    </row>
    <row r="788" spans="1:1">
      <c r="A788" t="str">
        <f t="shared" si="12"/>
        <v/>
      </c>
    </row>
    <row r="789" spans="1:1">
      <c r="A789" t="str">
        <f t="shared" si="12"/>
        <v/>
      </c>
    </row>
    <row r="790" spans="1:1">
      <c r="A790" t="str">
        <f t="shared" si="12"/>
        <v/>
      </c>
    </row>
    <row r="791" spans="1:1">
      <c r="A791" t="str">
        <f t="shared" si="12"/>
        <v/>
      </c>
    </row>
    <row r="792" spans="1:1">
      <c r="A792" t="str">
        <f t="shared" si="12"/>
        <v/>
      </c>
    </row>
    <row r="793" spans="1:1">
      <c r="A793" t="str">
        <f t="shared" si="12"/>
        <v/>
      </c>
    </row>
    <row r="794" spans="1:1">
      <c r="A794" t="str">
        <f t="shared" si="12"/>
        <v/>
      </c>
    </row>
    <row r="795" spans="1:1">
      <c r="A795" t="str">
        <f t="shared" si="12"/>
        <v/>
      </c>
    </row>
    <row r="796" spans="1:1">
      <c r="A796" t="str">
        <f t="shared" si="12"/>
        <v/>
      </c>
    </row>
    <row r="797" spans="1:1">
      <c r="A797" t="str">
        <f t="shared" si="12"/>
        <v/>
      </c>
    </row>
    <row r="798" spans="1:1">
      <c r="A798" t="str">
        <f t="shared" si="12"/>
        <v/>
      </c>
    </row>
    <row r="799" spans="1:1">
      <c r="A799" t="str">
        <f t="shared" si="12"/>
        <v/>
      </c>
    </row>
    <row r="800" spans="1:1">
      <c r="A800" t="str">
        <f t="shared" ref="A800:A863" si="13">IF(B800="","",A799+1)</f>
        <v/>
      </c>
    </row>
    <row r="801" spans="1:1">
      <c r="A801" t="str">
        <f t="shared" si="13"/>
        <v/>
      </c>
    </row>
    <row r="802" spans="1:1">
      <c r="A802" t="str">
        <f t="shared" si="13"/>
        <v/>
      </c>
    </row>
    <row r="803" spans="1:1">
      <c r="A803" t="str">
        <f t="shared" si="13"/>
        <v/>
      </c>
    </row>
    <row r="804" spans="1:1">
      <c r="A804" t="str">
        <f t="shared" si="13"/>
        <v/>
      </c>
    </row>
    <row r="805" spans="1:1">
      <c r="A805" t="str">
        <f t="shared" si="13"/>
        <v/>
      </c>
    </row>
    <row r="806" spans="1:1">
      <c r="A806" t="str">
        <f t="shared" si="13"/>
        <v/>
      </c>
    </row>
    <row r="807" spans="1:1">
      <c r="A807" t="str">
        <f t="shared" si="13"/>
        <v/>
      </c>
    </row>
    <row r="808" spans="1:1">
      <c r="A808" t="str">
        <f t="shared" si="13"/>
        <v/>
      </c>
    </row>
    <row r="809" spans="1:1">
      <c r="A809" t="str">
        <f t="shared" si="13"/>
        <v/>
      </c>
    </row>
    <row r="810" spans="1:1">
      <c r="A810" t="str">
        <f t="shared" si="13"/>
        <v/>
      </c>
    </row>
    <row r="811" spans="1:1">
      <c r="A811" t="str">
        <f t="shared" si="13"/>
        <v/>
      </c>
    </row>
    <row r="812" spans="1:1">
      <c r="A812" t="str">
        <f t="shared" si="13"/>
        <v/>
      </c>
    </row>
    <row r="813" spans="1:1">
      <c r="A813" t="str">
        <f t="shared" si="13"/>
        <v/>
      </c>
    </row>
    <row r="814" spans="1:1">
      <c r="A814" t="str">
        <f t="shared" si="13"/>
        <v/>
      </c>
    </row>
    <row r="815" spans="1:1">
      <c r="A815" t="str">
        <f t="shared" si="13"/>
        <v/>
      </c>
    </row>
    <row r="816" spans="1:1">
      <c r="A816" t="str">
        <f t="shared" si="13"/>
        <v/>
      </c>
    </row>
    <row r="817" spans="1:1">
      <c r="A817" t="str">
        <f t="shared" si="13"/>
        <v/>
      </c>
    </row>
    <row r="818" spans="1:1">
      <c r="A818" t="str">
        <f t="shared" si="13"/>
        <v/>
      </c>
    </row>
    <row r="819" spans="1:1">
      <c r="A819" t="str">
        <f t="shared" si="13"/>
        <v/>
      </c>
    </row>
    <row r="820" spans="1:1">
      <c r="A820" t="str">
        <f t="shared" si="13"/>
        <v/>
      </c>
    </row>
    <row r="821" spans="1:1">
      <c r="A821" t="str">
        <f t="shared" si="13"/>
        <v/>
      </c>
    </row>
    <row r="822" spans="1:1">
      <c r="A822" t="str">
        <f t="shared" si="13"/>
        <v/>
      </c>
    </row>
    <row r="823" spans="1:1">
      <c r="A823" t="str">
        <f t="shared" si="13"/>
        <v/>
      </c>
    </row>
    <row r="824" spans="1:1">
      <c r="A824" t="str">
        <f t="shared" si="13"/>
        <v/>
      </c>
    </row>
    <row r="825" spans="1:1">
      <c r="A825" t="str">
        <f t="shared" si="13"/>
        <v/>
      </c>
    </row>
    <row r="826" spans="1:1">
      <c r="A826" t="str">
        <f t="shared" si="13"/>
        <v/>
      </c>
    </row>
    <row r="827" spans="1:1">
      <c r="A827" t="str">
        <f t="shared" si="13"/>
        <v/>
      </c>
    </row>
    <row r="828" spans="1:1">
      <c r="A828" t="str">
        <f t="shared" si="13"/>
        <v/>
      </c>
    </row>
    <row r="829" spans="1:1">
      <c r="A829" t="str">
        <f t="shared" si="13"/>
        <v/>
      </c>
    </row>
    <row r="830" spans="1:1">
      <c r="A830" t="str">
        <f t="shared" si="13"/>
        <v/>
      </c>
    </row>
    <row r="831" spans="1:1">
      <c r="A831" t="str">
        <f t="shared" si="13"/>
        <v/>
      </c>
    </row>
    <row r="832" spans="1:1">
      <c r="A832" t="str">
        <f t="shared" si="13"/>
        <v/>
      </c>
    </row>
    <row r="833" spans="1:1">
      <c r="A833" t="str">
        <f t="shared" si="13"/>
        <v/>
      </c>
    </row>
    <row r="834" spans="1:1">
      <c r="A834" t="str">
        <f t="shared" si="13"/>
        <v/>
      </c>
    </row>
    <row r="835" spans="1:1">
      <c r="A835" t="str">
        <f t="shared" si="13"/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si="13"/>
        <v/>
      </c>
    </row>
    <row r="840" spans="1:1">
      <c r="A840" t="str">
        <f t="shared" si="13"/>
        <v/>
      </c>
    </row>
    <row r="841" spans="1:1">
      <c r="A841" t="str">
        <f t="shared" si="13"/>
        <v/>
      </c>
    </row>
    <row r="842" spans="1:1">
      <c r="A842" t="str">
        <f t="shared" si="13"/>
        <v/>
      </c>
    </row>
    <row r="843" spans="1:1">
      <c r="A843" t="str">
        <f t="shared" si="13"/>
        <v/>
      </c>
    </row>
    <row r="844" spans="1:1">
      <c r="A844" t="str">
        <f t="shared" si="13"/>
        <v/>
      </c>
    </row>
    <row r="845" spans="1:1">
      <c r="A845" t="str">
        <f t="shared" si="13"/>
        <v/>
      </c>
    </row>
    <row r="846" spans="1:1">
      <c r="A846" t="str">
        <f t="shared" si="13"/>
        <v/>
      </c>
    </row>
    <row r="847" spans="1:1">
      <c r="A847" t="str">
        <f t="shared" si="13"/>
        <v/>
      </c>
    </row>
    <row r="848" spans="1:1">
      <c r="A848" t="str">
        <f t="shared" si="13"/>
        <v/>
      </c>
    </row>
    <row r="849" spans="1:1">
      <c r="A849" t="str">
        <f t="shared" si="13"/>
        <v/>
      </c>
    </row>
    <row r="850" spans="1:1">
      <c r="A850" t="str">
        <f t="shared" si="13"/>
        <v/>
      </c>
    </row>
    <row r="851" spans="1:1">
      <c r="A851" t="str">
        <f t="shared" si="13"/>
        <v/>
      </c>
    </row>
    <row r="852" spans="1:1">
      <c r="A852" t="str">
        <f t="shared" si="13"/>
        <v/>
      </c>
    </row>
    <row r="853" spans="1:1">
      <c r="A853" t="str">
        <f t="shared" si="13"/>
        <v/>
      </c>
    </row>
    <row r="854" spans="1:1">
      <c r="A854" t="str">
        <f t="shared" si="13"/>
        <v/>
      </c>
    </row>
    <row r="855" spans="1:1">
      <c r="A855" t="str">
        <f t="shared" si="13"/>
        <v/>
      </c>
    </row>
    <row r="856" spans="1:1">
      <c r="A856" t="str">
        <f t="shared" si="13"/>
        <v/>
      </c>
    </row>
    <row r="857" spans="1:1">
      <c r="A857" t="str">
        <f t="shared" si="13"/>
        <v/>
      </c>
    </row>
    <row r="858" spans="1:1">
      <c r="A858" t="str">
        <f t="shared" si="13"/>
        <v/>
      </c>
    </row>
    <row r="859" spans="1:1">
      <c r="A859" t="str">
        <f t="shared" si="13"/>
        <v/>
      </c>
    </row>
    <row r="860" spans="1:1">
      <c r="A860" t="str">
        <f t="shared" si="13"/>
        <v/>
      </c>
    </row>
    <row r="861" spans="1:1">
      <c r="A861" t="str">
        <f t="shared" si="13"/>
        <v/>
      </c>
    </row>
    <row r="862" spans="1:1">
      <c r="A862" t="str">
        <f t="shared" si="13"/>
        <v/>
      </c>
    </row>
    <row r="863" spans="1:1">
      <c r="A863" t="str">
        <f t="shared" si="13"/>
        <v/>
      </c>
    </row>
    <row r="864" spans="1:1">
      <c r="A864" t="str">
        <f t="shared" ref="A864:A927" si="14">IF(B864="","",A863+1)</f>
        <v/>
      </c>
    </row>
    <row r="865" spans="1:1">
      <c r="A865" t="str">
        <f t="shared" si="14"/>
        <v/>
      </c>
    </row>
    <row r="866" spans="1:1">
      <c r="A866" t="str">
        <f t="shared" si="14"/>
        <v/>
      </c>
    </row>
    <row r="867" spans="1:1">
      <c r="A867" t="str">
        <f t="shared" si="14"/>
        <v/>
      </c>
    </row>
    <row r="868" spans="1:1">
      <c r="A868" t="str">
        <f t="shared" si="14"/>
        <v/>
      </c>
    </row>
    <row r="869" spans="1:1">
      <c r="A869" t="str">
        <f t="shared" si="14"/>
        <v/>
      </c>
    </row>
    <row r="870" spans="1:1">
      <c r="A870" t="str">
        <f t="shared" si="14"/>
        <v/>
      </c>
    </row>
    <row r="871" spans="1:1">
      <c r="A871" t="str">
        <f t="shared" si="14"/>
        <v/>
      </c>
    </row>
    <row r="872" spans="1:1">
      <c r="A872" t="str">
        <f t="shared" si="14"/>
        <v/>
      </c>
    </row>
    <row r="873" spans="1:1">
      <c r="A873" t="str">
        <f t="shared" si="14"/>
        <v/>
      </c>
    </row>
    <row r="874" spans="1:1">
      <c r="A874" t="str">
        <f t="shared" si="14"/>
        <v/>
      </c>
    </row>
    <row r="875" spans="1:1">
      <c r="A875" t="str">
        <f t="shared" si="14"/>
        <v/>
      </c>
    </row>
    <row r="876" spans="1:1">
      <c r="A876" t="str">
        <f t="shared" si="14"/>
        <v/>
      </c>
    </row>
    <row r="877" spans="1:1">
      <c r="A877" t="str">
        <f t="shared" si="14"/>
        <v/>
      </c>
    </row>
    <row r="878" spans="1:1">
      <c r="A878" t="str">
        <f t="shared" si="14"/>
        <v/>
      </c>
    </row>
    <row r="879" spans="1:1">
      <c r="A879" t="str">
        <f t="shared" si="14"/>
        <v/>
      </c>
    </row>
    <row r="880" spans="1:1">
      <c r="A880" t="str">
        <f t="shared" si="14"/>
        <v/>
      </c>
    </row>
    <row r="881" spans="1:1">
      <c r="A881" t="str">
        <f t="shared" si="14"/>
        <v/>
      </c>
    </row>
    <row r="882" spans="1:1">
      <c r="A882" t="str">
        <f t="shared" si="14"/>
        <v/>
      </c>
    </row>
    <row r="883" spans="1:1">
      <c r="A883" t="str">
        <f t="shared" si="14"/>
        <v/>
      </c>
    </row>
    <row r="884" spans="1:1">
      <c r="A884" t="str">
        <f t="shared" si="14"/>
        <v/>
      </c>
    </row>
    <row r="885" spans="1:1">
      <c r="A885" t="str">
        <f t="shared" si="14"/>
        <v/>
      </c>
    </row>
    <row r="886" spans="1:1">
      <c r="A886" t="str">
        <f t="shared" si="14"/>
        <v/>
      </c>
    </row>
    <row r="887" spans="1:1">
      <c r="A887" t="str">
        <f t="shared" si="14"/>
        <v/>
      </c>
    </row>
    <row r="888" spans="1:1">
      <c r="A888" t="str">
        <f t="shared" si="14"/>
        <v/>
      </c>
    </row>
    <row r="889" spans="1:1">
      <c r="A889" t="str">
        <f t="shared" si="14"/>
        <v/>
      </c>
    </row>
    <row r="890" spans="1:1">
      <c r="A890" t="str">
        <f t="shared" si="14"/>
        <v/>
      </c>
    </row>
    <row r="891" spans="1:1">
      <c r="A891" t="str">
        <f t="shared" si="14"/>
        <v/>
      </c>
    </row>
    <row r="892" spans="1:1">
      <c r="A892" t="str">
        <f t="shared" si="14"/>
        <v/>
      </c>
    </row>
    <row r="893" spans="1:1">
      <c r="A893" t="str">
        <f t="shared" si="14"/>
        <v/>
      </c>
    </row>
    <row r="894" spans="1:1">
      <c r="A894" t="str">
        <f t="shared" si="14"/>
        <v/>
      </c>
    </row>
    <row r="895" spans="1:1">
      <c r="A895" t="str">
        <f t="shared" si="14"/>
        <v/>
      </c>
    </row>
    <row r="896" spans="1:1">
      <c r="A896" t="str">
        <f t="shared" si="14"/>
        <v/>
      </c>
    </row>
    <row r="897" spans="1:1">
      <c r="A897" t="str">
        <f t="shared" si="14"/>
        <v/>
      </c>
    </row>
    <row r="898" spans="1:1">
      <c r="A898" t="str">
        <f t="shared" si="14"/>
        <v/>
      </c>
    </row>
    <row r="899" spans="1:1">
      <c r="A899" t="str">
        <f t="shared" si="14"/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si="14"/>
        <v/>
      </c>
    </row>
    <row r="904" spans="1:1">
      <c r="A904" t="str">
        <f t="shared" si="14"/>
        <v/>
      </c>
    </row>
    <row r="905" spans="1:1">
      <c r="A905" t="str">
        <f t="shared" si="14"/>
        <v/>
      </c>
    </row>
    <row r="906" spans="1:1">
      <c r="A906" t="str">
        <f t="shared" si="14"/>
        <v/>
      </c>
    </row>
    <row r="907" spans="1:1">
      <c r="A907" t="str">
        <f t="shared" si="14"/>
        <v/>
      </c>
    </row>
    <row r="908" spans="1:1">
      <c r="A908" t="str">
        <f t="shared" si="14"/>
        <v/>
      </c>
    </row>
    <row r="909" spans="1:1">
      <c r="A909" t="str">
        <f t="shared" si="14"/>
        <v/>
      </c>
    </row>
    <row r="910" spans="1:1">
      <c r="A910" t="str">
        <f t="shared" si="14"/>
        <v/>
      </c>
    </row>
    <row r="911" spans="1:1">
      <c r="A911" t="str">
        <f t="shared" si="14"/>
        <v/>
      </c>
    </row>
    <row r="912" spans="1:1">
      <c r="A912" t="str">
        <f t="shared" si="14"/>
        <v/>
      </c>
    </row>
    <row r="913" spans="1:1">
      <c r="A913" t="str">
        <f t="shared" si="14"/>
        <v/>
      </c>
    </row>
    <row r="914" spans="1:1">
      <c r="A914" t="str">
        <f t="shared" si="14"/>
        <v/>
      </c>
    </row>
    <row r="915" spans="1:1">
      <c r="A915" t="str">
        <f t="shared" si="14"/>
        <v/>
      </c>
    </row>
    <row r="916" spans="1:1">
      <c r="A916" t="str">
        <f t="shared" si="14"/>
        <v/>
      </c>
    </row>
    <row r="917" spans="1:1">
      <c r="A917" t="str">
        <f t="shared" si="14"/>
        <v/>
      </c>
    </row>
    <row r="918" spans="1:1">
      <c r="A918" t="str">
        <f t="shared" si="14"/>
        <v/>
      </c>
    </row>
    <row r="919" spans="1:1">
      <c r="A919" t="str">
        <f t="shared" si="14"/>
        <v/>
      </c>
    </row>
    <row r="920" spans="1:1">
      <c r="A920" t="str">
        <f t="shared" si="14"/>
        <v/>
      </c>
    </row>
    <row r="921" spans="1:1">
      <c r="A921" t="str">
        <f t="shared" si="14"/>
        <v/>
      </c>
    </row>
    <row r="922" spans="1:1">
      <c r="A922" t="str">
        <f t="shared" si="14"/>
        <v/>
      </c>
    </row>
    <row r="923" spans="1:1">
      <c r="A923" t="str">
        <f t="shared" si="14"/>
        <v/>
      </c>
    </row>
    <row r="924" spans="1:1">
      <c r="A924" t="str">
        <f t="shared" si="14"/>
        <v/>
      </c>
    </row>
    <row r="925" spans="1:1">
      <c r="A925" t="str">
        <f t="shared" si="14"/>
        <v/>
      </c>
    </row>
    <row r="926" spans="1:1">
      <c r="A926" t="str">
        <f t="shared" si="14"/>
        <v/>
      </c>
    </row>
    <row r="927" spans="1:1">
      <c r="A927" t="str">
        <f t="shared" si="14"/>
        <v/>
      </c>
    </row>
    <row r="928" spans="1:1">
      <c r="A928" t="str">
        <f t="shared" ref="A928:A991" si="15">IF(B928="","",A927+1)</f>
        <v/>
      </c>
    </row>
    <row r="929" spans="1:1">
      <c r="A929" t="str">
        <f t="shared" si="15"/>
        <v/>
      </c>
    </row>
    <row r="930" spans="1:1">
      <c r="A930" t="str">
        <f t="shared" si="15"/>
        <v/>
      </c>
    </row>
    <row r="931" spans="1:1">
      <c r="A931" t="str">
        <f t="shared" si="15"/>
        <v/>
      </c>
    </row>
    <row r="932" spans="1:1">
      <c r="A932" t="str">
        <f t="shared" si="15"/>
        <v/>
      </c>
    </row>
    <row r="933" spans="1:1">
      <c r="A933" t="str">
        <f t="shared" si="15"/>
        <v/>
      </c>
    </row>
    <row r="934" spans="1:1">
      <c r="A934" t="str">
        <f t="shared" si="15"/>
        <v/>
      </c>
    </row>
    <row r="935" spans="1:1">
      <c r="A935" t="str">
        <f t="shared" si="15"/>
        <v/>
      </c>
    </row>
    <row r="936" spans="1:1">
      <c r="A936" t="str">
        <f t="shared" si="15"/>
        <v/>
      </c>
    </row>
    <row r="937" spans="1:1">
      <c r="A937" t="str">
        <f t="shared" si="15"/>
        <v/>
      </c>
    </row>
    <row r="938" spans="1:1">
      <c r="A938" t="str">
        <f t="shared" si="15"/>
        <v/>
      </c>
    </row>
    <row r="939" spans="1:1">
      <c r="A939" t="str">
        <f t="shared" si="15"/>
        <v/>
      </c>
    </row>
    <row r="940" spans="1:1">
      <c r="A940" t="str">
        <f t="shared" si="15"/>
        <v/>
      </c>
    </row>
    <row r="941" spans="1:1">
      <c r="A941" t="str">
        <f t="shared" si="15"/>
        <v/>
      </c>
    </row>
    <row r="942" spans="1:1">
      <c r="A942" t="str">
        <f t="shared" si="15"/>
        <v/>
      </c>
    </row>
    <row r="943" spans="1:1">
      <c r="A943" t="str">
        <f t="shared" si="15"/>
        <v/>
      </c>
    </row>
    <row r="944" spans="1:1">
      <c r="A944" t="str">
        <f t="shared" si="15"/>
        <v/>
      </c>
    </row>
    <row r="945" spans="1:1">
      <c r="A945" t="str">
        <f t="shared" si="15"/>
        <v/>
      </c>
    </row>
    <row r="946" spans="1:1">
      <c r="A946" t="str">
        <f t="shared" si="15"/>
        <v/>
      </c>
    </row>
    <row r="947" spans="1:1">
      <c r="A947" t="str">
        <f t="shared" si="15"/>
        <v/>
      </c>
    </row>
    <row r="948" spans="1:1">
      <c r="A948" t="str">
        <f t="shared" si="15"/>
        <v/>
      </c>
    </row>
    <row r="949" spans="1:1">
      <c r="A949" t="str">
        <f t="shared" si="15"/>
        <v/>
      </c>
    </row>
    <row r="950" spans="1:1">
      <c r="A950" t="str">
        <f t="shared" si="15"/>
        <v/>
      </c>
    </row>
    <row r="951" spans="1:1">
      <c r="A951" t="str">
        <f t="shared" si="15"/>
        <v/>
      </c>
    </row>
    <row r="952" spans="1:1">
      <c r="A952" t="str">
        <f t="shared" si="15"/>
        <v/>
      </c>
    </row>
    <row r="953" spans="1:1">
      <c r="A953" t="str">
        <f t="shared" si="15"/>
        <v/>
      </c>
    </row>
    <row r="954" spans="1:1">
      <c r="A954" t="str">
        <f t="shared" si="15"/>
        <v/>
      </c>
    </row>
    <row r="955" spans="1:1">
      <c r="A955" t="str">
        <f t="shared" si="15"/>
        <v/>
      </c>
    </row>
    <row r="956" spans="1:1">
      <c r="A956" t="str">
        <f t="shared" si="15"/>
        <v/>
      </c>
    </row>
    <row r="957" spans="1:1">
      <c r="A957" t="str">
        <f t="shared" si="15"/>
        <v/>
      </c>
    </row>
    <row r="958" spans="1:1">
      <c r="A958" t="str">
        <f t="shared" si="15"/>
        <v/>
      </c>
    </row>
    <row r="959" spans="1:1">
      <c r="A959" t="str">
        <f t="shared" si="15"/>
        <v/>
      </c>
    </row>
    <row r="960" spans="1:1">
      <c r="A960" t="str">
        <f t="shared" si="15"/>
        <v/>
      </c>
    </row>
    <row r="961" spans="1:1">
      <c r="A961" t="str">
        <f t="shared" si="15"/>
        <v/>
      </c>
    </row>
    <row r="962" spans="1:1">
      <c r="A962" t="str">
        <f t="shared" si="15"/>
        <v/>
      </c>
    </row>
    <row r="963" spans="1:1">
      <c r="A963" t="str">
        <f t="shared" si="15"/>
        <v/>
      </c>
    </row>
    <row r="964" spans="1:1">
      <c r="A964" t="str">
        <f t="shared" si="15"/>
        <v/>
      </c>
    </row>
    <row r="965" spans="1:1">
      <c r="A965" t="str">
        <f t="shared" si="15"/>
        <v/>
      </c>
    </row>
    <row r="966" spans="1:1">
      <c r="A966" t="str">
        <f t="shared" si="15"/>
        <v/>
      </c>
    </row>
    <row r="967" spans="1:1">
      <c r="A967" t="str">
        <f t="shared" si="15"/>
        <v/>
      </c>
    </row>
    <row r="968" spans="1:1">
      <c r="A968" t="str">
        <f t="shared" si="15"/>
        <v/>
      </c>
    </row>
    <row r="969" spans="1:1">
      <c r="A969" t="str">
        <f t="shared" si="15"/>
        <v/>
      </c>
    </row>
    <row r="970" spans="1:1">
      <c r="A970" t="str">
        <f t="shared" si="15"/>
        <v/>
      </c>
    </row>
    <row r="971" spans="1:1">
      <c r="A971" t="str">
        <f t="shared" si="15"/>
        <v/>
      </c>
    </row>
    <row r="972" spans="1:1">
      <c r="A972" t="str">
        <f t="shared" si="15"/>
        <v/>
      </c>
    </row>
    <row r="973" spans="1:1">
      <c r="A973" t="str">
        <f t="shared" si="15"/>
        <v/>
      </c>
    </row>
    <row r="974" spans="1:1">
      <c r="A974" t="str">
        <f t="shared" si="15"/>
        <v/>
      </c>
    </row>
    <row r="975" spans="1:1">
      <c r="A975" t="str">
        <f t="shared" si="15"/>
        <v/>
      </c>
    </row>
    <row r="976" spans="1:1">
      <c r="A976" t="str">
        <f t="shared" si="15"/>
        <v/>
      </c>
    </row>
    <row r="977" spans="1:1">
      <c r="A977" t="str">
        <f t="shared" si="15"/>
        <v/>
      </c>
    </row>
    <row r="978" spans="1:1">
      <c r="A978" t="str">
        <f t="shared" si="15"/>
        <v/>
      </c>
    </row>
    <row r="979" spans="1:1">
      <c r="A979" t="str">
        <f t="shared" si="15"/>
        <v/>
      </c>
    </row>
    <row r="980" spans="1:1">
      <c r="A980" t="str">
        <f t="shared" si="15"/>
        <v/>
      </c>
    </row>
    <row r="981" spans="1:1">
      <c r="A981" t="str">
        <f t="shared" si="15"/>
        <v/>
      </c>
    </row>
    <row r="982" spans="1:1">
      <c r="A982" t="str">
        <f t="shared" si="15"/>
        <v/>
      </c>
    </row>
    <row r="983" spans="1:1">
      <c r="A983" t="str">
        <f t="shared" si="15"/>
        <v/>
      </c>
    </row>
    <row r="984" spans="1:1">
      <c r="A984" t="str">
        <f t="shared" si="15"/>
        <v/>
      </c>
    </row>
    <row r="985" spans="1:1">
      <c r="A985" t="str">
        <f t="shared" si="15"/>
        <v/>
      </c>
    </row>
    <row r="986" spans="1:1">
      <c r="A986" t="str">
        <f t="shared" si="15"/>
        <v/>
      </c>
    </row>
    <row r="987" spans="1:1">
      <c r="A987" t="str">
        <f t="shared" si="15"/>
        <v/>
      </c>
    </row>
    <row r="988" spans="1:1">
      <c r="A988" t="str">
        <f t="shared" si="15"/>
        <v/>
      </c>
    </row>
    <row r="989" spans="1:1">
      <c r="A989" t="str">
        <f t="shared" si="15"/>
        <v/>
      </c>
    </row>
    <row r="990" spans="1:1">
      <c r="A990" t="str">
        <f t="shared" si="15"/>
        <v/>
      </c>
    </row>
    <row r="991" spans="1:1">
      <c r="A991" t="str">
        <f t="shared" si="15"/>
        <v/>
      </c>
    </row>
    <row r="992" spans="1:1">
      <c r="A992" t="str">
        <f t="shared" ref="A992:A1055" si="16">IF(B992="","",A991+1)</f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si="16"/>
        <v/>
      </c>
    </row>
    <row r="1032" spans="1:1">
      <c r="A1032" t="str">
        <f t="shared" si="16"/>
        <v/>
      </c>
    </row>
    <row r="1033" spans="1:1">
      <c r="A1033" t="str">
        <f t="shared" si="16"/>
        <v/>
      </c>
    </row>
    <row r="1034" spans="1:1">
      <c r="A1034" t="str">
        <f t="shared" si="16"/>
        <v/>
      </c>
    </row>
    <row r="1035" spans="1:1">
      <c r="A1035" t="str">
        <f t="shared" si="16"/>
        <v/>
      </c>
    </row>
    <row r="1036" spans="1:1">
      <c r="A1036" t="str">
        <f t="shared" si="16"/>
        <v/>
      </c>
    </row>
    <row r="1037" spans="1:1">
      <c r="A1037" t="str">
        <f t="shared" si="16"/>
        <v/>
      </c>
    </row>
    <row r="1038" spans="1:1">
      <c r="A1038" t="str">
        <f t="shared" si="16"/>
        <v/>
      </c>
    </row>
    <row r="1039" spans="1:1">
      <c r="A1039" t="str">
        <f t="shared" si="16"/>
        <v/>
      </c>
    </row>
    <row r="1040" spans="1:1">
      <c r="A1040" t="str">
        <f t="shared" si="16"/>
        <v/>
      </c>
    </row>
    <row r="1041" spans="1:1">
      <c r="A1041" t="str">
        <f t="shared" si="16"/>
        <v/>
      </c>
    </row>
    <row r="1042" spans="1:1">
      <c r="A1042" t="str">
        <f t="shared" si="16"/>
        <v/>
      </c>
    </row>
    <row r="1043" spans="1:1">
      <c r="A1043" t="str">
        <f t="shared" si="16"/>
        <v/>
      </c>
    </row>
    <row r="1044" spans="1:1">
      <c r="A1044" t="str">
        <f t="shared" si="16"/>
        <v/>
      </c>
    </row>
    <row r="1045" spans="1:1">
      <c r="A1045" t="str">
        <f t="shared" si="16"/>
        <v/>
      </c>
    </row>
    <row r="1046" spans="1:1">
      <c r="A1046" t="str">
        <f t="shared" si="16"/>
        <v/>
      </c>
    </row>
    <row r="1047" spans="1:1">
      <c r="A1047" t="str">
        <f t="shared" si="16"/>
        <v/>
      </c>
    </row>
    <row r="1048" spans="1:1">
      <c r="A1048" t="str">
        <f t="shared" si="16"/>
        <v/>
      </c>
    </row>
    <row r="1049" spans="1:1">
      <c r="A1049" t="str">
        <f t="shared" si="16"/>
        <v/>
      </c>
    </row>
    <row r="1050" spans="1:1">
      <c r="A1050" t="str">
        <f t="shared" si="16"/>
        <v/>
      </c>
    </row>
    <row r="1051" spans="1:1">
      <c r="A1051" t="str">
        <f t="shared" si="16"/>
        <v/>
      </c>
    </row>
    <row r="1052" spans="1:1">
      <c r="A1052" t="str">
        <f t="shared" si="16"/>
        <v/>
      </c>
    </row>
    <row r="1053" spans="1:1">
      <c r="A1053" t="str">
        <f t="shared" si="16"/>
        <v/>
      </c>
    </row>
    <row r="1054" spans="1:1">
      <c r="A1054" t="str">
        <f t="shared" si="16"/>
        <v/>
      </c>
    </row>
    <row r="1055" spans="1:1">
      <c r="A1055" t="str">
        <f t="shared" si="16"/>
        <v/>
      </c>
    </row>
    <row r="1056" spans="1:1">
      <c r="A1056" t="str">
        <f t="shared" ref="A1056:A1074" si="17">IF(B1056="","",A1055+1)</f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ref="A1075" si="18">IF(B1075="","",A1074+1)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D2CE-AA31-44CE-8CBA-A06A8862B8F9}">
  <sheetPr codeName="Sheet10">
    <tabColor theme="7" tint="0.79998168889431442"/>
  </sheetPr>
  <dimension ref="A1:H1075"/>
  <sheetViews>
    <sheetView showGridLines="0" zoomScaleNormal="100" workbookViewId="0"/>
  </sheetViews>
  <sheetFormatPr defaultRowHeight="14.4"/>
  <cols>
    <col min="2" max="2" width="13.21875" bestFit="1" customWidth="1"/>
    <col min="3" max="3" width="42.77734375" bestFit="1" customWidth="1"/>
    <col min="4" max="4" width="32.21875" style="172" bestFit="1" customWidth="1"/>
    <col min="5" max="5" width="14.44140625" style="173" bestFit="1" customWidth="1"/>
  </cols>
  <sheetData>
    <row r="1" spans="1:8">
      <c r="A1" t="s">
        <v>1502</v>
      </c>
      <c r="B1" s="168" t="s">
        <v>181</v>
      </c>
      <c r="C1" s="168" t="s">
        <v>543</v>
      </c>
      <c r="D1" s="169" t="s">
        <v>544</v>
      </c>
      <c r="E1" s="170" t="s">
        <v>0</v>
      </c>
      <c r="H1" s="171"/>
    </row>
    <row r="2" spans="1:8" hidden="1">
      <c r="A2">
        <v>0</v>
      </c>
      <c r="B2" t="s">
        <v>545</v>
      </c>
      <c r="C2" t="s">
        <v>546</v>
      </c>
      <c r="D2" s="172" t="s">
        <v>547</v>
      </c>
      <c r="E2" s="154" t="s">
        <v>3</v>
      </c>
    </row>
    <row r="3" spans="1:8" hidden="1">
      <c r="A3">
        <f>A2+1</f>
        <v>1</v>
      </c>
      <c r="B3" t="s">
        <v>545</v>
      </c>
      <c r="C3" t="s">
        <v>548</v>
      </c>
      <c r="D3" s="172" t="s">
        <v>547</v>
      </c>
      <c r="E3" s="154" t="s">
        <v>3</v>
      </c>
    </row>
    <row r="4" spans="1:8" hidden="1">
      <c r="A4">
        <f t="shared" ref="A4:A67" si="0">A3+1</f>
        <v>2</v>
      </c>
      <c r="B4" t="s">
        <v>545</v>
      </c>
      <c r="C4" t="s">
        <v>549</v>
      </c>
      <c r="D4" s="172" t="s">
        <v>550</v>
      </c>
      <c r="E4" s="154" t="s">
        <v>3</v>
      </c>
    </row>
    <row r="5" spans="1:8" hidden="1">
      <c r="A5">
        <f t="shared" si="0"/>
        <v>3</v>
      </c>
      <c r="B5" t="s">
        <v>545</v>
      </c>
      <c r="C5" t="s">
        <v>551</v>
      </c>
      <c r="D5" s="172" t="s">
        <v>552</v>
      </c>
      <c r="E5" s="154" t="s">
        <v>3</v>
      </c>
    </row>
    <row r="6" spans="1:8" hidden="1">
      <c r="A6">
        <f t="shared" si="0"/>
        <v>4</v>
      </c>
      <c r="B6" t="s">
        <v>545</v>
      </c>
      <c r="C6" t="s">
        <v>553</v>
      </c>
      <c r="D6" s="172" t="s">
        <v>552</v>
      </c>
      <c r="E6" s="154" t="s">
        <v>3</v>
      </c>
    </row>
    <row r="7" spans="1:8" hidden="1">
      <c r="A7">
        <f t="shared" si="0"/>
        <v>5</v>
      </c>
      <c r="B7" t="s">
        <v>545</v>
      </c>
      <c r="C7" t="s">
        <v>554</v>
      </c>
      <c r="D7" s="172" t="s">
        <v>552</v>
      </c>
      <c r="E7" s="154" t="s">
        <v>3</v>
      </c>
    </row>
    <row r="8" spans="1:8" hidden="1">
      <c r="A8">
        <f t="shared" si="0"/>
        <v>6</v>
      </c>
      <c r="B8" t="s">
        <v>545</v>
      </c>
      <c r="C8" t="s">
        <v>555</v>
      </c>
      <c r="D8" s="172" t="s">
        <v>552</v>
      </c>
      <c r="E8" s="154" t="s">
        <v>3</v>
      </c>
    </row>
    <row r="9" spans="1:8" hidden="1">
      <c r="A9">
        <f t="shared" si="0"/>
        <v>7</v>
      </c>
      <c r="B9" t="s">
        <v>545</v>
      </c>
      <c r="C9" t="s">
        <v>556</v>
      </c>
      <c r="D9" s="172" t="s">
        <v>552</v>
      </c>
      <c r="E9" s="154" t="s">
        <v>3</v>
      </c>
    </row>
    <row r="10" spans="1:8" hidden="1">
      <c r="A10">
        <f t="shared" si="0"/>
        <v>8</v>
      </c>
      <c r="B10" t="s">
        <v>545</v>
      </c>
      <c r="C10" t="s">
        <v>557</v>
      </c>
      <c r="D10" s="172" t="s">
        <v>552</v>
      </c>
      <c r="E10" s="154" t="s">
        <v>3</v>
      </c>
    </row>
    <row r="11" spans="1:8" hidden="1">
      <c r="A11">
        <f t="shared" si="0"/>
        <v>9</v>
      </c>
      <c r="B11" t="s">
        <v>545</v>
      </c>
      <c r="C11" t="s">
        <v>558</v>
      </c>
      <c r="D11" s="172" t="s">
        <v>552</v>
      </c>
      <c r="E11" s="154" t="s">
        <v>3</v>
      </c>
    </row>
    <row r="12" spans="1:8" hidden="1">
      <c r="A12">
        <f t="shared" si="0"/>
        <v>10</v>
      </c>
      <c r="B12" t="s">
        <v>545</v>
      </c>
      <c r="C12" t="s">
        <v>559</v>
      </c>
      <c r="D12" s="172" t="s">
        <v>552</v>
      </c>
      <c r="E12" s="154" t="s">
        <v>3</v>
      </c>
    </row>
    <row r="13" spans="1:8" hidden="1">
      <c r="A13">
        <f t="shared" si="0"/>
        <v>11</v>
      </c>
      <c r="B13" t="s">
        <v>545</v>
      </c>
      <c r="C13" t="s">
        <v>560</v>
      </c>
      <c r="D13" s="172" t="s">
        <v>552</v>
      </c>
      <c r="E13" s="154" t="s">
        <v>3</v>
      </c>
    </row>
    <row r="14" spans="1:8" hidden="1">
      <c r="A14">
        <f t="shared" si="0"/>
        <v>12</v>
      </c>
      <c r="B14" t="s">
        <v>545</v>
      </c>
      <c r="C14" t="s">
        <v>561</v>
      </c>
      <c r="D14" s="172" t="s">
        <v>552</v>
      </c>
      <c r="E14" s="154" t="s">
        <v>3</v>
      </c>
    </row>
    <row r="15" spans="1:8" hidden="1">
      <c r="A15">
        <f t="shared" si="0"/>
        <v>13</v>
      </c>
      <c r="B15" t="s">
        <v>545</v>
      </c>
      <c r="C15" t="s">
        <v>562</v>
      </c>
      <c r="D15" s="172" t="s">
        <v>552</v>
      </c>
      <c r="E15" s="154" t="s">
        <v>3</v>
      </c>
    </row>
    <row r="16" spans="1:8" hidden="1">
      <c r="A16">
        <f t="shared" si="0"/>
        <v>14</v>
      </c>
      <c r="B16" t="s">
        <v>545</v>
      </c>
      <c r="C16" t="s">
        <v>563</v>
      </c>
      <c r="D16" s="172" t="s">
        <v>552</v>
      </c>
      <c r="E16" s="154" t="s">
        <v>3</v>
      </c>
    </row>
    <row r="17" spans="1:5" hidden="1">
      <c r="A17">
        <f t="shared" si="0"/>
        <v>15</v>
      </c>
      <c r="B17" t="s">
        <v>545</v>
      </c>
      <c r="C17" t="s">
        <v>564</v>
      </c>
      <c r="D17" s="172" t="s">
        <v>552</v>
      </c>
      <c r="E17" s="154" t="s">
        <v>3</v>
      </c>
    </row>
    <row r="18" spans="1:5" hidden="1">
      <c r="A18">
        <f t="shared" si="0"/>
        <v>16</v>
      </c>
      <c r="B18" t="s">
        <v>545</v>
      </c>
      <c r="C18" t="s">
        <v>565</v>
      </c>
      <c r="D18" s="172" t="s">
        <v>552</v>
      </c>
      <c r="E18" s="154" t="s">
        <v>3</v>
      </c>
    </row>
    <row r="19" spans="1:5" hidden="1">
      <c r="A19">
        <f t="shared" si="0"/>
        <v>17</v>
      </c>
      <c r="B19" t="s">
        <v>545</v>
      </c>
      <c r="C19" t="s">
        <v>566</v>
      </c>
      <c r="D19" s="172" t="s">
        <v>552</v>
      </c>
      <c r="E19" s="154" t="s">
        <v>3</v>
      </c>
    </row>
    <row r="20" spans="1:5" hidden="1">
      <c r="A20">
        <f t="shared" si="0"/>
        <v>18</v>
      </c>
      <c r="B20" t="s">
        <v>545</v>
      </c>
      <c r="C20" t="s">
        <v>567</v>
      </c>
      <c r="D20" s="172" t="s">
        <v>552</v>
      </c>
      <c r="E20" s="154" t="s">
        <v>3</v>
      </c>
    </row>
    <row r="21" spans="1:5" hidden="1">
      <c r="A21">
        <f t="shared" si="0"/>
        <v>19</v>
      </c>
      <c r="B21" t="s">
        <v>545</v>
      </c>
      <c r="C21" t="s">
        <v>568</v>
      </c>
      <c r="D21" s="172" t="s">
        <v>552</v>
      </c>
      <c r="E21" s="154" t="s">
        <v>3</v>
      </c>
    </row>
    <row r="22" spans="1:5" hidden="1">
      <c r="A22">
        <f t="shared" si="0"/>
        <v>20</v>
      </c>
      <c r="B22" t="s">
        <v>545</v>
      </c>
      <c r="C22" t="s">
        <v>569</v>
      </c>
      <c r="D22" s="172" t="s">
        <v>552</v>
      </c>
      <c r="E22" s="154" t="s">
        <v>3</v>
      </c>
    </row>
    <row r="23" spans="1:5" hidden="1">
      <c r="A23">
        <f t="shared" si="0"/>
        <v>21</v>
      </c>
      <c r="B23" t="s">
        <v>545</v>
      </c>
      <c r="C23" t="s">
        <v>570</v>
      </c>
      <c r="D23" s="172" t="s">
        <v>552</v>
      </c>
      <c r="E23" s="154" t="s">
        <v>3</v>
      </c>
    </row>
    <row r="24" spans="1:5" hidden="1">
      <c r="A24">
        <f t="shared" si="0"/>
        <v>22</v>
      </c>
      <c r="B24" t="s">
        <v>545</v>
      </c>
      <c r="C24" t="s">
        <v>571</v>
      </c>
      <c r="D24" s="172" t="s">
        <v>552</v>
      </c>
      <c r="E24" s="154" t="s">
        <v>3</v>
      </c>
    </row>
    <row r="25" spans="1:5" hidden="1">
      <c r="A25">
        <f t="shared" si="0"/>
        <v>23</v>
      </c>
      <c r="B25" t="s">
        <v>545</v>
      </c>
      <c r="C25" t="s">
        <v>572</v>
      </c>
      <c r="D25" s="172" t="s">
        <v>552</v>
      </c>
      <c r="E25" s="154" t="s">
        <v>3</v>
      </c>
    </row>
    <row r="26" spans="1:5" hidden="1">
      <c r="A26">
        <f t="shared" si="0"/>
        <v>24</v>
      </c>
      <c r="B26" t="s">
        <v>545</v>
      </c>
      <c r="C26" t="s">
        <v>573</v>
      </c>
      <c r="D26" s="172" t="s">
        <v>552</v>
      </c>
      <c r="E26" s="154" t="s">
        <v>3</v>
      </c>
    </row>
    <row r="27" spans="1:5" hidden="1">
      <c r="A27">
        <f t="shared" si="0"/>
        <v>25</v>
      </c>
      <c r="B27" t="s">
        <v>545</v>
      </c>
      <c r="C27" t="s">
        <v>574</v>
      </c>
      <c r="D27" s="172" t="s">
        <v>552</v>
      </c>
      <c r="E27" s="154" t="s">
        <v>3</v>
      </c>
    </row>
    <row r="28" spans="1:5" hidden="1">
      <c r="A28">
        <f t="shared" si="0"/>
        <v>26</v>
      </c>
      <c r="B28" t="s">
        <v>545</v>
      </c>
      <c r="C28" t="s">
        <v>575</v>
      </c>
      <c r="D28" s="172" t="s">
        <v>552</v>
      </c>
      <c r="E28" s="154" t="s">
        <v>3</v>
      </c>
    </row>
    <row r="29" spans="1:5" hidden="1">
      <c r="A29">
        <f t="shared" si="0"/>
        <v>27</v>
      </c>
      <c r="B29" t="s">
        <v>545</v>
      </c>
      <c r="C29" t="s">
        <v>576</v>
      </c>
      <c r="D29" s="172" t="s">
        <v>552</v>
      </c>
      <c r="E29" s="154" t="s">
        <v>3</v>
      </c>
    </row>
    <row r="30" spans="1:5" hidden="1">
      <c r="A30">
        <f t="shared" si="0"/>
        <v>28</v>
      </c>
      <c r="B30" t="s">
        <v>545</v>
      </c>
      <c r="C30" t="s">
        <v>577</v>
      </c>
      <c r="D30" s="172" t="s">
        <v>552</v>
      </c>
      <c r="E30" s="154" t="s">
        <v>3</v>
      </c>
    </row>
    <row r="31" spans="1:5" hidden="1">
      <c r="A31">
        <f t="shared" si="0"/>
        <v>29</v>
      </c>
      <c r="B31" t="s">
        <v>545</v>
      </c>
      <c r="C31" t="s">
        <v>578</v>
      </c>
      <c r="D31" s="172" t="s">
        <v>552</v>
      </c>
      <c r="E31" s="154" t="s">
        <v>3</v>
      </c>
    </row>
    <row r="32" spans="1:5" hidden="1">
      <c r="A32">
        <f t="shared" si="0"/>
        <v>30</v>
      </c>
      <c r="B32" t="s">
        <v>545</v>
      </c>
      <c r="C32" t="s">
        <v>579</v>
      </c>
      <c r="D32" s="172" t="s">
        <v>552</v>
      </c>
      <c r="E32" s="154" t="s">
        <v>3</v>
      </c>
    </row>
    <row r="33" spans="1:5" hidden="1">
      <c r="A33">
        <f t="shared" si="0"/>
        <v>31</v>
      </c>
      <c r="B33" t="s">
        <v>545</v>
      </c>
      <c r="C33" t="s">
        <v>580</v>
      </c>
      <c r="D33" s="172" t="s">
        <v>552</v>
      </c>
      <c r="E33" s="154" t="s">
        <v>3</v>
      </c>
    </row>
    <row r="34" spans="1:5" hidden="1">
      <c r="A34">
        <f t="shared" si="0"/>
        <v>32</v>
      </c>
      <c r="B34" t="s">
        <v>545</v>
      </c>
      <c r="C34" t="s">
        <v>581</v>
      </c>
      <c r="D34" s="172" t="s">
        <v>552</v>
      </c>
      <c r="E34" s="154" t="s">
        <v>3</v>
      </c>
    </row>
    <row r="35" spans="1:5" hidden="1">
      <c r="A35">
        <f t="shared" si="0"/>
        <v>33</v>
      </c>
      <c r="B35" t="s">
        <v>545</v>
      </c>
      <c r="C35" t="s">
        <v>582</v>
      </c>
      <c r="D35" s="172" t="s">
        <v>552</v>
      </c>
      <c r="E35" s="154" t="s">
        <v>3</v>
      </c>
    </row>
    <row r="36" spans="1:5" hidden="1">
      <c r="A36">
        <f t="shared" si="0"/>
        <v>34</v>
      </c>
      <c r="B36" t="s">
        <v>545</v>
      </c>
      <c r="C36" t="s">
        <v>583</v>
      </c>
      <c r="D36" s="172" t="s">
        <v>552</v>
      </c>
      <c r="E36" s="154" t="s">
        <v>3</v>
      </c>
    </row>
    <row r="37" spans="1:5" hidden="1">
      <c r="A37">
        <f t="shared" si="0"/>
        <v>35</v>
      </c>
      <c r="B37" t="s">
        <v>545</v>
      </c>
      <c r="C37" t="s">
        <v>584</v>
      </c>
      <c r="D37" s="172" t="s">
        <v>552</v>
      </c>
      <c r="E37" s="154" t="s">
        <v>3</v>
      </c>
    </row>
    <row r="38" spans="1:5" hidden="1">
      <c r="A38">
        <f t="shared" si="0"/>
        <v>36</v>
      </c>
      <c r="B38" t="s">
        <v>545</v>
      </c>
      <c r="C38" t="s">
        <v>585</v>
      </c>
      <c r="D38" s="172" t="s">
        <v>552</v>
      </c>
      <c r="E38" s="154" t="s">
        <v>3</v>
      </c>
    </row>
    <row r="39" spans="1:5" hidden="1">
      <c r="A39">
        <f t="shared" si="0"/>
        <v>37</v>
      </c>
      <c r="B39" t="s">
        <v>545</v>
      </c>
      <c r="C39" t="s">
        <v>586</v>
      </c>
      <c r="D39" s="172" t="s">
        <v>552</v>
      </c>
      <c r="E39" s="154" t="s">
        <v>3</v>
      </c>
    </row>
    <row r="40" spans="1:5" hidden="1">
      <c r="A40">
        <f t="shared" si="0"/>
        <v>38</v>
      </c>
      <c r="B40" t="s">
        <v>545</v>
      </c>
      <c r="C40" t="s">
        <v>587</v>
      </c>
      <c r="D40" s="172" t="s">
        <v>552</v>
      </c>
      <c r="E40" s="154" t="s">
        <v>3</v>
      </c>
    </row>
    <row r="41" spans="1:5" hidden="1">
      <c r="A41">
        <f t="shared" si="0"/>
        <v>39</v>
      </c>
      <c r="B41" t="s">
        <v>545</v>
      </c>
      <c r="C41" t="s">
        <v>588</v>
      </c>
      <c r="D41" s="172" t="s">
        <v>552</v>
      </c>
      <c r="E41" s="154" t="s">
        <v>3</v>
      </c>
    </row>
    <row r="42" spans="1:5" hidden="1">
      <c r="A42">
        <f t="shared" si="0"/>
        <v>40</v>
      </c>
      <c r="B42" t="s">
        <v>545</v>
      </c>
      <c r="C42" t="s">
        <v>589</v>
      </c>
      <c r="D42" s="172" t="s">
        <v>552</v>
      </c>
      <c r="E42" s="154" t="s">
        <v>3</v>
      </c>
    </row>
    <row r="43" spans="1:5" hidden="1">
      <c r="A43">
        <f t="shared" si="0"/>
        <v>41</v>
      </c>
      <c r="B43" t="s">
        <v>545</v>
      </c>
      <c r="C43" t="s">
        <v>590</v>
      </c>
      <c r="D43" s="172" t="s">
        <v>552</v>
      </c>
      <c r="E43" s="154" t="s">
        <v>3</v>
      </c>
    </row>
    <row r="44" spans="1:5" hidden="1">
      <c r="A44">
        <f t="shared" si="0"/>
        <v>42</v>
      </c>
      <c r="B44" t="s">
        <v>545</v>
      </c>
      <c r="C44" t="s">
        <v>591</v>
      </c>
      <c r="D44" s="172" t="s">
        <v>552</v>
      </c>
      <c r="E44" s="154" t="s">
        <v>3</v>
      </c>
    </row>
    <row r="45" spans="1:5" hidden="1">
      <c r="A45">
        <f t="shared" si="0"/>
        <v>43</v>
      </c>
      <c r="B45" t="s">
        <v>545</v>
      </c>
      <c r="C45" t="s">
        <v>592</v>
      </c>
      <c r="D45" s="172" t="s">
        <v>552</v>
      </c>
      <c r="E45" s="154" t="s">
        <v>3</v>
      </c>
    </row>
    <row r="46" spans="1:5" hidden="1">
      <c r="A46">
        <f t="shared" si="0"/>
        <v>44</v>
      </c>
      <c r="B46" t="s">
        <v>545</v>
      </c>
      <c r="C46" t="s">
        <v>593</v>
      </c>
      <c r="D46" s="172" t="s">
        <v>552</v>
      </c>
      <c r="E46" s="154" t="s">
        <v>3</v>
      </c>
    </row>
    <row r="47" spans="1:5" hidden="1">
      <c r="A47">
        <f t="shared" si="0"/>
        <v>45</v>
      </c>
      <c r="B47" t="s">
        <v>545</v>
      </c>
      <c r="C47" t="s">
        <v>594</v>
      </c>
      <c r="D47" s="172" t="s">
        <v>552</v>
      </c>
      <c r="E47" s="154" t="s">
        <v>3</v>
      </c>
    </row>
    <row r="48" spans="1:5" hidden="1">
      <c r="A48">
        <f t="shared" si="0"/>
        <v>46</v>
      </c>
      <c r="B48" t="s">
        <v>545</v>
      </c>
      <c r="C48" t="s">
        <v>595</v>
      </c>
      <c r="D48" s="172" t="s">
        <v>552</v>
      </c>
      <c r="E48" s="154" t="s">
        <v>3</v>
      </c>
    </row>
    <row r="49" spans="1:5" hidden="1">
      <c r="A49">
        <f t="shared" si="0"/>
        <v>47</v>
      </c>
      <c r="B49" t="s">
        <v>545</v>
      </c>
      <c r="C49" t="s">
        <v>596</v>
      </c>
      <c r="D49" s="172" t="s">
        <v>552</v>
      </c>
      <c r="E49" s="154" t="s">
        <v>3</v>
      </c>
    </row>
    <row r="50" spans="1:5" hidden="1">
      <c r="A50">
        <f t="shared" si="0"/>
        <v>48</v>
      </c>
      <c r="B50" t="s">
        <v>545</v>
      </c>
      <c r="C50" t="s">
        <v>597</v>
      </c>
      <c r="D50" s="172" t="s">
        <v>552</v>
      </c>
      <c r="E50" s="154" t="s">
        <v>3</v>
      </c>
    </row>
    <row r="51" spans="1:5" hidden="1">
      <c r="A51">
        <f t="shared" si="0"/>
        <v>49</v>
      </c>
      <c r="B51" t="s">
        <v>545</v>
      </c>
      <c r="C51" t="s">
        <v>598</v>
      </c>
      <c r="D51" s="172" t="s">
        <v>552</v>
      </c>
      <c r="E51" s="154" t="s">
        <v>3</v>
      </c>
    </row>
    <row r="52" spans="1:5" hidden="1">
      <c r="A52">
        <f t="shared" si="0"/>
        <v>50</v>
      </c>
      <c r="B52" t="s">
        <v>545</v>
      </c>
      <c r="C52" t="s">
        <v>599</v>
      </c>
      <c r="D52" s="172" t="s">
        <v>552</v>
      </c>
      <c r="E52" s="154" t="s">
        <v>3</v>
      </c>
    </row>
    <row r="53" spans="1:5" hidden="1">
      <c r="A53">
        <f t="shared" si="0"/>
        <v>51</v>
      </c>
      <c r="B53" t="s">
        <v>545</v>
      </c>
      <c r="C53" t="s">
        <v>600</v>
      </c>
      <c r="D53" s="172" t="s">
        <v>552</v>
      </c>
      <c r="E53" s="154" t="s">
        <v>3</v>
      </c>
    </row>
    <row r="54" spans="1:5" hidden="1">
      <c r="A54">
        <f t="shared" si="0"/>
        <v>52</v>
      </c>
      <c r="B54" t="s">
        <v>545</v>
      </c>
      <c r="C54" t="s">
        <v>601</v>
      </c>
      <c r="D54" s="172" t="s">
        <v>552</v>
      </c>
      <c r="E54" s="154" t="s">
        <v>3</v>
      </c>
    </row>
    <row r="55" spans="1:5" hidden="1">
      <c r="A55">
        <f t="shared" si="0"/>
        <v>53</v>
      </c>
      <c r="B55" t="s">
        <v>545</v>
      </c>
      <c r="C55" t="s">
        <v>602</v>
      </c>
      <c r="D55" s="172" t="s">
        <v>552</v>
      </c>
      <c r="E55" s="154" t="s">
        <v>3</v>
      </c>
    </row>
    <row r="56" spans="1:5" hidden="1">
      <c r="A56">
        <f t="shared" si="0"/>
        <v>54</v>
      </c>
      <c r="B56" t="s">
        <v>545</v>
      </c>
      <c r="C56" t="s">
        <v>603</v>
      </c>
      <c r="D56" s="172" t="s">
        <v>552</v>
      </c>
      <c r="E56" s="154" t="s">
        <v>3</v>
      </c>
    </row>
    <row r="57" spans="1:5" hidden="1">
      <c r="A57">
        <f t="shared" si="0"/>
        <v>55</v>
      </c>
      <c r="B57" t="s">
        <v>545</v>
      </c>
      <c r="C57" t="s">
        <v>604</v>
      </c>
      <c r="D57" s="172" t="s">
        <v>552</v>
      </c>
      <c r="E57" s="154" t="s">
        <v>3</v>
      </c>
    </row>
    <row r="58" spans="1:5" hidden="1">
      <c r="A58">
        <f t="shared" si="0"/>
        <v>56</v>
      </c>
      <c r="B58" t="s">
        <v>545</v>
      </c>
      <c r="C58" t="s">
        <v>605</v>
      </c>
      <c r="D58" s="172" t="s">
        <v>552</v>
      </c>
      <c r="E58" s="154" t="s">
        <v>3</v>
      </c>
    </row>
    <row r="59" spans="1:5" hidden="1">
      <c r="A59">
        <f t="shared" si="0"/>
        <v>57</v>
      </c>
      <c r="B59" t="s">
        <v>545</v>
      </c>
      <c r="C59" t="s">
        <v>606</v>
      </c>
      <c r="D59" s="172" t="s">
        <v>552</v>
      </c>
      <c r="E59" s="154" t="s">
        <v>3</v>
      </c>
    </row>
    <row r="60" spans="1:5" hidden="1">
      <c r="A60">
        <f t="shared" si="0"/>
        <v>58</v>
      </c>
      <c r="B60" t="s">
        <v>545</v>
      </c>
      <c r="C60" t="s">
        <v>607</v>
      </c>
      <c r="D60" s="172" t="s">
        <v>552</v>
      </c>
      <c r="E60" s="154" t="s">
        <v>3</v>
      </c>
    </row>
    <row r="61" spans="1:5" hidden="1">
      <c r="A61">
        <f t="shared" si="0"/>
        <v>59</v>
      </c>
      <c r="B61" t="s">
        <v>545</v>
      </c>
      <c r="C61" t="s">
        <v>608</v>
      </c>
      <c r="D61" s="172" t="s">
        <v>552</v>
      </c>
      <c r="E61" s="154" t="s">
        <v>3</v>
      </c>
    </row>
    <row r="62" spans="1:5" hidden="1">
      <c r="A62">
        <f t="shared" si="0"/>
        <v>60</v>
      </c>
      <c r="B62" t="s">
        <v>545</v>
      </c>
      <c r="C62" t="s">
        <v>609</v>
      </c>
      <c r="D62" s="172" t="s">
        <v>552</v>
      </c>
      <c r="E62" s="154" t="s">
        <v>3</v>
      </c>
    </row>
    <row r="63" spans="1:5" hidden="1">
      <c r="A63">
        <f t="shared" si="0"/>
        <v>61</v>
      </c>
      <c r="B63" t="s">
        <v>545</v>
      </c>
      <c r="C63" t="s">
        <v>610</v>
      </c>
      <c r="D63" s="172" t="s">
        <v>552</v>
      </c>
      <c r="E63" s="154" t="s">
        <v>3</v>
      </c>
    </row>
    <row r="64" spans="1:5" hidden="1">
      <c r="A64">
        <f t="shared" si="0"/>
        <v>62</v>
      </c>
      <c r="B64" t="s">
        <v>545</v>
      </c>
      <c r="C64" t="s">
        <v>611</v>
      </c>
      <c r="D64" s="172" t="s">
        <v>552</v>
      </c>
      <c r="E64" s="154" t="s">
        <v>3</v>
      </c>
    </row>
    <row r="65" spans="1:5" hidden="1">
      <c r="A65">
        <f t="shared" si="0"/>
        <v>63</v>
      </c>
      <c r="B65" t="s">
        <v>545</v>
      </c>
      <c r="C65" t="s">
        <v>612</v>
      </c>
      <c r="D65" s="172" t="s">
        <v>552</v>
      </c>
      <c r="E65" s="154" t="s">
        <v>3</v>
      </c>
    </row>
    <row r="66" spans="1:5" hidden="1">
      <c r="A66">
        <f t="shared" si="0"/>
        <v>64</v>
      </c>
      <c r="B66" t="s">
        <v>545</v>
      </c>
      <c r="C66" t="s">
        <v>613</v>
      </c>
      <c r="D66" s="172" t="s">
        <v>552</v>
      </c>
      <c r="E66" s="154" t="s">
        <v>3</v>
      </c>
    </row>
    <row r="67" spans="1:5" hidden="1">
      <c r="A67">
        <f t="shared" si="0"/>
        <v>65</v>
      </c>
      <c r="B67" t="s">
        <v>545</v>
      </c>
      <c r="C67" t="s">
        <v>614</v>
      </c>
      <c r="D67" s="172" t="s">
        <v>552</v>
      </c>
      <c r="E67" s="154" t="s">
        <v>3</v>
      </c>
    </row>
    <row r="68" spans="1:5" hidden="1">
      <c r="A68">
        <f t="shared" ref="A68:A131" si="1">A67+1</f>
        <v>66</v>
      </c>
      <c r="B68" t="s">
        <v>545</v>
      </c>
      <c r="C68" t="s">
        <v>615</v>
      </c>
      <c r="D68" s="172" t="s">
        <v>552</v>
      </c>
      <c r="E68" s="154" t="s">
        <v>3</v>
      </c>
    </row>
    <row r="69" spans="1:5" hidden="1">
      <c r="A69">
        <f t="shared" si="1"/>
        <v>67</v>
      </c>
      <c r="B69" t="s">
        <v>545</v>
      </c>
      <c r="C69" t="s">
        <v>616</v>
      </c>
      <c r="D69" s="172" t="s">
        <v>552</v>
      </c>
      <c r="E69" s="154" t="s">
        <v>3</v>
      </c>
    </row>
    <row r="70" spans="1:5" hidden="1">
      <c r="A70">
        <f t="shared" si="1"/>
        <v>68</v>
      </c>
      <c r="B70" t="s">
        <v>545</v>
      </c>
      <c r="C70" t="s">
        <v>617</v>
      </c>
      <c r="D70" s="172" t="s">
        <v>552</v>
      </c>
      <c r="E70" s="154" t="s">
        <v>3</v>
      </c>
    </row>
    <row r="71" spans="1:5" hidden="1">
      <c r="A71">
        <f t="shared" si="1"/>
        <v>69</v>
      </c>
      <c r="B71" t="s">
        <v>545</v>
      </c>
      <c r="C71" t="s">
        <v>618</v>
      </c>
      <c r="D71" s="172" t="s">
        <v>552</v>
      </c>
      <c r="E71" s="154" t="s">
        <v>3</v>
      </c>
    </row>
    <row r="72" spans="1:5" hidden="1">
      <c r="A72">
        <f t="shared" si="1"/>
        <v>70</v>
      </c>
      <c r="B72" t="s">
        <v>545</v>
      </c>
      <c r="C72" t="s">
        <v>619</v>
      </c>
      <c r="D72" s="172" t="s">
        <v>552</v>
      </c>
      <c r="E72" s="154" t="s">
        <v>3</v>
      </c>
    </row>
    <row r="73" spans="1:5" hidden="1">
      <c r="A73">
        <f t="shared" si="1"/>
        <v>71</v>
      </c>
      <c r="B73" t="s">
        <v>545</v>
      </c>
      <c r="C73" t="s">
        <v>620</v>
      </c>
      <c r="D73" s="172" t="s">
        <v>552</v>
      </c>
      <c r="E73" s="154" t="s">
        <v>3</v>
      </c>
    </row>
    <row r="74" spans="1:5" hidden="1">
      <c r="A74">
        <f t="shared" si="1"/>
        <v>72</v>
      </c>
      <c r="B74" t="s">
        <v>545</v>
      </c>
      <c r="C74" t="s">
        <v>621</v>
      </c>
      <c r="D74" s="172" t="s">
        <v>552</v>
      </c>
      <c r="E74" s="154" t="s">
        <v>3</v>
      </c>
    </row>
    <row r="75" spans="1:5" hidden="1">
      <c r="A75">
        <f t="shared" si="1"/>
        <v>73</v>
      </c>
      <c r="B75" t="s">
        <v>545</v>
      </c>
      <c r="C75" t="s">
        <v>622</v>
      </c>
      <c r="D75" s="172" t="s">
        <v>552</v>
      </c>
      <c r="E75" s="154" t="s">
        <v>3</v>
      </c>
    </row>
    <row r="76" spans="1:5" hidden="1">
      <c r="A76">
        <f t="shared" si="1"/>
        <v>74</v>
      </c>
      <c r="B76" t="s">
        <v>545</v>
      </c>
      <c r="C76" t="s">
        <v>623</v>
      </c>
      <c r="D76" s="172" t="s">
        <v>552</v>
      </c>
      <c r="E76" s="154" t="s">
        <v>3</v>
      </c>
    </row>
    <row r="77" spans="1:5" hidden="1">
      <c r="A77">
        <f t="shared" si="1"/>
        <v>75</v>
      </c>
      <c r="B77" t="s">
        <v>545</v>
      </c>
      <c r="C77" t="s">
        <v>624</v>
      </c>
      <c r="D77" s="172" t="s">
        <v>552</v>
      </c>
      <c r="E77" s="154" t="s">
        <v>3</v>
      </c>
    </row>
    <row r="78" spans="1:5" hidden="1">
      <c r="A78">
        <f t="shared" si="1"/>
        <v>76</v>
      </c>
      <c r="B78" t="s">
        <v>545</v>
      </c>
      <c r="C78" t="s">
        <v>625</v>
      </c>
      <c r="D78" s="172" t="s">
        <v>552</v>
      </c>
      <c r="E78" s="154" t="s">
        <v>3</v>
      </c>
    </row>
    <row r="79" spans="1:5" hidden="1">
      <c r="A79">
        <f t="shared" si="1"/>
        <v>77</v>
      </c>
      <c r="B79" t="s">
        <v>545</v>
      </c>
      <c r="C79" t="s">
        <v>626</v>
      </c>
      <c r="D79" s="172" t="s">
        <v>552</v>
      </c>
      <c r="E79" s="154" t="s">
        <v>3</v>
      </c>
    </row>
    <row r="80" spans="1:5" hidden="1">
      <c r="A80">
        <f t="shared" si="1"/>
        <v>78</v>
      </c>
      <c r="B80" t="s">
        <v>545</v>
      </c>
      <c r="C80" t="s">
        <v>627</v>
      </c>
      <c r="D80" s="172" t="s">
        <v>552</v>
      </c>
      <c r="E80" s="154" t="s">
        <v>3</v>
      </c>
    </row>
    <row r="81" spans="1:5" hidden="1">
      <c r="A81">
        <f t="shared" si="1"/>
        <v>79</v>
      </c>
      <c r="B81" t="s">
        <v>545</v>
      </c>
      <c r="C81" t="s">
        <v>628</v>
      </c>
      <c r="D81" s="172" t="s">
        <v>552</v>
      </c>
      <c r="E81" s="154" t="s">
        <v>3</v>
      </c>
    </row>
    <row r="82" spans="1:5" hidden="1">
      <c r="A82">
        <f t="shared" si="1"/>
        <v>80</v>
      </c>
      <c r="B82" t="s">
        <v>545</v>
      </c>
      <c r="C82" t="s">
        <v>629</v>
      </c>
      <c r="D82" s="172" t="s">
        <v>552</v>
      </c>
      <c r="E82" s="154" t="s">
        <v>3</v>
      </c>
    </row>
    <row r="83" spans="1:5" hidden="1">
      <c r="A83">
        <f t="shared" si="1"/>
        <v>81</v>
      </c>
      <c r="B83" t="s">
        <v>545</v>
      </c>
      <c r="C83" t="s">
        <v>630</v>
      </c>
      <c r="D83" s="172" t="s">
        <v>552</v>
      </c>
      <c r="E83" s="154" t="s">
        <v>3</v>
      </c>
    </row>
    <row r="84" spans="1:5" hidden="1">
      <c r="A84">
        <f t="shared" si="1"/>
        <v>82</v>
      </c>
      <c r="B84" t="s">
        <v>545</v>
      </c>
      <c r="C84" t="s">
        <v>631</v>
      </c>
      <c r="D84" s="172" t="s">
        <v>552</v>
      </c>
      <c r="E84" s="154" t="s">
        <v>3</v>
      </c>
    </row>
    <row r="85" spans="1:5" hidden="1">
      <c r="A85">
        <f t="shared" si="1"/>
        <v>83</v>
      </c>
      <c r="B85" t="s">
        <v>545</v>
      </c>
      <c r="C85" t="s">
        <v>632</v>
      </c>
      <c r="D85" s="172" t="s">
        <v>552</v>
      </c>
      <c r="E85" s="154" t="s">
        <v>3</v>
      </c>
    </row>
    <row r="86" spans="1:5" hidden="1">
      <c r="A86">
        <f t="shared" si="1"/>
        <v>84</v>
      </c>
      <c r="B86" t="s">
        <v>545</v>
      </c>
      <c r="C86" t="s">
        <v>633</v>
      </c>
      <c r="D86" s="172" t="s">
        <v>552</v>
      </c>
      <c r="E86" s="154" t="s">
        <v>3</v>
      </c>
    </row>
    <row r="87" spans="1:5" hidden="1">
      <c r="A87">
        <f t="shared" si="1"/>
        <v>85</v>
      </c>
      <c r="B87" t="s">
        <v>545</v>
      </c>
      <c r="C87" t="s">
        <v>634</v>
      </c>
      <c r="D87" s="172" t="s">
        <v>552</v>
      </c>
      <c r="E87" s="154" t="s">
        <v>3</v>
      </c>
    </row>
    <row r="88" spans="1:5" hidden="1">
      <c r="A88">
        <f t="shared" si="1"/>
        <v>86</v>
      </c>
      <c r="B88" t="s">
        <v>545</v>
      </c>
      <c r="C88" t="s">
        <v>635</v>
      </c>
      <c r="D88" s="172" t="s">
        <v>552</v>
      </c>
      <c r="E88" s="154" t="s">
        <v>3</v>
      </c>
    </row>
    <row r="89" spans="1:5" hidden="1">
      <c r="A89">
        <f t="shared" si="1"/>
        <v>87</v>
      </c>
      <c r="B89" t="s">
        <v>545</v>
      </c>
      <c r="C89" t="s">
        <v>636</v>
      </c>
      <c r="D89" s="172" t="s">
        <v>552</v>
      </c>
      <c r="E89" s="154" t="s">
        <v>3</v>
      </c>
    </row>
    <row r="90" spans="1:5" hidden="1">
      <c r="A90">
        <f t="shared" si="1"/>
        <v>88</v>
      </c>
      <c r="B90" t="s">
        <v>545</v>
      </c>
      <c r="C90" t="s">
        <v>637</v>
      </c>
      <c r="D90" s="172" t="s">
        <v>552</v>
      </c>
      <c r="E90" s="154" t="s">
        <v>3</v>
      </c>
    </row>
    <row r="91" spans="1:5" hidden="1">
      <c r="A91">
        <f t="shared" si="1"/>
        <v>89</v>
      </c>
      <c r="B91" t="s">
        <v>545</v>
      </c>
      <c r="C91" t="s">
        <v>638</v>
      </c>
      <c r="D91" s="172" t="s">
        <v>552</v>
      </c>
      <c r="E91" s="154" t="s">
        <v>3</v>
      </c>
    </row>
    <row r="92" spans="1:5" hidden="1">
      <c r="A92">
        <f t="shared" si="1"/>
        <v>90</v>
      </c>
      <c r="B92" t="s">
        <v>545</v>
      </c>
      <c r="C92" t="s">
        <v>639</v>
      </c>
      <c r="D92" s="172" t="s">
        <v>552</v>
      </c>
      <c r="E92" s="154" t="s">
        <v>3</v>
      </c>
    </row>
    <row r="93" spans="1:5" hidden="1">
      <c r="A93">
        <f t="shared" si="1"/>
        <v>91</v>
      </c>
      <c r="B93" t="s">
        <v>545</v>
      </c>
      <c r="C93" t="s">
        <v>640</v>
      </c>
      <c r="D93" s="172" t="s">
        <v>552</v>
      </c>
      <c r="E93" s="154" t="s">
        <v>3</v>
      </c>
    </row>
    <row r="94" spans="1:5" hidden="1">
      <c r="A94">
        <f t="shared" si="1"/>
        <v>92</v>
      </c>
      <c r="B94" t="s">
        <v>545</v>
      </c>
      <c r="C94" t="s">
        <v>641</v>
      </c>
      <c r="D94" s="172" t="s">
        <v>552</v>
      </c>
      <c r="E94" s="154" t="s">
        <v>3</v>
      </c>
    </row>
    <row r="95" spans="1:5" hidden="1">
      <c r="A95">
        <f t="shared" si="1"/>
        <v>93</v>
      </c>
      <c r="B95" t="s">
        <v>545</v>
      </c>
      <c r="C95" t="s">
        <v>642</v>
      </c>
      <c r="D95" s="172" t="s">
        <v>552</v>
      </c>
      <c r="E95" s="154" t="s">
        <v>3</v>
      </c>
    </row>
    <row r="96" spans="1:5" hidden="1">
      <c r="A96">
        <f t="shared" si="1"/>
        <v>94</v>
      </c>
      <c r="B96" t="s">
        <v>545</v>
      </c>
      <c r="C96" t="s">
        <v>643</v>
      </c>
      <c r="D96" s="172" t="s">
        <v>552</v>
      </c>
      <c r="E96" s="154" t="s">
        <v>3</v>
      </c>
    </row>
    <row r="97" spans="1:5" hidden="1">
      <c r="A97">
        <f t="shared" si="1"/>
        <v>95</v>
      </c>
      <c r="B97" t="s">
        <v>545</v>
      </c>
      <c r="C97" t="s">
        <v>644</v>
      </c>
      <c r="D97" s="172" t="s">
        <v>552</v>
      </c>
      <c r="E97" s="154" t="s">
        <v>3</v>
      </c>
    </row>
    <row r="98" spans="1:5" hidden="1">
      <c r="A98">
        <f t="shared" si="1"/>
        <v>96</v>
      </c>
      <c r="B98" t="s">
        <v>545</v>
      </c>
      <c r="C98" t="s">
        <v>645</v>
      </c>
      <c r="D98" s="172" t="s">
        <v>552</v>
      </c>
      <c r="E98" s="154" t="s">
        <v>3</v>
      </c>
    </row>
    <row r="99" spans="1:5" hidden="1">
      <c r="A99">
        <f t="shared" si="1"/>
        <v>97</v>
      </c>
      <c r="B99" t="s">
        <v>545</v>
      </c>
      <c r="C99" t="s">
        <v>646</v>
      </c>
      <c r="D99" s="172" t="s">
        <v>552</v>
      </c>
      <c r="E99" s="154" t="s">
        <v>3</v>
      </c>
    </row>
    <row r="100" spans="1:5" hidden="1">
      <c r="A100">
        <f t="shared" si="1"/>
        <v>98</v>
      </c>
      <c r="B100" t="s">
        <v>545</v>
      </c>
      <c r="C100" t="s">
        <v>647</v>
      </c>
      <c r="D100" s="172" t="s">
        <v>552</v>
      </c>
      <c r="E100" s="154" t="s">
        <v>3</v>
      </c>
    </row>
    <row r="101" spans="1:5" hidden="1">
      <c r="A101">
        <f t="shared" si="1"/>
        <v>99</v>
      </c>
      <c r="B101" t="s">
        <v>545</v>
      </c>
      <c r="C101" t="s">
        <v>648</v>
      </c>
      <c r="D101" s="172" t="s">
        <v>552</v>
      </c>
      <c r="E101" s="154" t="s">
        <v>3</v>
      </c>
    </row>
    <row r="102" spans="1:5" hidden="1">
      <c r="A102">
        <f t="shared" si="1"/>
        <v>100</v>
      </c>
      <c r="B102" t="s">
        <v>545</v>
      </c>
      <c r="C102" t="s">
        <v>649</v>
      </c>
      <c r="D102" s="172" t="s">
        <v>552</v>
      </c>
      <c r="E102" s="154" t="s">
        <v>3</v>
      </c>
    </row>
    <row r="103" spans="1:5" hidden="1">
      <c r="A103">
        <f t="shared" si="1"/>
        <v>101</v>
      </c>
      <c r="B103" t="s">
        <v>545</v>
      </c>
      <c r="C103" t="s">
        <v>650</v>
      </c>
      <c r="D103" s="172" t="s">
        <v>552</v>
      </c>
      <c r="E103" s="154" t="s">
        <v>3</v>
      </c>
    </row>
    <row r="104" spans="1:5" hidden="1">
      <c r="A104">
        <f t="shared" si="1"/>
        <v>102</v>
      </c>
      <c r="B104" t="s">
        <v>545</v>
      </c>
      <c r="C104" t="s">
        <v>651</v>
      </c>
      <c r="D104" s="172" t="s">
        <v>552</v>
      </c>
      <c r="E104" s="154" t="s">
        <v>3</v>
      </c>
    </row>
    <row r="105" spans="1:5" hidden="1">
      <c r="A105">
        <f t="shared" si="1"/>
        <v>103</v>
      </c>
      <c r="B105" t="s">
        <v>545</v>
      </c>
      <c r="C105" t="s">
        <v>652</v>
      </c>
      <c r="D105" s="172" t="s">
        <v>552</v>
      </c>
      <c r="E105" s="154" t="s">
        <v>3</v>
      </c>
    </row>
    <row r="106" spans="1:5" hidden="1">
      <c r="A106">
        <f t="shared" si="1"/>
        <v>104</v>
      </c>
      <c r="B106" t="s">
        <v>545</v>
      </c>
      <c r="C106" t="s">
        <v>653</v>
      </c>
      <c r="D106" s="172" t="s">
        <v>552</v>
      </c>
      <c r="E106" s="154" t="s">
        <v>3</v>
      </c>
    </row>
    <row r="107" spans="1:5" hidden="1">
      <c r="A107">
        <f t="shared" si="1"/>
        <v>105</v>
      </c>
      <c r="B107" t="s">
        <v>545</v>
      </c>
      <c r="C107" t="s">
        <v>654</v>
      </c>
      <c r="D107" s="172" t="s">
        <v>655</v>
      </c>
      <c r="E107" s="154" t="s">
        <v>3</v>
      </c>
    </row>
    <row r="108" spans="1:5" hidden="1">
      <c r="A108">
        <f t="shared" si="1"/>
        <v>106</v>
      </c>
      <c r="B108" t="s">
        <v>656</v>
      </c>
      <c r="C108" t="s">
        <v>657</v>
      </c>
      <c r="D108" s="172" t="s">
        <v>658</v>
      </c>
      <c r="E108" s="154" t="s">
        <v>3</v>
      </c>
    </row>
    <row r="109" spans="1:5" hidden="1">
      <c r="A109">
        <f t="shared" si="1"/>
        <v>107</v>
      </c>
      <c r="B109" t="s">
        <v>656</v>
      </c>
      <c r="C109" t="s">
        <v>659</v>
      </c>
      <c r="D109" s="172" t="s">
        <v>658</v>
      </c>
      <c r="E109" s="154" t="s">
        <v>3</v>
      </c>
    </row>
    <row r="110" spans="1:5" hidden="1">
      <c r="A110">
        <f t="shared" si="1"/>
        <v>108</v>
      </c>
      <c r="B110" t="s">
        <v>656</v>
      </c>
      <c r="C110" t="s">
        <v>660</v>
      </c>
      <c r="D110" s="172" t="s">
        <v>658</v>
      </c>
      <c r="E110" s="154" t="s">
        <v>3</v>
      </c>
    </row>
    <row r="111" spans="1:5" hidden="1">
      <c r="A111">
        <f t="shared" si="1"/>
        <v>109</v>
      </c>
      <c r="B111" t="s">
        <v>656</v>
      </c>
      <c r="C111" t="s">
        <v>661</v>
      </c>
      <c r="D111" s="172" t="s">
        <v>658</v>
      </c>
      <c r="E111" s="154" t="s">
        <v>3</v>
      </c>
    </row>
    <row r="112" spans="1:5" hidden="1">
      <c r="A112">
        <f t="shared" si="1"/>
        <v>110</v>
      </c>
      <c r="B112" t="s">
        <v>656</v>
      </c>
      <c r="C112" t="s">
        <v>662</v>
      </c>
      <c r="D112" s="172" t="s">
        <v>658</v>
      </c>
      <c r="E112" s="154" t="s">
        <v>3</v>
      </c>
    </row>
    <row r="113" spans="1:5" hidden="1">
      <c r="A113">
        <f t="shared" si="1"/>
        <v>111</v>
      </c>
      <c r="B113" t="s">
        <v>656</v>
      </c>
      <c r="C113" t="s">
        <v>663</v>
      </c>
      <c r="D113" s="172" t="s">
        <v>658</v>
      </c>
      <c r="E113" s="154" t="s">
        <v>3</v>
      </c>
    </row>
    <row r="114" spans="1:5" hidden="1">
      <c r="A114">
        <f t="shared" si="1"/>
        <v>112</v>
      </c>
      <c r="B114" t="s">
        <v>656</v>
      </c>
      <c r="C114" t="s">
        <v>664</v>
      </c>
      <c r="D114" s="172" t="s">
        <v>658</v>
      </c>
      <c r="E114" s="154" t="s">
        <v>3</v>
      </c>
    </row>
    <row r="115" spans="1:5" hidden="1">
      <c r="A115">
        <f t="shared" si="1"/>
        <v>113</v>
      </c>
      <c r="B115" t="s">
        <v>656</v>
      </c>
      <c r="C115" t="s">
        <v>665</v>
      </c>
      <c r="D115" s="172" t="s">
        <v>666</v>
      </c>
      <c r="E115" s="154" t="s">
        <v>3</v>
      </c>
    </row>
    <row r="116" spans="1:5" hidden="1">
      <c r="A116">
        <f t="shared" si="1"/>
        <v>114</v>
      </c>
      <c r="B116" t="s">
        <v>656</v>
      </c>
      <c r="C116" t="s">
        <v>667</v>
      </c>
      <c r="D116" s="172" t="s">
        <v>668</v>
      </c>
      <c r="E116" s="154" t="s">
        <v>3</v>
      </c>
    </row>
    <row r="117" spans="1:5" hidden="1">
      <c r="A117">
        <f t="shared" si="1"/>
        <v>115</v>
      </c>
      <c r="B117" t="s">
        <v>656</v>
      </c>
      <c r="C117" t="s">
        <v>669</v>
      </c>
      <c r="D117" s="172" t="s">
        <v>668</v>
      </c>
      <c r="E117" s="154" t="s">
        <v>3</v>
      </c>
    </row>
    <row r="118" spans="1:5" hidden="1">
      <c r="A118">
        <f t="shared" si="1"/>
        <v>116</v>
      </c>
      <c r="B118" t="s">
        <v>656</v>
      </c>
      <c r="C118" t="s">
        <v>670</v>
      </c>
      <c r="D118" s="172" t="s">
        <v>668</v>
      </c>
      <c r="E118" s="154" t="s">
        <v>3</v>
      </c>
    </row>
    <row r="119" spans="1:5" hidden="1">
      <c r="A119">
        <f t="shared" si="1"/>
        <v>117</v>
      </c>
      <c r="B119" t="s">
        <v>656</v>
      </c>
      <c r="C119" t="s">
        <v>671</v>
      </c>
      <c r="D119" s="172" t="s">
        <v>668</v>
      </c>
      <c r="E119" s="154" t="s">
        <v>3</v>
      </c>
    </row>
    <row r="120" spans="1:5" hidden="1">
      <c r="A120">
        <f t="shared" si="1"/>
        <v>118</v>
      </c>
      <c r="B120" t="s">
        <v>656</v>
      </c>
      <c r="C120" t="s">
        <v>672</v>
      </c>
      <c r="D120" s="172" t="s">
        <v>668</v>
      </c>
      <c r="E120" s="154" t="s">
        <v>3</v>
      </c>
    </row>
    <row r="121" spans="1:5" hidden="1">
      <c r="A121">
        <f t="shared" si="1"/>
        <v>119</v>
      </c>
      <c r="B121" t="s">
        <v>656</v>
      </c>
      <c r="C121" t="s">
        <v>673</v>
      </c>
      <c r="D121" s="172" t="s">
        <v>668</v>
      </c>
      <c r="E121" s="154" t="s">
        <v>3</v>
      </c>
    </row>
    <row r="122" spans="1:5" hidden="1">
      <c r="A122">
        <f t="shared" si="1"/>
        <v>120</v>
      </c>
      <c r="B122" t="s">
        <v>656</v>
      </c>
      <c r="C122" t="s">
        <v>674</v>
      </c>
      <c r="D122" s="172" t="s">
        <v>675</v>
      </c>
      <c r="E122" s="154" t="s">
        <v>3</v>
      </c>
    </row>
    <row r="123" spans="1:5" hidden="1">
      <c r="A123">
        <f t="shared" si="1"/>
        <v>121</v>
      </c>
      <c r="B123" t="s">
        <v>656</v>
      </c>
      <c r="C123" t="s">
        <v>676</v>
      </c>
      <c r="D123" s="172" t="s">
        <v>675</v>
      </c>
      <c r="E123" s="154" t="s">
        <v>3</v>
      </c>
    </row>
    <row r="124" spans="1:5" hidden="1">
      <c r="A124">
        <f t="shared" si="1"/>
        <v>122</v>
      </c>
      <c r="B124" t="s">
        <v>656</v>
      </c>
      <c r="C124" t="s">
        <v>677</v>
      </c>
      <c r="D124" s="172" t="s">
        <v>675</v>
      </c>
      <c r="E124" s="154" t="s">
        <v>3</v>
      </c>
    </row>
    <row r="125" spans="1:5" hidden="1">
      <c r="A125">
        <f t="shared" si="1"/>
        <v>123</v>
      </c>
      <c r="B125" t="s">
        <v>656</v>
      </c>
      <c r="C125" t="s">
        <v>678</v>
      </c>
      <c r="D125" s="172" t="s">
        <v>675</v>
      </c>
      <c r="E125" s="154" t="s">
        <v>3</v>
      </c>
    </row>
    <row r="126" spans="1:5" hidden="1">
      <c r="A126">
        <f t="shared" si="1"/>
        <v>124</v>
      </c>
      <c r="B126" t="s">
        <v>656</v>
      </c>
      <c r="C126" t="s">
        <v>679</v>
      </c>
      <c r="D126" s="172" t="s">
        <v>675</v>
      </c>
      <c r="E126" s="154" t="s">
        <v>3</v>
      </c>
    </row>
    <row r="127" spans="1:5" hidden="1">
      <c r="A127">
        <f t="shared" si="1"/>
        <v>125</v>
      </c>
      <c r="B127" t="s">
        <v>656</v>
      </c>
      <c r="C127" t="s">
        <v>680</v>
      </c>
      <c r="D127" s="172" t="s">
        <v>675</v>
      </c>
      <c r="E127" s="154" t="s">
        <v>3</v>
      </c>
    </row>
    <row r="128" spans="1:5" hidden="1">
      <c r="A128">
        <f t="shared" si="1"/>
        <v>126</v>
      </c>
      <c r="B128" t="s">
        <v>656</v>
      </c>
      <c r="C128" t="s">
        <v>681</v>
      </c>
      <c r="D128" s="172" t="s">
        <v>675</v>
      </c>
      <c r="E128" s="154" t="s">
        <v>3</v>
      </c>
    </row>
    <row r="129" spans="1:5" hidden="1">
      <c r="A129">
        <f t="shared" si="1"/>
        <v>127</v>
      </c>
      <c r="B129" t="s">
        <v>656</v>
      </c>
      <c r="C129" t="s">
        <v>682</v>
      </c>
      <c r="D129" s="172" t="s">
        <v>675</v>
      </c>
      <c r="E129" s="154" t="s">
        <v>3</v>
      </c>
    </row>
    <row r="130" spans="1:5" hidden="1">
      <c r="A130">
        <f t="shared" si="1"/>
        <v>128</v>
      </c>
      <c r="B130" t="s">
        <v>656</v>
      </c>
      <c r="C130" t="s">
        <v>683</v>
      </c>
      <c r="D130" s="172" t="s">
        <v>675</v>
      </c>
      <c r="E130" s="154" t="s">
        <v>3</v>
      </c>
    </row>
    <row r="131" spans="1:5" hidden="1">
      <c r="A131">
        <f t="shared" si="1"/>
        <v>129</v>
      </c>
      <c r="B131" t="s">
        <v>656</v>
      </c>
      <c r="C131" t="s">
        <v>684</v>
      </c>
      <c r="D131" s="172" t="s">
        <v>675</v>
      </c>
      <c r="E131" s="154" t="s">
        <v>3</v>
      </c>
    </row>
    <row r="132" spans="1:5" hidden="1">
      <c r="A132">
        <f t="shared" ref="A132:A195" si="2">A131+1</f>
        <v>130</v>
      </c>
      <c r="B132" t="s">
        <v>656</v>
      </c>
      <c r="C132" t="s">
        <v>685</v>
      </c>
      <c r="D132" s="172" t="s">
        <v>675</v>
      </c>
      <c r="E132" s="154" t="s">
        <v>3</v>
      </c>
    </row>
    <row r="133" spans="1:5" hidden="1">
      <c r="A133">
        <f t="shared" si="2"/>
        <v>131</v>
      </c>
      <c r="B133" t="s">
        <v>656</v>
      </c>
      <c r="C133" t="s">
        <v>686</v>
      </c>
      <c r="D133" s="172" t="s">
        <v>675</v>
      </c>
      <c r="E133" s="154" t="s">
        <v>3</v>
      </c>
    </row>
    <row r="134" spans="1:5" hidden="1">
      <c r="A134">
        <f t="shared" si="2"/>
        <v>132</v>
      </c>
      <c r="B134" t="s">
        <v>656</v>
      </c>
      <c r="C134" t="s">
        <v>687</v>
      </c>
      <c r="D134" s="172" t="s">
        <v>675</v>
      </c>
      <c r="E134" s="154" t="s">
        <v>3</v>
      </c>
    </row>
    <row r="135" spans="1:5" hidden="1">
      <c r="A135">
        <f t="shared" si="2"/>
        <v>133</v>
      </c>
      <c r="B135" t="s">
        <v>656</v>
      </c>
      <c r="C135" t="s">
        <v>688</v>
      </c>
      <c r="D135" s="172" t="s">
        <v>675</v>
      </c>
      <c r="E135" s="154" t="s">
        <v>3</v>
      </c>
    </row>
    <row r="136" spans="1:5" hidden="1">
      <c r="A136">
        <f t="shared" si="2"/>
        <v>134</v>
      </c>
      <c r="B136" t="s">
        <v>656</v>
      </c>
      <c r="C136" t="s">
        <v>689</v>
      </c>
      <c r="D136" s="172" t="s">
        <v>675</v>
      </c>
      <c r="E136" s="154" t="s">
        <v>3</v>
      </c>
    </row>
    <row r="137" spans="1:5" hidden="1">
      <c r="A137">
        <f t="shared" si="2"/>
        <v>135</v>
      </c>
      <c r="B137" t="s">
        <v>656</v>
      </c>
      <c r="C137" s="173" t="s">
        <v>690</v>
      </c>
      <c r="D137" s="172" t="s">
        <v>675</v>
      </c>
      <c r="E137" s="154" t="s">
        <v>3</v>
      </c>
    </row>
    <row r="138" spans="1:5" hidden="1">
      <c r="A138">
        <f t="shared" si="2"/>
        <v>136</v>
      </c>
      <c r="B138" t="s">
        <v>656</v>
      </c>
      <c r="C138" t="s">
        <v>691</v>
      </c>
      <c r="D138" s="172" t="s">
        <v>675</v>
      </c>
      <c r="E138" s="154" t="s">
        <v>3</v>
      </c>
    </row>
    <row r="139" spans="1:5" hidden="1">
      <c r="A139">
        <f t="shared" si="2"/>
        <v>137</v>
      </c>
      <c r="B139" t="s">
        <v>656</v>
      </c>
      <c r="C139" s="173" t="s">
        <v>692</v>
      </c>
      <c r="D139" s="172" t="s">
        <v>675</v>
      </c>
      <c r="E139" s="154" t="s">
        <v>3</v>
      </c>
    </row>
    <row r="140" spans="1:5" hidden="1">
      <c r="A140">
        <f t="shared" si="2"/>
        <v>138</v>
      </c>
      <c r="B140" t="s">
        <v>656</v>
      </c>
      <c r="C140" t="s">
        <v>693</v>
      </c>
      <c r="D140" s="172" t="s">
        <v>675</v>
      </c>
      <c r="E140" s="154" t="s">
        <v>3</v>
      </c>
    </row>
    <row r="141" spans="1:5" hidden="1">
      <c r="A141">
        <f t="shared" si="2"/>
        <v>139</v>
      </c>
      <c r="B141" t="s">
        <v>656</v>
      </c>
      <c r="C141" t="s">
        <v>694</v>
      </c>
      <c r="D141" s="172" t="s">
        <v>675</v>
      </c>
      <c r="E141" s="154" t="s">
        <v>3</v>
      </c>
    </row>
    <row r="142" spans="1:5" hidden="1">
      <c r="A142">
        <f t="shared" si="2"/>
        <v>140</v>
      </c>
      <c r="B142" t="s">
        <v>656</v>
      </c>
      <c r="C142" t="s">
        <v>695</v>
      </c>
      <c r="D142" s="172" t="s">
        <v>675</v>
      </c>
      <c r="E142" s="154" t="s">
        <v>3</v>
      </c>
    </row>
    <row r="143" spans="1:5" hidden="1">
      <c r="A143">
        <f t="shared" si="2"/>
        <v>141</v>
      </c>
      <c r="B143" t="s">
        <v>656</v>
      </c>
      <c r="C143" t="s">
        <v>696</v>
      </c>
      <c r="D143" s="172" t="s">
        <v>675</v>
      </c>
      <c r="E143" s="154" t="s">
        <v>3</v>
      </c>
    </row>
    <row r="144" spans="1:5" hidden="1">
      <c r="A144">
        <f t="shared" si="2"/>
        <v>142</v>
      </c>
      <c r="B144" t="s">
        <v>656</v>
      </c>
      <c r="C144" t="s">
        <v>697</v>
      </c>
      <c r="D144" s="172" t="s">
        <v>675</v>
      </c>
      <c r="E144" s="154" t="s">
        <v>3</v>
      </c>
    </row>
    <row r="145" spans="1:5" hidden="1">
      <c r="A145">
        <f t="shared" si="2"/>
        <v>143</v>
      </c>
      <c r="B145" t="s">
        <v>656</v>
      </c>
      <c r="C145" t="s">
        <v>698</v>
      </c>
      <c r="D145" s="172" t="s">
        <v>675</v>
      </c>
      <c r="E145" s="154" t="s">
        <v>3</v>
      </c>
    </row>
    <row r="146" spans="1:5" hidden="1">
      <c r="A146">
        <f t="shared" si="2"/>
        <v>144</v>
      </c>
      <c r="B146" t="s">
        <v>656</v>
      </c>
      <c r="C146" t="s">
        <v>699</v>
      </c>
      <c r="D146" s="172" t="s">
        <v>675</v>
      </c>
      <c r="E146" s="154" t="s">
        <v>3</v>
      </c>
    </row>
    <row r="147" spans="1:5" hidden="1">
      <c r="A147">
        <f t="shared" si="2"/>
        <v>145</v>
      </c>
      <c r="B147" t="s">
        <v>656</v>
      </c>
      <c r="C147" t="s">
        <v>700</v>
      </c>
      <c r="D147" s="172" t="s">
        <v>675</v>
      </c>
      <c r="E147" s="154" t="s">
        <v>3</v>
      </c>
    </row>
    <row r="148" spans="1:5" hidden="1">
      <c r="A148">
        <f t="shared" si="2"/>
        <v>146</v>
      </c>
      <c r="B148" t="s">
        <v>656</v>
      </c>
      <c r="C148" t="s">
        <v>701</v>
      </c>
      <c r="D148" s="172" t="s">
        <v>675</v>
      </c>
      <c r="E148" s="154" t="s">
        <v>3</v>
      </c>
    </row>
    <row r="149" spans="1:5" hidden="1">
      <c r="A149">
        <f t="shared" si="2"/>
        <v>147</v>
      </c>
      <c r="B149" t="s">
        <v>656</v>
      </c>
      <c r="C149" t="s">
        <v>702</v>
      </c>
      <c r="D149" s="172" t="s">
        <v>675</v>
      </c>
      <c r="E149" s="154" t="s">
        <v>3</v>
      </c>
    </row>
    <row r="150" spans="1:5" hidden="1">
      <c r="A150">
        <f t="shared" si="2"/>
        <v>148</v>
      </c>
      <c r="B150" t="s">
        <v>656</v>
      </c>
      <c r="C150" t="s">
        <v>703</v>
      </c>
      <c r="D150" s="172" t="s">
        <v>675</v>
      </c>
      <c r="E150" s="154" t="s">
        <v>3</v>
      </c>
    </row>
    <row r="151" spans="1:5" hidden="1">
      <c r="A151">
        <f t="shared" si="2"/>
        <v>149</v>
      </c>
      <c r="B151" t="s">
        <v>656</v>
      </c>
      <c r="C151" t="s">
        <v>704</v>
      </c>
      <c r="D151" s="172" t="s">
        <v>675</v>
      </c>
      <c r="E151" s="154" t="s">
        <v>3</v>
      </c>
    </row>
    <row r="152" spans="1:5" hidden="1">
      <c r="A152">
        <f t="shared" si="2"/>
        <v>150</v>
      </c>
      <c r="B152" t="s">
        <v>656</v>
      </c>
      <c r="C152" t="s">
        <v>705</v>
      </c>
      <c r="D152" s="172" t="s">
        <v>675</v>
      </c>
      <c r="E152" s="154" t="s">
        <v>3</v>
      </c>
    </row>
    <row r="153" spans="1:5" hidden="1">
      <c r="A153">
        <f t="shared" si="2"/>
        <v>151</v>
      </c>
      <c r="B153" t="s">
        <v>656</v>
      </c>
      <c r="C153" t="s">
        <v>706</v>
      </c>
      <c r="D153" s="172" t="s">
        <v>707</v>
      </c>
      <c r="E153" s="154" t="s">
        <v>3</v>
      </c>
    </row>
    <row r="154" spans="1:5">
      <c r="A154">
        <f t="shared" si="2"/>
        <v>152</v>
      </c>
      <c r="B154" t="s">
        <v>708</v>
      </c>
      <c r="C154" s="173" t="s">
        <v>709</v>
      </c>
      <c r="D154" s="172" t="s">
        <v>710</v>
      </c>
      <c r="E154" s="154" t="s">
        <v>3</v>
      </c>
    </row>
    <row r="155" spans="1:5">
      <c r="A155">
        <f t="shared" si="2"/>
        <v>153</v>
      </c>
      <c r="B155" t="s">
        <v>708</v>
      </c>
      <c r="C155" s="173" t="s">
        <v>1536</v>
      </c>
      <c r="D155" s="172" t="s">
        <v>711</v>
      </c>
      <c r="E155" s="154" t="s">
        <v>712</v>
      </c>
    </row>
    <row r="156" spans="1:5">
      <c r="A156">
        <f t="shared" si="2"/>
        <v>154</v>
      </c>
      <c r="B156" t="s">
        <v>708</v>
      </c>
      <c r="C156" s="173" t="s">
        <v>713</v>
      </c>
      <c r="D156" s="172" t="s">
        <v>714</v>
      </c>
      <c r="E156" s="154" t="s">
        <v>712</v>
      </c>
    </row>
    <row r="157" spans="1:5">
      <c r="A157">
        <f t="shared" si="2"/>
        <v>155</v>
      </c>
      <c r="B157" t="s">
        <v>708</v>
      </c>
      <c r="C157" s="173" t="s">
        <v>715</v>
      </c>
      <c r="D157" s="172" t="s">
        <v>716</v>
      </c>
      <c r="E157" s="154" t="s">
        <v>3</v>
      </c>
    </row>
    <row r="158" spans="1:5">
      <c r="A158">
        <f t="shared" si="2"/>
        <v>156</v>
      </c>
      <c r="B158" t="s">
        <v>708</v>
      </c>
      <c r="C158" s="173" t="s">
        <v>717</v>
      </c>
      <c r="D158" s="172" t="s">
        <v>718</v>
      </c>
      <c r="E158" s="154" t="s">
        <v>3</v>
      </c>
    </row>
    <row r="159" spans="1:5">
      <c r="A159">
        <f t="shared" si="2"/>
        <v>157</v>
      </c>
      <c r="B159" t="s">
        <v>708</v>
      </c>
      <c r="C159" s="173" t="s">
        <v>719</v>
      </c>
      <c r="D159" s="172" t="s">
        <v>720</v>
      </c>
      <c r="E159" s="154" t="s">
        <v>3</v>
      </c>
    </row>
    <row r="160" spans="1:5">
      <c r="A160">
        <f t="shared" si="2"/>
        <v>158</v>
      </c>
      <c r="B160" t="s">
        <v>708</v>
      </c>
      <c r="C160" s="173" t="s">
        <v>721</v>
      </c>
      <c r="D160" s="172" t="s">
        <v>722</v>
      </c>
      <c r="E160" s="154" t="s">
        <v>3</v>
      </c>
    </row>
    <row r="161" spans="1:5">
      <c r="A161">
        <f t="shared" si="2"/>
        <v>159</v>
      </c>
      <c r="B161" t="s">
        <v>708</v>
      </c>
      <c r="C161" s="173" t="s">
        <v>723</v>
      </c>
      <c r="D161" s="172" t="s">
        <v>724</v>
      </c>
      <c r="E161" s="154" t="s">
        <v>3</v>
      </c>
    </row>
    <row r="162" spans="1:5">
      <c r="A162">
        <f t="shared" si="2"/>
        <v>160</v>
      </c>
      <c r="B162" t="s">
        <v>708</v>
      </c>
      <c r="C162" s="173" t="s">
        <v>725</v>
      </c>
      <c r="D162" s="172" t="s">
        <v>726</v>
      </c>
      <c r="E162" s="154" t="s">
        <v>3</v>
      </c>
    </row>
    <row r="163" spans="1:5">
      <c r="A163">
        <f t="shared" si="2"/>
        <v>161</v>
      </c>
      <c r="B163" t="s">
        <v>708</v>
      </c>
      <c r="C163" s="173" t="s">
        <v>727</v>
      </c>
      <c r="D163" s="172" t="s">
        <v>728</v>
      </c>
      <c r="E163" s="154" t="s">
        <v>3</v>
      </c>
    </row>
    <row r="164" spans="1:5">
      <c r="A164">
        <f t="shared" si="2"/>
        <v>162</v>
      </c>
      <c r="B164" t="s">
        <v>708</v>
      </c>
      <c r="C164" s="173" t="s">
        <v>729</v>
      </c>
      <c r="D164" s="172" t="s">
        <v>730</v>
      </c>
      <c r="E164" s="154" t="s">
        <v>3</v>
      </c>
    </row>
    <row r="165" spans="1:5">
      <c r="A165">
        <f t="shared" si="2"/>
        <v>163</v>
      </c>
      <c r="B165" t="s">
        <v>708</v>
      </c>
      <c r="C165" s="173" t="s">
        <v>731</v>
      </c>
      <c r="D165" s="172" t="s">
        <v>732</v>
      </c>
      <c r="E165" s="154" t="s">
        <v>712</v>
      </c>
    </row>
    <row r="166" spans="1:5">
      <c r="A166">
        <f t="shared" si="2"/>
        <v>164</v>
      </c>
      <c r="B166" t="s">
        <v>708</v>
      </c>
      <c r="C166" s="173" t="s">
        <v>733</v>
      </c>
      <c r="D166" s="172" t="s">
        <v>734</v>
      </c>
      <c r="E166" s="154" t="s">
        <v>712</v>
      </c>
    </row>
    <row r="167" spans="1:5">
      <c r="A167">
        <f t="shared" si="2"/>
        <v>165</v>
      </c>
      <c r="B167" t="s">
        <v>708</v>
      </c>
      <c r="C167" s="173" t="s">
        <v>735</v>
      </c>
      <c r="D167" s="172" t="s">
        <v>736</v>
      </c>
      <c r="E167" s="154" t="s">
        <v>3</v>
      </c>
    </row>
    <row r="168" spans="1:5">
      <c r="A168">
        <f t="shared" si="2"/>
        <v>166</v>
      </c>
      <c r="B168" t="s">
        <v>708</v>
      </c>
      <c r="C168" s="173" t="s">
        <v>737</v>
      </c>
      <c r="D168" s="172" t="s">
        <v>738</v>
      </c>
      <c r="E168" s="154" t="s">
        <v>3</v>
      </c>
    </row>
    <row r="169" spans="1:5">
      <c r="A169">
        <f t="shared" si="2"/>
        <v>167</v>
      </c>
      <c r="B169" t="s">
        <v>708</v>
      </c>
      <c r="C169" s="173" t="s">
        <v>739</v>
      </c>
      <c r="D169" s="172" t="s">
        <v>740</v>
      </c>
      <c r="E169" s="154" t="s">
        <v>3</v>
      </c>
    </row>
    <row r="170" spans="1:5">
      <c r="A170">
        <f t="shared" si="2"/>
        <v>168</v>
      </c>
      <c r="B170" t="s">
        <v>708</v>
      </c>
      <c r="C170" s="173" t="s">
        <v>741</v>
      </c>
      <c r="D170" s="172" t="s">
        <v>742</v>
      </c>
      <c r="E170" s="154" t="s">
        <v>3</v>
      </c>
    </row>
    <row r="171" spans="1:5">
      <c r="A171">
        <f t="shared" si="2"/>
        <v>169</v>
      </c>
      <c r="B171" t="s">
        <v>708</v>
      </c>
      <c r="C171" s="173" t="s">
        <v>743</v>
      </c>
      <c r="D171" s="172" t="s">
        <v>744</v>
      </c>
      <c r="E171" s="154" t="s">
        <v>3</v>
      </c>
    </row>
    <row r="172" spans="1:5">
      <c r="A172">
        <f t="shared" si="2"/>
        <v>170</v>
      </c>
      <c r="B172" t="s">
        <v>708</v>
      </c>
      <c r="C172" s="173" t="s">
        <v>745</v>
      </c>
      <c r="D172" s="172" t="s">
        <v>746</v>
      </c>
      <c r="E172" s="154" t="s">
        <v>712</v>
      </c>
    </row>
    <row r="173" spans="1:5">
      <c r="A173">
        <f t="shared" si="2"/>
        <v>171</v>
      </c>
      <c r="B173" t="s">
        <v>708</v>
      </c>
      <c r="C173" s="173" t="s">
        <v>747</v>
      </c>
      <c r="D173" s="172" t="s">
        <v>748</v>
      </c>
      <c r="E173" s="154" t="s">
        <v>712</v>
      </c>
    </row>
    <row r="174" spans="1:5">
      <c r="A174">
        <f t="shared" si="2"/>
        <v>172</v>
      </c>
      <c r="B174" t="s">
        <v>708</v>
      </c>
      <c r="C174" s="173" t="s">
        <v>749</v>
      </c>
      <c r="D174" s="172" t="s">
        <v>750</v>
      </c>
      <c r="E174" s="154" t="s">
        <v>3</v>
      </c>
    </row>
    <row r="175" spans="1:5" hidden="1">
      <c r="A175">
        <f t="shared" si="2"/>
        <v>173</v>
      </c>
      <c r="B175" t="s">
        <v>751</v>
      </c>
      <c r="C175" s="173" t="s">
        <v>752</v>
      </c>
      <c r="D175" s="172" t="s">
        <v>751</v>
      </c>
      <c r="E175" s="154" t="s">
        <v>3</v>
      </c>
    </row>
    <row r="176" spans="1:5" hidden="1">
      <c r="A176">
        <f t="shared" si="2"/>
        <v>174</v>
      </c>
      <c r="B176" t="s">
        <v>753</v>
      </c>
      <c r="C176" s="173" t="s">
        <v>754</v>
      </c>
      <c r="D176" s="172" t="s">
        <v>755</v>
      </c>
      <c r="E176" s="154" t="s">
        <v>3</v>
      </c>
    </row>
    <row r="177" spans="1:5" hidden="1">
      <c r="A177">
        <f t="shared" si="2"/>
        <v>175</v>
      </c>
      <c r="B177" t="s">
        <v>753</v>
      </c>
      <c r="C177" s="173" t="s">
        <v>756</v>
      </c>
      <c r="D177" s="172" t="s">
        <v>757</v>
      </c>
      <c r="E177" s="154" t="s">
        <v>3</v>
      </c>
    </row>
    <row r="178" spans="1:5" hidden="1">
      <c r="A178">
        <f t="shared" si="2"/>
        <v>176</v>
      </c>
      <c r="B178" t="s">
        <v>753</v>
      </c>
      <c r="C178" s="173" t="s">
        <v>758</v>
      </c>
      <c r="D178" s="172" t="s">
        <v>759</v>
      </c>
      <c r="E178" s="154" t="s">
        <v>3</v>
      </c>
    </row>
    <row r="179" spans="1:5" hidden="1">
      <c r="A179">
        <f t="shared" si="2"/>
        <v>177</v>
      </c>
      <c r="B179" t="s">
        <v>753</v>
      </c>
      <c r="C179" s="173" t="s">
        <v>760</v>
      </c>
      <c r="D179" s="172" t="s">
        <v>759</v>
      </c>
      <c r="E179" s="154" t="s">
        <v>3</v>
      </c>
    </row>
    <row r="180" spans="1:5" hidden="1">
      <c r="A180">
        <f t="shared" si="2"/>
        <v>178</v>
      </c>
      <c r="B180" t="s">
        <v>753</v>
      </c>
      <c r="C180" s="173" t="s">
        <v>761</v>
      </c>
      <c r="D180" s="172" t="s">
        <v>762</v>
      </c>
      <c r="E180" s="154" t="s">
        <v>3</v>
      </c>
    </row>
    <row r="181" spans="1:5" hidden="1">
      <c r="A181">
        <f t="shared" si="2"/>
        <v>179</v>
      </c>
      <c r="B181" t="s">
        <v>753</v>
      </c>
      <c r="C181" s="173" t="s">
        <v>763</v>
      </c>
      <c r="D181" s="172" t="s">
        <v>764</v>
      </c>
      <c r="E181" s="154" t="s">
        <v>3</v>
      </c>
    </row>
    <row r="182" spans="1:5" hidden="1">
      <c r="A182">
        <f t="shared" si="2"/>
        <v>180</v>
      </c>
      <c r="B182" t="s">
        <v>753</v>
      </c>
      <c r="C182" s="173" t="s">
        <v>765</v>
      </c>
      <c r="D182" s="172" t="s">
        <v>766</v>
      </c>
      <c r="E182" s="154" t="s">
        <v>3</v>
      </c>
    </row>
    <row r="183" spans="1:5" hidden="1">
      <c r="A183">
        <f t="shared" si="2"/>
        <v>181</v>
      </c>
      <c r="B183" t="s">
        <v>753</v>
      </c>
      <c r="C183" s="173" t="s">
        <v>767</v>
      </c>
      <c r="D183" s="172" t="s">
        <v>768</v>
      </c>
      <c r="E183" s="154" t="s">
        <v>3</v>
      </c>
    </row>
    <row r="184" spans="1:5" hidden="1">
      <c r="A184">
        <f t="shared" si="2"/>
        <v>182</v>
      </c>
      <c r="B184" t="s">
        <v>753</v>
      </c>
      <c r="C184" s="173" t="s">
        <v>769</v>
      </c>
      <c r="D184" s="172" t="s">
        <v>770</v>
      </c>
      <c r="E184" s="154" t="s">
        <v>3</v>
      </c>
    </row>
    <row r="185" spans="1:5" hidden="1">
      <c r="A185">
        <f t="shared" si="2"/>
        <v>183</v>
      </c>
      <c r="B185" t="s">
        <v>753</v>
      </c>
      <c r="C185" s="173" t="s">
        <v>771</v>
      </c>
      <c r="D185" s="172" t="s">
        <v>770</v>
      </c>
      <c r="E185" s="154" t="s">
        <v>3</v>
      </c>
    </row>
    <row r="186" spans="1:5" hidden="1">
      <c r="A186">
        <f t="shared" si="2"/>
        <v>184</v>
      </c>
      <c r="B186" t="s">
        <v>753</v>
      </c>
      <c r="C186" s="173" t="s">
        <v>772</v>
      </c>
      <c r="D186" s="172" t="s">
        <v>770</v>
      </c>
      <c r="E186" s="154" t="s">
        <v>3</v>
      </c>
    </row>
    <row r="187" spans="1:5" hidden="1">
      <c r="A187">
        <f t="shared" si="2"/>
        <v>185</v>
      </c>
      <c r="B187" t="s">
        <v>753</v>
      </c>
      <c r="C187" s="173" t="s">
        <v>773</v>
      </c>
      <c r="D187" s="172" t="s">
        <v>774</v>
      </c>
      <c r="E187" s="154" t="s">
        <v>3</v>
      </c>
    </row>
    <row r="188" spans="1:5" hidden="1">
      <c r="A188">
        <f t="shared" si="2"/>
        <v>186</v>
      </c>
      <c r="B188" t="s">
        <v>753</v>
      </c>
      <c r="C188" s="173" t="s">
        <v>775</v>
      </c>
      <c r="D188" s="172" t="s">
        <v>776</v>
      </c>
      <c r="E188" s="154" t="s">
        <v>3</v>
      </c>
    </row>
    <row r="189" spans="1:5" hidden="1">
      <c r="A189">
        <f t="shared" si="2"/>
        <v>187</v>
      </c>
      <c r="B189" t="s">
        <v>753</v>
      </c>
      <c r="C189" s="173" t="s">
        <v>777</v>
      </c>
      <c r="D189" s="172" t="s">
        <v>778</v>
      </c>
      <c r="E189" s="154" t="s">
        <v>3</v>
      </c>
    </row>
    <row r="190" spans="1:5" hidden="1">
      <c r="A190">
        <f t="shared" si="2"/>
        <v>188</v>
      </c>
      <c r="B190" t="s">
        <v>753</v>
      </c>
      <c r="C190" s="173" t="s">
        <v>779</v>
      </c>
      <c r="D190" s="172" t="s">
        <v>780</v>
      </c>
      <c r="E190" s="154" t="s">
        <v>3</v>
      </c>
    </row>
    <row r="191" spans="1:5" hidden="1">
      <c r="A191">
        <f t="shared" si="2"/>
        <v>189</v>
      </c>
      <c r="B191" t="s">
        <v>753</v>
      </c>
      <c r="C191" s="173" t="s">
        <v>781</v>
      </c>
      <c r="D191" s="172" t="s">
        <v>782</v>
      </c>
      <c r="E191" s="154" t="s">
        <v>3</v>
      </c>
    </row>
    <row r="192" spans="1:5" hidden="1">
      <c r="A192">
        <f t="shared" si="2"/>
        <v>190</v>
      </c>
      <c r="B192" t="s">
        <v>753</v>
      </c>
      <c r="C192" s="173" t="s">
        <v>783</v>
      </c>
      <c r="D192" s="172" t="s">
        <v>784</v>
      </c>
      <c r="E192" s="154" t="s">
        <v>3</v>
      </c>
    </row>
    <row r="193" spans="1:5" hidden="1">
      <c r="A193">
        <f t="shared" si="2"/>
        <v>191</v>
      </c>
      <c r="B193" t="s">
        <v>753</v>
      </c>
      <c r="C193" s="173" t="s">
        <v>785</v>
      </c>
      <c r="D193" s="172" t="s">
        <v>786</v>
      </c>
      <c r="E193" s="154" t="s">
        <v>3</v>
      </c>
    </row>
    <row r="194" spans="1:5" hidden="1">
      <c r="A194">
        <f t="shared" si="2"/>
        <v>192</v>
      </c>
      <c r="B194" t="s">
        <v>753</v>
      </c>
      <c r="C194" s="173" t="s">
        <v>787</v>
      </c>
      <c r="D194" s="172" t="s">
        <v>788</v>
      </c>
      <c r="E194" s="154" t="s">
        <v>3</v>
      </c>
    </row>
    <row r="195" spans="1:5" hidden="1">
      <c r="A195">
        <f t="shared" si="2"/>
        <v>193</v>
      </c>
      <c r="B195" t="s">
        <v>753</v>
      </c>
      <c r="C195" s="173" t="s">
        <v>789</v>
      </c>
      <c r="D195" s="172" t="s">
        <v>790</v>
      </c>
      <c r="E195" s="154" t="s">
        <v>3</v>
      </c>
    </row>
    <row r="196" spans="1:5" hidden="1">
      <c r="A196">
        <f t="shared" ref="A196:A259" si="3">A195+1</f>
        <v>194</v>
      </c>
      <c r="B196" t="s">
        <v>753</v>
      </c>
      <c r="C196" s="173" t="s">
        <v>791</v>
      </c>
      <c r="D196" s="172" t="s">
        <v>792</v>
      </c>
      <c r="E196" s="154" t="s">
        <v>3</v>
      </c>
    </row>
    <row r="197" spans="1:5" hidden="1">
      <c r="A197">
        <f t="shared" si="3"/>
        <v>195</v>
      </c>
      <c r="B197" t="s">
        <v>753</v>
      </c>
      <c r="C197" s="173" t="s">
        <v>793</v>
      </c>
      <c r="D197" s="172" t="s">
        <v>794</v>
      </c>
      <c r="E197" s="154" t="s">
        <v>3</v>
      </c>
    </row>
    <row r="198" spans="1:5" hidden="1">
      <c r="A198">
        <f t="shared" si="3"/>
        <v>196</v>
      </c>
      <c r="B198" t="s">
        <v>753</v>
      </c>
      <c r="C198" s="173" t="s">
        <v>795</v>
      </c>
      <c r="D198" s="172" t="s">
        <v>796</v>
      </c>
      <c r="E198" s="154" t="s">
        <v>3</v>
      </c>
    </row>
    <row r="199" spans="1:5" hidden="1">
      <c r="A199">
        <f t="shared" si="3"/>
        <v>197</v>
      </c>
      <c r="B199" t="s">
        <v>753</v>
      </c>
      <c r="C199" s="173" t="s">
        <v>797</v>
      </c>
      <c r="D199" s="172" t="s">
        <v>796</v>
      </c>
      <c r="E199" s="154" t="s">
        <v>3</v>
      </c>
    </row>
    <row r="200" spans="1:5" hidden="1">
      <c r="A200">
        <f t="shared" si="3"/>
        <v>198</v>
      </c>
      <c r="B200" t="s">
        <v>753</v>
      </c>
      <c r="C200" s="173" t="s">
        <v>798</v>
      </c>
      <c r="D200" s="172" t="s">
        <v>799</v>
      </c>
      <c r="E200" s="154" t="s">
        <v>3</v>
      </c>
    </row>
    <row r="201" spans="1:5" hidden="1">
      <c r="A201">
        <f t="shared" si="3"/>
        <v>199</v>
      </c>
      <c r="B201" t="s">
        <v>753</v>
      </c>
      <c r="C201" s="173" t="s">
        <v>800</v>
      </c>
      <c r="D201" s="172" t="s">
        <v>801</v>
      </c>
      <c r="E201" s="154" t="s">
        <v>3</v>
      </c>
    </row>
    <row r="202" spans="1:5" hidden="1">
      <c r="A202">
        <f t="shared" si="3"/>
        <v>200</v>
      </c>
      <c r="B202" t="s">
        <v>753</v>
      </c>
      <c r="C202" s="173" t="s">
        <v>802</v>
      </c>
      <c r="D202" s="172" t="s">
        <v>803</v>
      </c>
      <c r="E202" s="154" t="s">
        <v>3</v>
      </c>
    </row>
    <row r="203" spans="1:5" hidden="1">
      <c r="A203">
        <f t="shared" si="3"/>
        <v>201</v>
      </c>
      <c r="B203" t="s">
        <v>753</v>
      </c>
      <c r="C203" s="173" t="s">
        <v>804</v>
      </c>
      <c r="D203" s="172" t="s">
        <v>805</v>
      </c>
      <c r="E203" s="154" t="s">
        <v>3</v>
      </c>
    </row>
    <row r="204" spans="1:5" hidden="1">
      <c r="A204">
        <f t="shared" si="3"/>
        <v>202</v>
      </c>
      <c r="B204" t="s">
        <v>753</v>
      </c>
      <c r="C204" s="173" t="s">
        <v>806</v>
      </c>
      <c r="D204" s="172" t="s">
        <v>807</v>
      </c>
      <c r="E204" s="154" t="s">
        <v>3</v>
      </c>
    </row>
    <row r="205" spans="1:5" hidden="1">
      <c r="A205">
        <f t="shared" si="3"/>
        <v>203</v>
      </c>
      <c r="B205" t="s">
        <v>753</v>
      </c>
      <c r="C205" s="173" t="s">
        <v>808</v>
      </c>
      <c r="D205" s="172" t="s">
        <v>809</v>
      </c>
      <c r="E205" s="154" t="s">
        <v>3</v>
      </c>
    </row>
    <row r="206" spans="1:5" hidden="1">
      <c r="A206">
        <f t="shared" si="3"/>
        <v>204</v>
      </c>
      <c r="B206" t="s">
        <v>753</v>
      </c>
      <c r="C206" s="173" t="s">
        <v>810</v>
      </c>
      <c r="D206" s="172" t="s">
        <v>811</v>
      </c>
      <c r="E206" s="154" t="s">
        <v>3</v>
      </c>
    </row>
    <row r="207" spans="1:5" hidden="1">
      <c r="A207">
        <f t="shared" si="3"/>
        <v>205</v>
      </c>
      <c r="B207" t="s">
        <v>753</v>
      </c>
      <c r="C207" s="173" t="s">
        <v>812</v>
      </c>
      <c r="D207" s="172" t="s">
        <v>813</v>
      </c>
      <c r="E207" s="154" t="s">
        <v>3</v>
      </c>
    </row>
    <row r="208" spans="1:5" hidden="1">
      <c r="A208">
        <f t="shared" si="3"/>
        <v>206</v>
      </c>
      <c r="B208" t="s">
        <v>753</v>
      </c>
      <c r="C208" s="173" t="s">
        <v>814</v>
      </c>
      <c r="D208" s="172" t="s">
        <v>815</v>
      </c>
      <c r="E208" s="154" t="s">
        <v>3</v>
      </c>
    </row>
    <row r="209" spans="1:5" hidden="1">
      <c r="A209">
        <f t="shared" si="3"/>
        <v>207</v>
      </c>
      <c r="B209" t="s">
        <v>753</v>
      </c>
      <c r="C209" s="173" t="s">
        <v>816</v>
      </c>
      <c r="D209" s="172" t="s">
        <v>817</v>
      </c>
      <c r="E209" s="154" t="s">
        <v>3</v>
      </c>
    </row>
    <row r="210" spans="1:5" hidden="1">
      <c r="A210">
        <f t="shared" si="3"/>
        <v>208</v>
      </c>
      <c r="B210" t="s">
        <v>818</v>
      </c>
      <c r="C210" t="s">
        <v>819</v>
      </c>
      <c r="D210" s="172" t="s">
        <v>820</v>
      </c>
      <c r="E210" s="154" t="s">
        <v>3</v>
      </c>
    </row>
    <row r="211" spans="1:5" hidden="1">
      <c r="A211">
        <f t="shared" si="3"/>
        <v>209</v>
      </c>
      <c r="B211" t="s">
        <v>818</v>
      </c>
      <c r="C211" t="s">
        <v>821</v>
      </c>
      <c r="D211" s="172" t="s">
        <v>820</v>
      </c>
      <c r="E211" s="154" t="s">
        <v>3</v>
      </c>
    </row>
    <row r="212" spans="1:5" hidden="1">
      <c r="A212">
        <f t="shared" si="3"/>
        <v>210</v>
      </c>
      <c r="B212" t="s">
        <v>818</v>
      </c>
      <c r="C212" t="s">
        <v>822</v>
      </c>
      <c r="D212" s="172" t="s">
        <v>820</v>
      </c>
      <c r="E212" s="154" t="s">
        <v>3</v>
      </c>
    </row>
    <row r="213" spans="1:5" hidden="1">
      <c r="A213">
        <f t="shared" si="3"/>
        <v>211</v>
      </c>
      <c r="B213" t="s">
        <v>818</v>
      </c>
      <c r="C213" s="173" t="s">
        <v>823</v>
      </c>
      <c r="D213" s="172" t="s">
        <v>820</v>
      </c>
      <c r="E213" s="154" t="s">
        <v>3</v>
      </c>
    </row>
    <row r="214" spans="1:5" hidden="1">
      <c r="A214">
        <f t="shared" si="3"/>
        <v>212</v>
      </c>
      <c r="B214" t="s">
        <v>824</v>
      </c>
      <c r="C214" s="173" t="s">
        <v>825</v>
      </c>
      <c r="D214" s="172" t="s">
        <v>824</v>
      </c>
      <c r="E214" s="154" t="s">
        <v>3</v>
      </c>
    </row>
    <row r="215" spans="1:5" hidden="1">
      <c r="A215">
        <f t="shared" si="3"/>
        <v>213</v>
      </c>
      <c r="B215" t="s">
        <v>824</v>
      </c>
      <c r="C215" t="s">
        <v>826</v>
      </c>
      <c r="D215" s="172" t="s">
        <v>824</v>
      </c>
      <c r="E215" s="154" t="s">
        <v>3</v>
      </c>
    </row>
    <row r="216" spans="1:5" hidden="1">
      <c r="A216">
        <f t="shared" si="3"/>
        <v>214</v>
      </c>
      <c r="B216" t="s">
        <v>824</v>
      </c>
      <c r="C216" s="173" t="s">
        <v>827</v>
      </c>
      <c r="D216" s="172" t="s">
        <v>824</v>
      </c>
      <c r="E216" s="154" t="s">
        <v>3</v>
      </c>
    </row>
    <row r="217" spans="1:5" hidden="1">
      <c r="A217">
        <f t="shared" si="3"/>
        <v>215</v>
      </c>
      <c r="B217" t="s">
        <v>824</v>
      </c>
      <c r="C217" t="s">
        <v>1537</v>
      </c>
      <c r="D217" s="172" t="s">
        <v>824</v>
      </c>
      <c r="E217" s="154" t="s">
        <v>3</v>
      </c>
    </row>
    <row r="218" spans="1:5" hidden="1">
      <c r="A218">
        <f t="shared" si="3"/>
        <v>216</v>
      </c>
      <c r="B218" t="s">
        <v>824</v>
      </c>
      <c r="C218" t="s">
        <v>828</v>
      </c>
      <c r="D218" s="172" t="s">
        <v>824</v>
      </c>
      <c r="E218" s="154" t="s">
        <v>3</v>
      </c>
    </row>
    <row r="219" spans="1:5" hidden="1">
      <c r="A219">
        <f t="shared" si="3"/>
        <v>217</v>
      </c>
      <c r="B219" t="s">
        <v>824</v>
      </c>
      <c r="C219" s="173" t="s">
        <v>829</v>
      </c>
      <c r="D219" s="172" t="s">
        <v>824</v>
      </c>
      <c r="E219" s="154" t="s">
        <v>3</v>
      </c>
    </row>
    <row r="220" spans="1:5" hidden="1">
      <c r="A220">
        <f t="shared" si="3"/>
        <v>218</v>
      </c>
      <c r="B220" t="s">
        <v>824</v>
      </c>
      <c r="C220" t="s">
        <v>830</v>
      </c>
      <c r="D220" s="172" t="s">
        <v>824</v>
      </c>
      <c r="E220" s="154" t="s">
        <v>3</v>
      </c>
    </row>
    <row r="221" spans="1:5" hidden="1">
      <c r="A221">
        <f t="shared" si="3"/>
        <v>219</v>
      </c>
      <c r="B221" t="s">
        <v>824</v>
      </c>
      <c r="C221" t="s">
        <v>831</v>
      </c>
      <c r="D221" s="172" t="s">
        <v>824</v>
      </c>
      <c r="E221" s="154" t="s">
        <v>3</v>
      </c>
    </row>
    <row r="222" spans="1:5" hidden="1">
      <c r="A222">
        <f t="shared" si="3"/>
        <v>220</v>
      </c>
      <c r="B222" t="s">
        <v>186</v>
      </c>
      <c r="C222" s="173" t="s">
        <v>65</v>
      </c>
      <c r="D222" s="172" t="s">
        <v>66</v>
      </c>
      <c r="E222" s="154" t="s">
        <v>3</v>
      </c>
    </row>
    <row r="223" spans="1:5" hidden="1">
      <c r="A223">
        <f t="shared" si="3"/>
        <v>221</v>
      </c>
      <c r="B223" t="s">
        <v>186</v>
      </c>
      <c r="C223" s="173" t="s">
        <v>82</v>
      </c>
      <c r="D223" s="172" t="s">
        <v>66</v>
      </c>
      <c r="E223" s="154" t="s">
        <v>3</v>
      </c>
    </row>
    <row r="224" spans="1:5" hidden="1">
      <c r="A224">
        <f t="shared" si="3"/>
        <v>222</v>
      </c>
      <c r="B224" t="s">
        <v>186</v>
      </c>
      <c r="C224" s="173" t="s">
        <v>83</v>
      </c>
      <c r="D224" s="172" t="s">
        <v>66</v>
      </c>
      <c r="E224" s="154" t="s">
        <v>3</v>
      </c>
    </row>
    <row r="225" spans="1:5" hidden="1">
      <c r="A225">
        <f t="shared" si="3"/>
        <v>223</v>
      </c>
      <c r="B225" t="s">
        <v>186</v>
      </c>
      <c r="C225" s="173" t="s">
        <v>84</v>
      </c>
      <c r="D225" s="172" t="s">
        <v>66</v>
      </c>
      <c r="E225" s="154" t="s">
        <v>3</v>
      </c>
    </row>
    <row r="226" spans="1:5" hidden="1">
      <c r="A226">
        <f t="shared" si="3"/>
        <v>224</v>
      </c>
      <c r="B226" t="s">
        <v>186</v>
      </c>
      <c r="C226" t="s">
        <v>85</v>
      </c>
      <c r="D226" s="172" t="s">
        <v>75</v>
      </c>
      <c r="E226" s="154" t="s">
        <v>3</v>
      </c>
    </row>
    <row r="227" spans="1:5" hidden="1">
      <c r="A227">
        <f t="shared" si="3"/>
        <v>225</v>
      </c>
      <c r="B227" t="s">
        <v>186</v>
      </c>
      <c r="C227" t="s">
        <v>86</v>
      </c>
      <c r="D227" s="172" t="s">
        <v>75</v>
      </c>
      <c r="E227" s="154" t="s">
        <v>3</v>
      </c>
    </row>
    <row r="228" spans="1:5" hidden="1">
      <c r="A228">
        <f t="shared" si="3"/>
        <v>226</v>
      </c>
      <c r="B228" t="s">
        <v>186</v>
      </c>
      <c r="C228" s="173" t="s">
        <v>18</v>
      </c>
      <c r="D228" s="172" t="s">
        <v>19</v>
      </c>
      <c r="E228" s="154" t="s">
        <v>3</v>
      </c>
    </row>
    <row r="229" spans="1:5" hidden="1">
      <c r="A229">
        <f t="shared" si="3"/>
        <v>227</v>
      </c>
      <c r="B229" t="s">
        <v>186</v>
      </c>
      <c r="C229" t="s">
        <v>832</v>
      </c>
      <c r="D229" s="172" t="s">
        <v>19</v>
      </c>
      <c r="E229" s="154" t="s">
        <v>3</v>
      </c>
    </row>
    <row r="230" spans="1:5" hidden="1">
      <c r="A230">
        <f t="shared" si="3"/>
        <v>228</v>
      </c>
      <c r="B230" t="s">
        <v>186</v>
      </c>
      <c r="C230" s="173" t="s">
        <v>32</v>
      </c>
      <c r="D230" s="172" t="s">
        <v>33</v>
      </c>
      <c r="E230" s="154" t="s">
        <v>3</v>
      </c>
    </row>
    <row r="231" spans="1:5" hidden="1">
      <c r="A231">
        <f t="shared" si="3"/>
        <v>229</v>
      </c>
      <c r="B231" t="s">
        <v>186</v>
      </c>
      <c r="C231" s="173" t="s">
        <v>36</v>
      </c>
      <c r="D231" s="172" t="s">
        <v>37</v>
      </c>
      <c r="E231" s="154" t="s">
        <v>3</v>
      </c>
    </row>
    <row r="232" spans="1:5" hidden="1">
      <c r="A232">
        <f t="shared" si="3"/>
        <v>230</v>
      </c>
      <c r="B232" t="s">
        <v>186</v>
      </c>
      <c r="C232" s="173" t="s">
        <v>1538</v>
      </c>
      <c r="D232" s="172" t="s">
        <v>76</v>
      </c>
      <c r="E232" s="154" t="s">
        <v>3</v>
      </c>
    </row>
    <row r="233" spans="1:5" hidden="1">
      <c r="A233">
        <f t="shared" si="3"/>
        <v>231</v>
      </c>
      <c r="B233" t="s">
        <v>186</v>
      </c>
      <c r="C233" s="215" t="s">
        <v>1582</v>
      </c>
      <c r="D233" s="172" t="s">
        <v>5</v>
      </c>
      <c r="E233" s="154" t="s">
        <v>3</v>
      </c>
    </row>
    <row r="234" spans="1:5" hidden="1">
      <c r="A234">
        <f t="shared" si="3"/>
        <v>232</v>
      </c>
      <c r="B234" t="s">
        <v>186</v>
      </c>
      <c r="C234" s="173" t="s">
        <v>4</v>
      </c>
      <c r="D234" s="172" t="s">
        <v>5</v>
      </c>
      <c r="E234" s="154" t="s">
        <v>3</v>
      </c>
    </row>
    <row r="235" spans="1:5" hidden="1">
      <c r="A235">
        <f t="shared" si="3"/>
        <v>233</v>
      </c>
      <c r="B235" t="s">
        <v>186</v>
      </c>
      <c r="C235" s="173" t="s">
        <v>87</v>
      </c>
      <c r="D235" s="172" t="s">
        <v>5</v>
      </c>
      <c r="E235" s="154" t="s">
        <v>3</v>
      </c>
    </row>
    <row r="236" spans="1:5" hidden="1">
      <c r="A236">
        <f t="shared" si="3"/>
        <v>234</v>
      </c>
      <c r="B236" t="s">
        <v>186</v>
      </c>
      <c r="C236" t="s">
        <v>10</v>
      </c>
      <c r="D236" s="172" t="s">
        <v>11</v>
      </c>
      <c r="E236" s="154" t="s">
        <v>3</v>
      </c>
    </row>
    <row r="237" spans="1:5" hidden="1">
      <c r="A237">
        <f t="shared" si="3"/>
        <v>235</v>
      </c>
      <c r="B237" t="s">
        <v>186</v>
      </c>
      <c r="C237" t="s">
        <v>16</v>
      </c>
      <c r="D237" s="172" t="s">
        <v>11</v>
      </c>
      <c r="E237" s="154" t="s">
        <v>3</v>
      </c>
    </row>
    <row r="238" spans="1:5" hidden="1">
      <c r="A238">
        <f t="shared" si="3"/>
        <v>236</v>
      </c>
      <c r="B238" t="s">
        <v>186</v>
      </c>
      <c r="C238" t="s">
        <v>88</v>
      </c>
      <c r="D238" s="172" t="s">
        <v>11</v>
      </c>
      <c r="E238" s="154" t="s">
        <v>3</v>
      </c>
    </row>
    <row r="239" spans="1:5" hidden="1">
      <c r="A239">
        <f t="shared" si="3"/>
        <v>237</v>
      </c>
      <c r="B239" t="s">
        <v>186</v>
      </c>
      <c r="C239" t="s">
        <v>833</v>
      </c>
      <c r="D239" s="172" t="s">
        <v>11</v>
      </c>
      <c r="E239" s="154" t="s">
        <v>3</v>
      </c>
    </row>
    <row r="240" spans="1:5" hidden="1">
      <c r="A240">
        <f t="shared" si="3"/>
        <v>238</v>
      </c>
      <c r="B240" t="s">
        <v>186</v>
      </c>
      <c r="C240" t="s">
        <v>13</v>
      </c>
      <c r="D240" s="172" t="s">
        <v>11</v>
      </c>
      <c r="E240" s="154" t="s">
        <v>3</v>
      </c>
    </row>
    <row r="241" spans="1:5" hidden="1">
      <c r="A241">
        <f t="shared" si="3"/>
        <v>239</v>
      </c>
      <c r="B241" t="s">
        <v>186</v>
      </c>
      <c r="C241" t="s">
        <v>20</v>
      </c>
      <c r="D241" s="172" t="s">
        <v>11</v>
      </c>
      <c r="E241" s="154" t="s">
        <v>3</v>
      </c>
    </row>
    <row r="242" spans="1:5" hidden="1">
      <c r="A242">
        <f t="shared" si="3"/>
        <v>240</v>
      </c>
      <c r="B242" t="s">
        <v>186</v>
      </c>
      <c r="C242" t="s">
        <v>27</v>
      </c>
      <c r="D242" s="172" t="s">
        <v>11</v>
      </c>
      <c r="E242" s="154" t="s">
        <v>3</v>
      </c>
    </row>
    <row r="243" spans="1:5" hidden="1">
      <c r="A243">
        <f t="shared" si="3"/>
        <v>241</v>
      </c>
      <c r="B243" t="s">
        <v>186</v>
      </c>
      <c r="C243" t="s">
        <v>23</v>
      </c>
      <c r="D243" s="172" t="s">
        <v>11</v>
      </c>
      <c r="E243" s="154" t="s">
        <v>3</v>
      </c>
    </row>
    <row r="244" spans="1:5" hidden="1">
      <c r="A244">
        <f t="shared" si="3"/>
        <v>242</v>
      </c>
      <c r="B244" t="s">
        <v>186</v>
      </c>
      <c r="C244" t="s">
        <v>12</v>
      </c>
      <c r="D244" s="172" t="s">
        <v>11</v>
      </c>
      <c r="E244" s="154" t="s">
        <v>3</v>
      </c>
    </row>
    <row r="245" spans="1:5" hidden="1">
      <c r="A245">
        <f t="shared" si="3"/>
        <v>243</v>
      </c>
      <c r="B245" t="s">
        <v>186</v>
      </c>
      <c r="C245" t="s">
        <v>52</v>
      </c>
      <c r="D245" s="172" t="s">
        <v>11</v>
      </c>
      <c r="E245" s="154" t="s">
        <v>3</v>
      </c>
    </row>
    <row r="246" spans="1:5" hidden="1">
      <c r="A246">
        <f t="shared" si="3"/>
        <v>244</v>
      </c>
      <c r="B246" t="s">
        <v>186</v>
      </c>
      <c r="C246" t="s">
        <v>834</v>
      </c>
      <c r="D246" s="172" t="s">
        <v>11</v>
      </c>
      <c r="E246" s="154" t="s">
        <v>3</v>
      </c>
    </row>
    <row r="247" spans="1:5" hidden="1">
      <c r="A247">
        <f t="shared" si="3"/>
        <v>245</v>
      </c>
      <c r="B247" t="s">
        <v>186</v>
      </c>
      <c r="C247" t="s">
        <v>89</v>
      </c>
      <c r="D247" s="172" t="s">
        <v>11</v>
      </c>
      <c r="E247" s="154" t="s">
        <v>3</v>
      </c>
    </row>
    <row r="248" spans="1:5" hidden="1">
      <c r="A248">
        <f t="shared" si="3"/>
        <v>246</v>
      </c>
      <c r="B248" t="s">
        <v>186</v>
      </c>
      <c r="C248" t="s">
        <v>1539</v>
      </c>
      <c r="D248" s="172" t="s">
        <v>11</v>
      </c>
      <c r="E248" s="154" t="s">
        <v>3</v>
      </c>
    </row>
    <row r="249" spans="1:5" hidden="1">
      <c r="A249">
        <f t="shared" si="3"/>
        <v>247</v>
      </c>
      <c r="B249" t="s">
        <v>186</v>
      </c>
      <c r="C249" t="s">
        <v>90</v>
      </c>
      <c r="D249" s="172" t="s">
        <v>11</v>
      </c>
      <c r="E249" s="154" t="s">
        <v>3</v>
      </c>
    </row>
    <row r="250" spans="1:5" hidden="1">
      <c r="A250">
        <f t="shared" si="3"/>
        <v>248</v>
      </c>
      <c r="B250" t="s">
        <v>186</v>
      </c>
      <c r="C250" t="s">
        <v>91</v>
      </c>
      <c r="D250" s="172" t="s">
        <v>11</v>
      </c>
      <c r="E250" s="154" t="s">
        <v>3</v>
      </c>
    </row>
    <row r="251" spans="1:5" hidden="1">
      <c r="A251">
        <f t="shared" si="3"/>
        <v>249</v>
      </c>
      <c r="B251" t="s">
        <v>186</v>
      </c>
      <c r="C251" t="s">
        <v>835</v>
      </c>
      <c r="D251" s="172" t="s">
        <v>11</v>
      </c>
      <c r="E251" s="154" t="s">
        <v>3</v>
      </c>
    </row>
    <row r="252" spans="1:5" hidden="1">
      <c r="A252">
        <f t="shared" si="3"/>
        <v>250</v>
      </c>
      <c r="B252" t="s">
        <v>186</v>
      </c>
      <c r="C252" t="s">
        <v>836</v>
      </c>
      <c r="D252" s="172" t="s">
        <v>11</v>
      </c>
      <c r="E252" s="154" t="s">
        <v>3</v>
      </c>
    </row>
    <row r="253" spans="1:5" hidden="1">
      <c r="A253">
        <f t="shared" si="3"/>
        <v>251</v>
      </c>
      <c r="B253" t="s">
        <v>186</v>
      </c>
      <c r="C253" t="s">
        <v>68</v>
      </c>
      <c r="D253" s="172" t="s">
        <v>69</v>
      </c>
      <c r="E253" s="154" t="s">
        <v>3</v>
      </c>
    </row>
    <row r="254" spans="1:5" hidden="1">
      <c r="A254">
        <f t="shared" si="3"/>
        <v>252</v>
      </c>
      <c r="B254" t="s">
        <v>186</v>
      </c>
      <c r="C254" s="215" t="s">
        <v>93</v>
      </c>
      <c r="D254" s="172" t="s">
        <v>78</v>
      </c>
      <c r="E254" s="154" t="s">
        <v>3</v>
      </c>
    </row>
    <row r="255" spans="1:5" hidden="1">
      <c r="A255">
        <f t="shared" si="3"/>
        <v>253</v>
      </c>
      <c r="B255" t="s">
        <v>186</v>
      </c>
      <c r="C255" s="173" t="s">
        <v>92</v>
      </c>
      <c r="D255" s="172" t="s">
        <v>77</v>
      </c>
      <c r="E255" s="154" t="s">
        <v>3</v>
      </c>
    </row>
    <row r="256" spans="1:5" hidden="1">
      <c r="A256">
        <f t="shared" si="3"/>
        <v>254</v>
      </c>
      <c r="B256" t="s">
        <v>186</v>
      </c>
      <c r="C256" s="173" t="s">
        <v>30</v>
      </c>
      <c r="D256" s="172" t="s">
        <v>31</v>
      </c>
      <c r="E256" s="154" t="s">
        <v>3</v>
      </c>
    </row>
    <row r="257" spans="1:5" hidden="1">
      <c r="A257">
        <f t="shared" si="3"/>
        <v>255</v>
      </c>
      <c r="B257" t="s">
        <v>186</v>
      </c>
      <c r="C257" s="173" t="s">
        <v>46</v>
      </c>
      <c r="D257" s="172" t="s">
        <v>47</v>
      </c>
      <c r="E257" s="154" t="s">
        <v>3</v>
      </c>
    </row>
    <row r="258" spans="1:5" hidden="1">
      <c r="A258">
        <f t="shared" si="3"/>
        <v>256</v>
      </c>
      <c r="B258" t="s">
        <v>186</v>
      </c>
      <c r="C258" s="173" t="s">
        <v>94</v>
      </c>
      <c r="D258" s="172" t="s">
        <v>47</v>
      </c>
      <c r="E258" s="154" t="s">
        <v>3</v>
      </c>
    </row>
    <row r="259" spans="1:5" hidden="1">
      <c r="A259">
        <f t="shared" si="3"/>
        <v>257</v>
      </c>
      <c r="B259" t="s">
        <v>186</v>
      </c>
      <c r="C259" s="173" t="s">
        <v>1540</v>
      </c>
      <c r="D259" s="172" t="s">
        <v>47</v>
      </c>
      <c r="E259" s="154" t="s">
        <v>3</v>
      </c>
    </row>
    <row r="260" spans="1:5" hidden="1">
      <c r="A260">
        <f t="shared" ref="A260:A323" si="4">A259+1</f>
        <v>258</v>
      </c>
      <c r="B260" t="s">
        <v>186</v>
      </c>
      <c r="C260" s="173" t="s">
        <v>48</v>
      </c>
      <c r="D260" s="172" t="s">
        <v>7</v>
      </c>
      <c r="E260" s="154" t="s">
        <v>3</v>
      </c>
    </row>
    <row r="261" spans="1:5" hidden="1">
      <c r="A261">
        <f t="shared" si="4"/>
        <v>259</v>
      </c>
      <c r="B261" t="s">
        <v>186</v>
      </c>
      <c r="C261" s="173" t="s">
        <v>6</v>
      </c>
      <c r="D261" s="172" t="s">
        <v>7</v>
      </c>
      <c r="E261" s="154" t="s">
        <v>3</v>
      </c>
    </row>
    <row r="262" spans="1:5" hidden="1">
      <c r="A262">
        <f t="shared" si="4"/>
        <v>260</v>
      </c>
      <c r="B262" t="s">
        <v>186</v>
      </c>
      <c r="C262" s="173" t="s">
        <v>44</v>
      </c>
      <c r="D262" s="172" t="s">
        <v>41</v>
      </c>
      <c r="E262" s="154" t="s">
        <v>3</v>
      </c>
    </row>
    <row r="263" spans="1:5" hidden="1">
      <c r="A263">
        <f t="shared" si="4"/>
        <v>261</v>
      </c>
      <c r="B263" t="s">
        <v>186</v>
      </c>
      <c r="C263" s="173" t="s">
        <v>40</v>
      </c>
      <c r="D263" s="172" t="s">
        <v>41</v>
      </c>
      <c r="E263" s="154" t="s">
        <v>3</v>
      </c>
    </row>
    <row r="264" spans="1:5" hidden="1">
      <c r="A264">
        <f t="shared" si="4"/>
        <v>262</v>
      </c>
      <c r="B264" t="s">
        <v>186</v>
      </c>
      <c r="C264" s="173" t="s">
        <v>1541</v>
      </c>
      <c r="D264" s="172" t="s">
        <v>41</v>
      </c>
      <c r="E264" s="154" t="s">
        <v>3</v>
      </c>
    </row>
    <row r="265" spans="1:5" hidden="1">
      <c r="A265">
        <f t="shared" si="4"/>
        <v>263</v>
      </c>
      <c r="B265" t="s">
        <v>186</v>
      </c>
      <c r="C265" s="173" t="s">
        <v>1542</v>
      </c>
      <c r="D265" s="172" t="s">
        <v>41</v>
      </c>
      <c r="E265" s="154" t="s">
        <v>3</v>
      </c>
    </row>
    <row r="266" spans="1:5" hidden="1">
      <c r="A266">
        <f t="shared" si="4"/>
        <v>264</v>
      </c>
      <c r="B266" t="s">
        <v>186</v>
      </c>
      <c r="C266" t="s">
        <v>17</v>
      </c>
      <c r="D266" s="172" t="s">
        <v>9</v>
      </c>
      <c r="E266" s="154" t="s">
        <v>3</v>
      </c>
    </row>
    <row r="267" spans="1:5" hidden="1">
      <c r="A267">
        <f t="shared" si="4"/>
        <v>265</v>
      </c>
      <c r="B267" t="s">
        <v>186</v>
      </c>
      <c r="C267" t="s">
        <v>26</v>
      </c>
      <c r="D267" s="172" t="s">
        <v>9</v>
      </c>
      <c r="E267" s="154" t="s">
        <v>3</v>
      </c>
    </row>
    <row r="268" spans="1:5" hidden="1">
      <c r="A268">
        <f t="shared" si="4"/>
        <v>266</v>
      </c>
      <c r="B268" t="s">
        <v>186</v>
      </c>
      <c r="C268" t="s">
        <v>8</v>
      </c>
      <c r="D268" s="172" t="s">
        <v>9</v>
      </c>
      <c r="E268" s="154" t="s">
        <v>3</v>
      </c>
    </row>
    <row r="269" spans="1:5" hidden="1">
      <c r="A269">
        <f t="shared" si="4"/>
        <v>267</v>
      </c>
      <c r="B269" t="s">
        <v>186</v>
      </c>
      <c r="C269" t="s">
        <v>837</v>
      </c>
      <c r="D269" s="172" t="s">
        <v>9</v>
      </c>
      <c r="E269" s="154" t="s">
        <v>3</v>
      </c>
    </row>
    <row r="270" spans="1:5" hidden="1">
      <c r="A270">
        <f t="shared" si="4"/>
        <v>268</v>
      </c>
      <c r="B270" t="s">
        <v>186</v>
      </c>
      <c r="C270" t="s">
        <v>838</v>
      </c>
      <c r="D270" s="172" t="s">
        <v>9</v>
      </c>
      <c r="E270" s="154" t="s">
        <v>3</v>
      </c>
    </row>
    <row r="271" spans="1:5" hidden="1">
      <c r="A271">
        <f t="shared" si="4"/>
        <v>269</v>
      </c>
      <c r="B271" t="s">
        <v>186</v>
      </c>
      <c r="C271" t="s">
        <v>15</v>
      </c>
      <c r="D271" s="172" t="s">
        <v>9</v>
      </c>
      <c r="E271" s="154" t="s">
        <v>3</v>
      </c>
    </row>
    <row r="272" spans="1:5" hidden="1">
      <c r="A272">
        <f t="shared" si="4"/>
        <v>270</v>
      </c>
      <c r="B272" t="s">
        <v>186</v>
      </c>
      <c r="C272" t="s">
        <v>95</v>
      </c>
      <c r="D272" s="172" t="s">
        <v>9</v>
      </c>
      <c r="E272" s="154" t="s">
        <v>3</v>
      </c>
    </row>
    <row r="273" spans="1:5" hidden="1">
      <c r="A273">
        <f t="shared" si="4"/>
        <v>271</v>
      </c>
      <c r="B273" t="s">
        <v>186</v>
      </c>
      <c r="C273" t="s">
        <v>839</v>
      </c>
      <c r="D273" s="172" t="s">
        <v>9</v>
      </c>
      <c r="E273" s="154" t="s">
        <v>3</v>
      </c>
    </row>
    <row r="274" spans="1:5" hidden="1">
      <c r="A274">
        <f t="shared" si="4"/>
        <v>272</v>
      </c>
      <c r="B274" t="s">
        <v>186</v>
      </c>
      <c r="C274" t="s">
        <v>840</v>
      </c>
      <c r="D274" s="172" t="s">
        <v>9</v>
      </c>
      <c r="E274" s="154" t="s">
        <v>3</v>
      </c>
    </row>
    <row r="275" spans="1:5" hidden="1">
      <c r="A275">
        <f t="shared" si="4"/>
        <v>273</v>
      </c>
      <c r="B275" t="s">
        <v>186</v>
      </c>
      <c r="C275" t="s">
        <v>96</v>
      </c>
      <c r="D275" s="172" t="s">
        <v>9</v>
      </c>
      <c r="E275" s="154" t="s">
        <v>3</v>
      </c>
    </row>
    <row r="276" spans="1:5" hidden="1">
      <c r="A276">
        <f t="shared" si="4"/>
        <v>274</v>
      </c>
      <c r="B276" t="s">
        <v>186</v>
      </c>
      <c r="C276" s="215" t="s">
        <v>841</v>
      </c>
      <c r="D276" s="172" t="s">
        <v>9</v>
      </c>
      <c r="E276" s="154" t="s">
        <v>3</v>
      </c>
    </row>
    <row r="277" spans="1:5" hidden="1">
      <c r="A277">
        <f t="shared" si="4"/>
        <v>275</v>
      </c>
      <c r="B277" t="s">
        <v>186</v>
      </c>
      <c r="C277" s="173" t="s">
        <v>24</v>
      </c>
      <c r="D277" s="172" t="s">
        <v>25</v>
      </c>
      <c r="E277" s="154" t="s">
        <v>3</v>
      </c>
    </row>
    <row r="278" spans="1:5" hidden="1">
      <c r="A278">
        <f t="shared" si="4"/>
        <v>276</v>
      </c>
      <c r="B278" t="s">
        <v>186</v>
      </c>
      <c r="C278" s="173" t="s">
        <v>1</v>
      </c>
      <c r="D278" s="172" t="s">
        <v>2</v>
      </c>
      <c r="E278" s="154" t="s">
        <v>3</v>
      </c>
    </row>
    <row r="279" spans="1:5" hidden="1">
      <c r="A279">
        <f t="shared" si="4"/>
        <v>277</v>
      </c>
      <c r="B279" t="s">
        <v>186</v>
      </c>
      <c r="C279" s="173" t="s">
        <v>14</v>
      </c>
      <c r="D279" s="172" t="s">
        <v>2</v>
      </c>
      <c r="E279" s="154" t="s">
        <v>3</v>
      </c>
    </row>
    <row r="280" spans="1:5" hidden="1">
      <c r="A280">
        <f t="shared" si="4"/>
        <v>278</v>
      </c>
      <c r="B280" t="s">
        <v>186</v>
      </c>
      <c r="C280" s="173" t="s">
        <v>81</v>
      </c>
      <c r="D280" s="172" t="s">
        <v>74</v>
      </c>
      <c r="E280" s="154" t="s">
        <v>73</v>
      </c>
    </row>
    <row r="281" spans="1:5" hidden="1">
      <c r="A281">
        <f t="shared" si="4"/>
        <v>279</v>
      </c>
      <c r="B281" t="s">
        <v>186</v>
      </c>
      <c r="C281" s="173" t="s">
        <v>21</v>
      </c>
      <c r="D281" s="172" t="s">
        <v>22</v>
      </c>
      <c r="E281" s="154" t="s">
        <v>3</v>
      </c>
    </row>
    <row r="282" spans="1:5" hidden="1">
      <c r="A282">
        <f t="shared" si="4"/>
        <v>280</v>
      </c>
      <c r="B282" t="s">
        <v>186</v>
      </c>
      <c r="C282" s="215" t="s">
        <v>97</v>
      </c>
      <c r="D282" s="172" t="s">
        <v>79</v>
      </c>
      <c r="E282" s="154" t="s">
        <v>3</v>
      </c>
    </row>
    <row r="283" spans="1:5" hidden="1">
      <c r="A283">
        <f t="shared" si="4"/>
        <v>281</v>
      </c>
      <c r="B283" t="s">
        <v>186</v>
      </c>
      <c r="C283" s="173" t="s">
        <v>70</v>
      </c>
      <c r="D283" s="172" t="s">
        <v>29</v>
      </c>
      <c r="E283" s="154" t="s">
        <v>3</v>
      </c>
    </row>
    <row r="284" spans="1:5" hidden="1">
      <c r="A284">
        <f t="shared" si="4"/>
        <v>282</v>
      </c>
      <c r="B284" t="s">
        <v>186</v>
      </c>
      <c r="C284" s="173" t="s">
        <v>98</v>
      </c>
      <c r="D284" s="172" t="s">
        <v>29</v>
      </c>
      <c r="E284" s="154" t="s">
        <v>3</v>
      </c>
    </row>
    <row r="285" spans="1:5" hidden="1">
      <c r="A285">
        <f t="shared" si="4"/>
        <v>283</v>
      </c>
      <c r="B285" t="s">
        <v>186</v>
      </c>
      <c r="C285" s="215" t="s">
        <v>28</v>
      </c>
      <c r="D285" s="172" t="s">
        <v>29</v>
      </c>
      <c r="E285" s="154" t="s">
        <v>3</v>
      </c>
    </row>
    <row r="286" spans="1:5" hidden="1">
      <c r="A286">
        <f t="shared" si="4"/>
        <v>284</v>
      </c>
      <c r="B286" t="s">
        <v>186</v>
      </c>
      <c r="C286" s="173" t="s">
        <v>99</v>
      </c>
      <c r="D286" s="172" t="s">
        <v>29</v>
      </c>
      <c r="E286" s="154" t="s">
        <v>3</v>
      </c>
    </row>
    <row r="287" spans="1:5" hidden="1">
      <c r="A287">
        <f t="shared" si="4"/>
        <v>285</v>
      </c>
      <c r="B287" t="s">
        <v>186</v>
      </c>
      <c r="C287" t="s">
        <v>100</v>
      </c>
      <c r="D287" s="172" t="s">
        <v>80</v>
      </c>
      <c r="E287" s="154" t="s">
        <v>3</v>
      </c>
    </row>
    <row r="288" spans="1:5" hidden="1">
      <c r="A288">
        <f t="shared" si="4"/>
        <v>286</v>
      </c>
      <c r="B288" t="s">
        <v>186</v>
      </c>
      <c r="C288" t="s">
        <v>45</v>
      </c>
      <c r="D288" s="172" t="s">
        <v>39</v>
      </c>
      <c r="E288" s="154" t="s">
        <v>3</v>
      </c>
    </row>
    <row r="289" spans="1:5" hidden="1">
      <c r="A289">
        <f t="shared" si="4"/>
        <v>287</v>
      </c>
      <c r="B289" t="s">
        <v>186</v>
      </c>
      <c r="C289" s="215" t="s">
        <v>842</v>
      </c>
      <c r="D289" s="172" t="s">
        <v>39</v>
      </c>
      <c r="E289" s="154" t="s">
        <v>3</v>
      </c>
    </row>
    <row r="290" spans="1:5" hidden="1">
      <c r="A290">
        <f t="shared" si="4"/>
        <v>288</v>
      </c>
      <c r="B290" t="s">
        <v>186</v>
      </c>
      <c r="C290" s="173" t="s">
        <v>43</v>
      </c>
      <c r="D290" s="172" t="s">
        <v>39</v>
      </c>
      <c r="E290" s="154" t="s">
        <v>3</v>
      </c>
    </row>
    <row r="291" spans="1:5" hidden="1">
      <c r="A291">
        <f t="shared" si="4"/>
        <v>289</v>
      </c>
      <c r="B291" t="s">
        <v>186</v>
      </c>
      <c r="C291" t="s">
        <v>42</v>
      </c>
      <c r="D291" s="172" t="s">
        <v>39</v>
      </c>
      <c r="E291" s="154" t="s">
        <v>3</v>
      </c>
    </row>
    <row r="292" spans="1:5" hidden="1">
      <c r="A292">
        <f t="shared" si="4"/>
        <v>290</v>
      </c>
      <c r="B292" t="s">
        <v>186</v>
      </c>
      <c r="C292" t="s">
        <v>1543</v>
      </c>
      <c r="D292" s="172" t="s">
        <v>39</v>
      </c>
      <c r="E292" s="154" t="s">
        <v>3</v>
      </c>
    </row>
    <row r="293" spans="1:5" hidden="1">
      <c r="A293">
        <f t="shared" si="4"/>
        <v>291</v>
      </c>
      <c r="B293" t="s">
        <v>186</v>
      </c>
      <c r="C293" t="s">
        <v>61</v>
      </c>
      <c r="D293" s="172" t="s">
        <v>39</v>
      </c>
      <c r="E293" s="154" t="s">
        <v>3</v>
      </c>
    </row>
    <row r="294" spans="1:5" hidden="1">
      <c r="A294">
        <f t="shared" si="4"/>
        <v>292</v>
      </c>
      <c r="B294" t="s">
        <v>186</v>
      </c>
      <c r="C294" t="s">
        <v>57</v>
      </c>
      <c r="D294" s="172" t="s">
        <v>39</v>
      </c>
      <c r="E294" s="154" t="s">
        <v>3</v>
      </c>
    </row>
    <row r="295" spans="1:5" hidden="1">
      <c r="A295">
        <f t="shared" si="4"/>
        <v>293</v>
      </c>
      <c r="B295" t="s">
        <v>186</v>
      </c>
      <c r="C295" t="s">
        <v>56</v>
      </c>
      <c r="D295" s="172" t="s">
        <v>39</v>
      </c>
      <c r="E295" s="154" t="s">
        <v>3</v>
      </c>
    </row>
    <row r="296" spans="1:5" hidden="1">
      <c r="A296">
        <f t="shared" si="4"/>
        <v>294</v>
      </c>
      <c r="B296" t="s">
        <v>186</v>
      </c>
      <c r="C296" t="s">
        <v>67</v>
      </c>
      <c r="D296" s="172" t="s">
        <v>39</v>
      </c>
      <c r="E296" s="154" t="s">
        <v>3</v>
      </c>
    </row>
    <row r="297" spans="1:5" hidden="1">
      <c r="A297">
        <f t="shared" si="4"/>
        <v>295</v>
      </c>
      <c r="B297" t="s">
        <v>186</v>
      </c>
      <c r="C297" t="s">
        <v>843</v>
      </c>
      <c r="D297" s="172" t="s">
        <v>39</v>
      </c>
      <c r="E297" s="154" t="s">
        <v>3</v>
      </c>
    </row>
    <row r="298" spans="1:5" hidden="1">
      <c r="A298">
        <f t="shared" si="4"/>
        <v>296</v>
      </c>
      <c r="B298" t="s">
        <v>186</v>
      </c>
      <c r="C298" t="s">
        <v>71</v>
      </c>
      <c r="D298" s="172" t="s">
        <v>39</v>
      </c>
      <c r="E298" s="154" t="s">
        <v>3</v>
      </c>
    </row>
    <row r="299" spans="1:5" hidden="1">
      <c r="A299">
        <f t="shared" si="4"/>
        <v>297</v>
      </c>
      <c r="B299" t="s">
        <v>186</v>
      </c>
      <c r="C299" t="s">
        <v>51</v>
      </c>
      <c r="D299" s="172" t="s">
        <v>39</v>
      </c>
      <c r="E299" s="154" t="s">
        <v>3</v>
      </c>
    </row>
    <row r="300" spans="1:5" hidden="1">
      <c r="A300">
        <f t="shared" si="4"/>
        <v>298</v>
      </c>
      <c r="B300" t="s">
        <v>186</v>
      </c>
      <c r="C300" t="s">
        <v>55</v>
      </c>
      <c r="D300" s="172" t="s">
        <v>39</v>
      </c>
      <c r="E300" s="154" t="s">
        <v>3</v>
      </c>
    </row>
    <row r="301" spans="1:5" hidden="1">
      <c r="A301">
        <f t="shared" si="4"/>
        <v>299</v>
      </c>
      <c r="B301" t="s">
        <v>186</v>
      </c>
      <c r="C301" t="s">
        <v>58</v>
      </c>
      <c r="D301" s="172" t="s">
        <v>39</v>
      </c>
      <c r="E301" s="154" t="s">
        <v>3</v>
      </c>
    </row>
    <row r="302" spans="1:5" hidden="1">
      <c r="A302">
        <f t="shared" si="4"/>
        <v>300</v>
      </c>
      <c r="B302" t="s">
        <v>186</v>
      </c>
      <c r="C302" t="s">
        <v>1544</v>
      </c>
      <c r="D302" s="172" t="s">
        <v>39</v>
      </c>
      <c r="E302" s="154" t="s">
        <v>3</v>
      </c>
    </row>
    <row r="303" spans="1:5" hidden="1">
      <c r="A303">
        <f t="shared" si="4"/>
        <v>301</v>
      </c>
      <c r="B303" t="s">
        <v>186</v>
      </c>
      <c r="C303" t="s">
        <v>1545</v>
      </c>
      <c r="D303" s="172" t="s">
        <v>39</v>
      </c>
      <c r="E303" s="154" t="s">
        <v>3</v>
      </c>
    </row>
    <row r="304" spans="1:5" hidden="1">
      <c r="A304">
        <f t="shared" si="4"/>
        <v>302</v>
      </c>
      <c r="B304" t="s">
        <v>186</v>
      </c>
      <c r="C304" t="s">
        <v>1546</v>
      </c>
      <c r="D304" s="172" t="s">
        <v>39</v>
      </c>
      <c r="E304" s="154" t="s">
        <v>3</v>
      </c>
    </row>
    <row r="305" spans="1:5" hidden="1">
      <c r="A305">
        <f t="shared" si="4"/>
        <v>303</v>
      </c>
      <c r="B305" t="s">
        <v>186</v>
      </c>
      <c r="C305" t="s">
        <v>1547</v>
      </c>
      <c r="D305" s="172" t="s">
        <v>39</v>
      </c>
      <c r="E305" s="154" t="s">
        <v>3</v>
      </c>
    </row>
    <row r="306" spans="1:5" hidden="1">
      <c r="A306">
        <f t="shared" si="4"/>
        <v>304</v>
      </c>
      <c r="B306" t="s">
        <v>186</v>
      </c>
      <c r="C306" t="s">
        <v>1548</v>
      </c>
      <c r="D306" s="172" t="s">
        <v>39</v>
      </c>
      <c r="E306" s="154" t="s">
        <v>3</v>
      </c>
    </row>
    <row r="307" spans="1:5" hidden="1">
      <c r="A307">
        <f t="shared" si="4"/>
        <v>305</v>
      </c>
      <c r="B307" t="s">
        <v>186</v>
      </c>
      <c r="C307" t="s">
        <v>1549</v>
      </c>
      <c r="D307" s="172" t="s">
        <v>39</v>
      </c>
      <c r="E307" s="154" t="s">
        <v>3</v>
      </c>
    </row>
    <row r="308" spans="1:5" hidden="1">
      <c r="A308">
        <f t="shared" si="4"/>
        <v>306</v>
      </c>
      <c r="B308" t="s">
        <v>186</v>
      </c>
      <c r="C308" t="s">
        <v>64</v>
      </c>
      <c r="D308" s="172" t="s">
        <v>39</v>
      </c>
      <c r="E308" s="154" t="s">
        <v>3</v>
      </c>
    </row>
    <row r="309" spans="1:5" hidden="1">
      <c r="A309">
        <f t="shared" si="4"/>
        <v>307</v>
      </c>
      <c r="B309" t="s">
        <v>186</v>
      </c>
      <c r="C309" t="s">
        <v>1550</v>
      </c>
      <c r="D309" s="172" t="s">
        <v>39</v>
      </c>
      <c r="E309" s="154" t="s">
        <v>3</v>
      </c>
    </row>
    <row r="310" spans="1:5" hidden="1">
      <c r="A310">
        <f t="shared" si="4"/>
        <v>308</v>
      </c>
      <c r="B310" t="s">
        <v>186</v>
      </c>
      <c r="C310" t="s">
        <v>1551</v>
      </c>
      <c r="D310" s="172" t="s">
        <v>39</v>
      </c>
      <c r="E310" s="154" t="s">
        <v>3</v>
      </c>
    </row>
    <row r="311" spans="1:5" hidden="1">
      <c r="A311">
        <f t="shared" si="4"/>
        <v>309</v>
      </c>
      <c r="B311" t="s">
        <v>186</v>
      </c>
      <c r="C311" t="s">
        <v>62</v>
      </c>
      <c r="D311" s="172" t="s">
        <v>39</v>
      </c>
      <c r="E311" s="154" t="s">
        <v>3</v>
      </c>
    </row>
    <row r="312" spans="1:5" hidden="1">
      <c r="A312">
        <f t="shared" si="4"/>
        <v>310</v>
      </c>
      <c r="B312" t="s">
        <v>186</v>
      </c>
      <c r="C312" t="s">
        <v>1552</v>
      </c>
      <c r="D312" s="172" t="s">
        <v>39</v>
      </c>
      <c r="E312" s="154" t="s">
        <v>3</v>
      </c>
    </row>
    <row r="313" spans="1:5" hidden="1">
      <c r="A313">
        <f t="shared" si="4"/>
        <v>311</v>
      </c>
      <c r="B313" t="s">
        <v>186</v>
      </c>
      <c r="C313" t="s">
        <v>1553</v>
      </c>
      <c r="D313" s="172" t="s">
        <v>39</v>
      </c>
      <c r="E313" s="154" t="s">
        <v>3</v>
      </c>
    </row>
    <row r="314" spans="1:5" hidden="1">
      <c r="A314">
        <f t="shared" si="4"/>
        <v>312</v>
      </c>
      <c r="B314" t="s">
        <v>186</v>
      </c>
      <c r="C314" t="s">
        <v>63</v>
      </c>
      <c r="D314" s="172" t="s">
        <v>39</v>
      </c>
      <c r="E314" s="154" t="s">
        <v>3</v>
      </c>
    </row>
    <row r="315" spans="1:5" hidden="1">
      <c r="A315">
        <f t="shared" si="4"/>
        <v>313</v>
      </c>
      <c r="B315" t="s">
        <v>186</v>
      </c>
      <c r="C315" t="s">
        <v>1554</v>
      </c>
      <c r="D315" s="172" t="s">
        <v>39</v>
      </c>
      <c r="E315" s="154" t="s">
        <v>3</v>
      </c>
    </row>
    <row r="316" spans="1:5" hidden="1">
      <c r="A316">
        <f t="shared" si="4"/>
        <v>314</v>
      </c>
      <c r="B316" t="s">
        <v>186</v>
      </c>
      <c r="C316" t="s">
        <v>844</v>
      </c>
      <c r="D316" s="172" t="s">
        <v>39</v>
      </c>
      <c r="E316" s="154" t="s">
        <v>3</v>
      </c>
    </row>
    <row r="317" spans="1:5" hidden="1">
      <c r="A317">
        <f t="shared" si="4"/>
        <v>315</v>
      </c>
      <c r="B317" t="s">
        <v>186</v>
      </c>
      <c r="C317" t="s">
        <v>60</v>
      </c>
      <c r="D317" s="172" t="s">
        <v>39</v>
      </c>
      <c r="E317" s="154" t="s">
        <v>3</v>
      </c>
    </row>
    <row r="318" spans="1:5" hidden="1">
      <c r="A318">
        <f t="shared" si="4"/>
        <v>316</v>
      </c>
      <c r="B318" t="s">
        <v>186</v>
      </c>
      <c r="C318" t="s">
        <v>59</v>
      </c>
      <c r="D318" s="172" t="s">
        <v>39</v>
      </c>
      <c r="E318" s="154" t="s">
        <v>3</v>
      </c>
    </row>
    <row r="319" spans="1:5" hidden="1">
      <c r="A319">
        <f t="shared" si="4"/>
        <v>317</v>
      </c>
      <c r="B319" t="s">
        <v>186</v>
      </c>
      <c r="C319" t="s">
        <v>50</v>
      </c>
      <c r="D319" s="172" t="s">
        <v>39</v>
      </c>
      <c r="E319" s="154" t="s">
        <v>3</v>
      </c>
    </row>
    <row r="320" spans="1:5" hidden="1">
      <c r="A320">
        <f t="shared" si="4"/>
        <v>318</v>
      </c>
      <c r="B320" t="s">
        <v>186</v>
      </c>
      <c r="C320" t="s">
        <v>1555</v>
      </c>
      <c r="D320" s="172" t="s">
        <v>39</v>
      </c>
      <c r="E320" s="154" t="s">
        <v>3</v>
      </c>
    </row>
    <row r="321" spans="1:5" hidden="1">
      <c r="A321">
        <f t="shared" si="4"/>
        <v>319</v>
      </c>
      <c r="B321" t="s">
        <v>186</v>
      </c>
      <c r="C321" t="s">
        <v>1556</v>
      </c>
      <c r="D321" s="172" t="s">
        <v>39</v>
      </c>
      <c r="E321" s="154" t="s">
        <v>3</v>
      </c>
    </row>
    <row r="322" spans="1:5" hidden="1">
      <c r="A322">
        <f t="shared" si="4"/>
        <v>320</v>
      </c>
      <c r="B322" t="s">
        <v>186</v>
      </c>
      <c r="C322" t="s">
        <v>1557</v>
      </c>
      <c r="D322" s="172" t="s">
        <v>39</v>
      </c>
      <c r="E322" s="154" t="s">
        <v>3</v>
      </c>
    </row>
    <row r="323" spans="1:5" hidden="1">
      <c r="A323">
        <f t="shared" si="4"/>
        <v>321</v>
      </c>
      <c r="B323" t="s">
        <v>186</v>
      </c>
      <c r="C323" t="s">
        <v>1558</v>
      </c>
      <c r="D323" s="172" t="s">
        <v>39</v>
      </c>
      <c r="E323" s="154" t="s">
        <v>3</v>
      </c>
    </row>
    <row r="324" spans="1:5" hidden="1">
      <c r="A324">
        <f t="shared" ref="A324:A387" si="5">A323+1</f>
        <v>322</v>
      </c>
      <c r="B324" t="s">
        <v>186</v>
      </c>
      <c r="C324" t="s">
        <v>1559</v>
      </c>
      <c r="D324" s="172" t="s">
        <v>39</v>
      </c>
      <c r="E324" s="154" t="s">
        <v>3</v>
      </c>
    </row>
    <row r="325" spans="1:5" hidden="1">
      <c r="A325">
        <f t="shared" si="5"/>
        <v>323</v>
      </c>
      <c r="B325" t="s">
        <v>186</v>
      </c>
      <c r="C325" t="s">
        <v>1560</v>
      </c>
      <c r="D325" s="172" t="s">
        <v>39</v>
      </c>
      <c r="E325" s="154" t="s">
        <v>3</v>
      </c>
    </row>
    <row r="326" spans="1:5" hidden="1">
      <c r="A326">
        <f t="shared" si="5"/>
        <v>324</v>
      </c>
      <c r="B326" t="s">
        <v>186</v>
      </c>
      <c r="C326" t="s">
        <v>1561</v>
      </c>
      <c r="D326" s="172" t="s">
        <v>39</v>
      </c>
      <c r="E326" s="154" t="s">
        <v>3</v>
      </c>
    </row>
    <row r="327" spans="1:5" hidden="1">
      <c r="A327">
        <f t="shared" si="5"/>
        <v>325</v>
      </c>
      <c r="B327" t="s">
        <v>186</v>
      </c>
      <c r="C327" t="s">
        <v>54</v>
      </c>
      <c r="D327" s="172" t="s">
        <v>39</v>
      </c>
      <c r="E327" s="154" t="s">
        <v>3</v>
      </c>
    </row>
    <row r="328" spans="1:5" hidden="1">
      <c r="A328">
        <f t="shared" si="5"/>
        <v>326</v>
      </c>
      <c r="B328" t="s">
        <v>186</v>
      </c>
      <c r="C328" t="s">
        <v>38</v>
      </c>
      <c r="D328" s="172" t="s">
        <v>39</v>
      </c>
      <c r="E328" s="154" t="s">
        <v>3</v>
      </c>
    </row>
    <row r="329" spans="1:5" hidden="1">
      <c r="A329">
        <f t="shared" si="5"/>
        <v>327</v>
      </c>
      <c r="B329" t="s">
        <v>186</v>
      </c>
      <c r="C329" t="s">
        <v>1562</v>
      </c>
      <c r="D329" s="172" t="s">
        <v>39</v>
      </c>
      <c r="E329" s="154" t="s">
        <v>3</v>
      </c>
    </row>
    <row r="330" spans="1:5" hidden="1">
      <c r="A330">
        <f t="shared" si="5"/>
        <v>328</v>
      </c>
      <c r="B330" t="s">
        <v>186</v>
      </c>
      <c r="C330" t="s">
        <v>49</v>
      </c>
      <c r="D330" s="172" t="s">
        <v>39</v>
      </c>
      <c r="E330" s="154" t="s">
        <v>3</v>
      </c>
    </row>
    <row r="331" spans="1:5" hidden="1">
      <c r="A331">
        <f t="shared" si="5"/>
        <v>329</v>
      </c>
      <c r="B331" t="s">
        <v>186</v>
      </c>
      <c r="C331" t="s">
        <v>845</v>
      </c>
      <c r="D331" s="172" t="s">
        <v>39</v>
      </c>
      <c r="E331" s="154" t="s">
        <v>3</v>
      </c>
    </row>
    <row r="332" spans="1:5" hidden="1">
      <c r="A332">
        <f t="shared" si="5"/>
        <v>330</v>
      </c>
      <c r="B332" t="s">
        <v>186</v>
      </c>
      <c r="C332" t="s">
        <v>846</v>
      </c>
      <c r="D332" s="172" t="s">
        <v>39</v>
      </c>
      <c r="E332" s="154" t="s">
        <v>3</v>
      </c>
    </row>
    <row r="333" spans="1:5" hidden="1">
      <c r="A333">
        <f t="shared" si="5"/>
        <v>331</v>
      </c>
      <c r="B333" t="s">
        <v>186</v>
      </c>
      <c r="C333" t="s">
        <v>847</v>
      </c>
      <c r="D333" s="172" t="s">
        <v>39</v>
      </c>
      <c r="E333" s="154" t="s">
        <v>3</v>
      </c>
    </row>
    <row r="334" spans="1:5" hidden="1">
      <c r="A334">
        <f t="shared" si="5"/>
        <v>332</v>
      </c>
      <c r="B334" t="s">
        <v>186</v>
      </c>
      <c r="C334" t="s">
        <v>848</v>
      </c>
      <c r="D334" s="172" t="s">
        <v>39</v>
      </c>
      <c r="E334" s="154" t="s">
        <v>3</v>
      </c>
    </row>
    <row r="335" spans="1:5" hidden="1">
      <c r="A335">
        <f t="shared" si="5"/>
        <v>333</v>
      </c>
      <c r="B335" t="s">
        <v>186</v>
      </c>
      <c r="C335" t="s">
        <v>849</v>
      </c>
      <c r="D335" s="172" t="s">
        <v>39</v>
      </c>
      <c r="E335" s="154" t="s">
        <v>3</v>
      </c>
    </row>
    <row r="336" spans="1:5" hidden="1">
      <c r="A336">
        <f t="shared" si="5"/>
        <v>334</v>
      </c>
      <c r="B336" t="s">
        <v>186</v>
      </c>
      <c r="C336" t="s">
        <v>850</v>
      </c>
      <c r="D336" s="172" t="s">
        <v>39</v>
      </c>
      <c r="E336" s="154" t="s">
        <v>3</v>
      </c>
    </row>
    <row r="337" spans="1:5" hidden="1">
      <c r="A337">
        <f t="shared" si="5"/>
        <v>335</v>
      </c>
      <c r="B337" t="s">
        <v>186</v>
      </c>
      <c r="C337" s="215" t="s">
        <v>851</v>
      </c>
      <c r="D337" s="172" t="s">
        <v>39</v>
      </c>
      <c r="E337" s="154" t="s">
        <v>3</v>
      </c>
    </row>
    <row r="338" spans="1:5" hidden="1">
      <c r="A338">
        <f t="shared" si="5"/>
        <v>336</v>
      </c>
      <c r="B338" t="s">
        <v>186</v>
      </c>
      <c r="C338" s="173" t="s">
        <v>101</v>
      </c>
      <c r="D338" s="172" t="s">
        <v>39</v>
      </c>
      <c r="E338" s="154" t="s">
        <v>3</v>
      </c>
    </row>
    <row r="339" spans="1:5" hidden="1">
      <c r="A339">
        <f t="shared" si="5"/>
        <v>337</v>
      </c>
      <c r="B339" t="s">
        <v>186</v>
      </c>
      <c r="C339" t="s">
        <v>852</v>
      </c>
      <c r="D339" s="172" t="s">
        <v>39</v>
      </c>
      <c r="E339" s="154" t="s">
        <v>3</v>
      </c>
    </row>
    <row r="340" spans="1:5" hidden="1">
      <c r="A340">
        <f t="shared" si="5"/>
        <v>338</v>
      </c>
      <c r="B340" t="s">
        <v>186</v>
      </c>
      <c r="C340" t="s">
        <v>853</v>
      </c>
      <c r="D340" s="172" t="s">
        <v>39</v>
      </c>
      <c r="E340" s="154" t="s">
        <v>3</v>
      </c>
    </row>
    <row r="341" spans="1:5" hidden="1">
      <c r="A341">
        <f t="shared" si="5"/>
        <v>339</v>
      </c>
      <c r="B341" t="s">
        <v>186</v>
      </c>
      <c r="C341" t="s">
        <v>854</v>
      </c>
      <c r="D341" s="172" t="s">
        <v>39</v>
      </c>
      <c r="E341" s="154" t="s">
        <v>3</v>
      </c>
    </row>
    <row r="342" spans="1:5" hidden="1">
      <c r="A342">
        <f t="shared" si="5"/>
        <v>340</v>
      </c>
      <c r="B342" t="s">
        <v>186</v>
      </c>
      <c r="C342" t="s">
        <v>855</v>
      </c>
      <c r="D342" s="172" t="s">
        <v>39</v>
      </c>
      <c r="E342" s="154" t="s">
        <v>3</v>
      </c>
    </row>
    <row r="343" spans="1:5" hidden="1">
      <c r="A343">
        <f t="shared" si="5"/>
        <v>341</v>
      </c>
      <c r="B343" t="s">
        <v>186</v>
      </c>
      <c r="C343" t="s">
        <v>856</v>
      </c>
      <c r="D343" s="172" t="s">
        <v>39</v>
      </c>
      <c r="E343" s="154" t="s">
        <v>3</v>
      </c>
    </row>
    <row r="344" spans="1:5" hidden="1">
      <c r="A344">
        <f t="shared" si="5"/>
        <v>342</v>
      </c>
      <c r="B344" t="s">
        <v>186</v>
      </c>
      <c r="C344" t="s">
        <v>857</v>
      </c>
      <c r="D344" s="172" t="s">
        <v>39</v>
      </c>
      <c r="E344" s="154" t="s">
        <v>3</v>
      </c>
    </row>
    <row r="345" spans="1:5" hidden="1">
      <c r="A345">
        <f t="shared" si="5"/>
        <v>343</v>
      </c>
      <c r="B345" t="s">
        <v>186</v>
      </c>
      <c r="C345" t="s">
        <v>858</v>
      </c>
      <c r="D345" s="172" t="s">
        <v>39</v>
      </c>
      <c r="E345" s="154" t="s">
        <v>3</v>
      </c>
    </row>
    <row r="346" spans="1:5" hidden="1">
      <c r="A346">
        <f t="shared" si="5"/>
        <v>344</v>
      </c>
      <c r="B346" t="s">
        <v>186</v>
      </c>
      <c r="C346" t="s">
        <v>859</v>
      </c>
      <c r="D346" s="172" t="s">
        <v>39</v>
      </c>
      <c r="E346" s="154" t="s">
        <v>3</v>
      </c>
    </row>
    <row r="347" spans="1:5" hidden="1">
      <c r="A347">
        <f t="shared" si="5"/>
        <v>345</v>
      </c>
      <c r="B347" t="s">
        <v>186</v>
      </c>
      <c r="C347" t="s">
        <v>860</v>
      </c>
      <c r="D347" s="172" t="s">
        <v>39</v>
      </c>
      <c r="E347" s="154" t="s">
        <v>3</v>
      </c>
    </row>
    <row r="348" spans="1:5" hidden="1">
      <c r="A348">
        <f t="shared" si="5"/>
        <v>346</v>
      </c>
      <c r="B348" t="s">
        <v>186</v>
      </c>
      <c r="C348" t="s">
        <v>861</v>
      </c>
      <c r="D348" s="172" t="s">
        <v>39</v>
      </c>
      <c r="E348" s="154" t="s">
        <v>3</v>
      </c>
    </row>
    <row r="349" spans="1:5" hidden="1">
      <c r="A349">
        <f t="shared" si="5"/>
        <v>347</v>
      </c>
      <c r="B349" t="s">
        <v>186</v>
      </c>
      <c r="C349" t="s">
        <v>862</v>
      </c>
      <c r="D349" s="172" t="s">
        <v>39</v>
      </c>
      <c r="E349" s="154" t="s">
        <v>3</v>
      </c>
    </row>
    <row r="350" spans="1:5" hidden="1">
      <c r="A350">
        <f t="shared" si="5"/>
        <v>348</v>
      </c>
      <c r="B350" t="s">
        <v>186</v>
      </c>
      <c r="C350" t="s">
        <v>863</v>
      </c>
      <c r="D350" s="172" t="s">
        <v>39</v>
      </c>
      <c r="E350" s="154" t="s">
        <v>3</v>
      </c>
    </row>
    <row r="351" spans="1:5" hidden="1">
      <c r="A351">
        <f t="shared" si="5"/>
        <v>349</v>
      </c>
      <c r="B351" t="s">
        <v>186</v>
      </c>
      <c r="C351" t="s">
        <v>864</v>
      </c>
      <c r="D351" s="172" t="s">
        <v>39</v>
      </c>
      <c r="E351" s="154" t="s">
        <v>3</v>
      </c>
    </row>
    <row r="352" spans="1:5" hidden="1">
      <c r="A352">
        <f t="shared" si="5"/>
        <v>350</v>
      </c>
      <c r="B352" t="s">
        <v>186</v>
      </c>
      <c r="C352" t="s">
        <v>865</v>
      </c>
      <c r="D352" s="172" t="s">
        <v>39</v>
      </c>
      <c r="E352" s="154" t="s">
        <v>3</v>
      </c>
    </row>
    <row r="353" spans="1:5" hidden="1">
      <c r="A353">
        <f t="shared" si="5"/>
        <v>351</v>
      </c>
      <c r="B353" t="s">
        <v>186</v>
      </c>
      <c r="C353" t="s">
        <v>866</v>
      </c>
      <c r="D353" s="172" t="s">
        <v>39</v>
      </c>
      <c r="E353" s="154" t="s">
        <v>3</v>
      </c>
    </row>
    <row r="354" spans="1:5" hidden="1">
      <c r="A354">
        <f t="shared" si="5"/>
        <v>352</v>
      </c>
      <c r="B354" t="s">
        <v>186</v>
      </c>
      <c r="C354" t="s">
        <v>867</v>
      </c>
      <c r="D354" s="172" t="s">
        <v>39</v>
      </c>
      <c r="E354" s="154" t="s">
        <v>3</v>
      </c>
    </row>
    <row r="355" spans="1:5" hidden="1">
      <c r="A355">
        <f t="shared" si="5"/>
        <v>353</v>
      </c>
      <c r="B355" t="s">
        <v>186</v>
      </c>
      <c r="C355" t="s">
        <v>868</v>
      </c>
      <c r="D355" s="172" t="s">
        <v>39</v>
      </c>
      <c r="E355" s="154" t="s">
        <v>3</v>
      </c>
    </row>
    <row r="356" spans="1:5" hidden="1">
      <c r="A356">
        <f t="shared" si="5"/>
        <v>354</v>
      </c>
      <c r="B356" t="s">
        <v>186</v>
      </c>
      <c r="C356" t="s">
        <v>869</v>
      </c>
      <c r="D356" s="172" t="s">
        <v>39</v>
      </c>
      <c r="E356" s="154" t="s">
        <v>3</v>
      </c>
    </row>
    <row r="357" spans="1:5" hidden="1">
      <c r="A357">
        <f t="shared" si="5"/>
        <v>355</v>
      </c>
      <c r="B357" t="s">
        <v>186</v>
      </c>
      <c r="C357" t="s">
        <v>870</v>
      </c>
      <c r="D357" s="172" t="s">
        <v>39</v>
      </c>
      <c r="E357" s="154" t="s">
        <v>3</v>
      </c>
    </row>
    <row r="358" spans="1:5" hidden="1">
      <c r="A358">
        <f t="shared" si="5"/>
        <v>356</v>
      </c>
      <c r="B358" t="s">
        <v>186</v>
      </c>
      <c r="C358" t="s">
        <v>871</v>
      </c>
      <c r="D358" s="172" t="s">
        <v>39</v>
      </c>
      <c r="E358" s="154" t="s">
        <v>3</v>
      </c>
    </row>
    <row r="359" spans="1:5" hidden="1">
      <c r="A359">
        <f t="shared" si="5"/>
        <v>357</v>
      </c>
      <c r="B359" t="s">
        <v>186</v>
      </c>
      <c r="C359" t="s">
        <v>872</v>
      </c>
      <c r="D359" s="172" t="s">
        <v>39</v>
      </c>
      <c r="E359" s="154" t="s">
        <v>3</v>
      </c>
    </row>
    <row r="360" spans="1:5" hidden="1">
      <c r="A360">
        <f t="shared" si="5"/>
        <v>358</v>
      </c>
      <c r="B360" t="s">
        <v>186</v>
      </c>
      <c r="C360" t="s">
        <v>102</v>
      </c>
      <c r="D360" s="172" t="s">
        <v>39</v>
      </c>
      <c r="E360" s="154" t="s">
        <v>3</v>
      </c>
    </row>
    <row r="361" spans="1:5" hidden="1">
      <c r="A361">
        <f t="shared" si="5"/>
        <v>359</v>
      </c>
      <c r="B361" t="s">
        <v>186</v>
      </c>
      <c r="C361" t="s">
        <v>873</v>
      </c>
      <c r="D361" s="172" t="s">
        <v>39</v>
      </c>
      <c r="E361" s="154" t="s">
        <v>3</v>
      </c>
    </row>
    <row r="362" spans="1:5" hidden="1">
      <c r="A362">
        <f t="shared" si="5"/>
        <v>360</v>
      </c>
      <c r="B362" t="s">
        <v>186</v>
      </c>
      <c r="C362" t="s">
        <v>874</v>
      </c>
      <c r="D362" s="172" t="s">
        <v>39</v>
      </c>
      <c r="E362" s="154" t="s">
        <v>3</v>
      </c>
    </row>
    <row r="363" spans="1:5" hidden="1">
      <c r="A363">
        <f t="shared" si="5"/>
        <v>361</v>
      </c>
      <c r="B363" t="s">
        <v>186</v>
      </c>
      <c r="C363" t="s">
        <v>875</v>
      </c>
      <c r="D363" s="172" t="s">
        <v>39</v>
      </c>
      <c r="E363" s="154" t="s">
        <v>3</v>
      </c>
    </row>
    <row r="364" spans="1:5" hidden="1">
      <c r="A364">
        <f t="shared" si="5"/>
        <v>362</v>
      </c>
      <c r="B364" t="s">
        <v>186</v>
      </c>
      <c r="C364" s="215" t="s">
        <v>876</v>
      </c>
      <c r="D364" s="172" t="s">
        <v>39</v>
      </c>
      <c r="E364" s="154" t="s">
        <v>3</v>
      </c>
    </row>
    <row r="365" spans="1:5" hidden="1">
      <c r="A365">
        <f t="shared" si="5"/>
        <v>363</v>
      </c>
      <c r="B365" t="s">
        <v>186</v>
      </c>
      <c r="C365" s="173" t="s">
        <v>103</v>
      </c>
      <c r="D365" s="172" t="s">
        <v>39</v>
      </c>
      <c r="E365" s="154" t="s">
        <v>3</v>
      </c>
    </row>
    <row r="366" spans="1:5" hidden="1">
      <c r="A366">
        <f t="shared" si="5"/>
        <v>364</v>
      </c>
      <c r="B366" t="s">
        <v>186</v>
      </c>
      <c r="C366" t="s">
        <v>877</v>
      </c>
      <c r="D366" s="172" t="s">
        <v>39</v>
      </c>
      <c r="E366" s="154" t="s">
        <v>3</v>
      </c>
    </row>
    <row r="367" spans="1:5" hidden="1">
      <c r="A367">
        <f t="shared" si="5"/>
        <v>365</v>
      </c>
      <c r="B367" t="s">
        <v>186</v>
      </c>
      <c r="C367" t="s">
        <v>878</v>
      </c>
      <c r="D367" s="172" t="s">
        <v>39</v>
      </c>
      <c r="E367" s="154" t="s">
        <v>3</v>
      </c>
    </row>
    <row r="368" spans="1:5" hidden="1">
      <c r="A368">
        <f t="shared" si="5"/>
        <v>366</v>
      </c>
      <c r="B368" t="s">
        <v>186</v>
      </c>
      <c r="C368" t="s">
        <v>879</v>
      </c>
      <c r="D368" s="172" t="s">
        <v>39</v>
      </c>
      <c r="E368" s="154" t="s">
        <v>3</v>
      </c>
    </row>
    <row r="369" spans="1:5" hidden="1">
      <c r="A369">
        <f t="shared" si="5"/>
        <v>367</v>
      </c>
      <c r="B369" t="s">
        <v>186</v>
      </c>
      <c r="C369" t="s">
        <v>880</v>
      </c>
      <c r="D369" s="172" t="s">
        <v>39</v>
      </c>
      <c r="E369" s="154" t="s">
        <v>3</v>
      </c>
    </row>
    <row r="370" spans="1:5" hidden="1">
      <c r="A370">
        <f t="shared" si="5"/>
        <v>368</v>
      </c>
      <c r="B370" t="s">
        <v>186</v>
      </c>
      <c r="C370" s="215" t="s">
        <v>34</v>
      </c>
      <c r="D370" s="172" t="s">
        <v>35</v>
      </c>
      <c r="E370" s="154" t="s">
        <v>3</v>
      </c>
    </row>
    <row r="371" spans="1:5" hidden="1">
      <c r="A371">
        <f t="shared" si="5"/>
        <v>369</v>
      </c>
      <c r="B371" t="s">
        <v>186</v>
      </c>
      <c r="C371" s="173" t="s">
        <v>53</v>
      </c>
      <c r="D371" s="172" t="s">
        <v>35</v>
      </c>
      <c r="E371" s="154" t="s">
        <v>3</v>
      </c>
    </row>
    <row r="372" spans="1:5" hidden="1">
      <c r="A372">
        <f t="shared" si="5"/>
        <v>370</v>
      </c>
      <c r="B372" t="s">
        <v>881</v>
      </c>
      <c r="C372" s="215" t="s">
        <v>882</v>
      </c>
      <c r="D372" s="172" t="s">
        <v>883</v>
      </c>
      <c r="E372" s="154" t="s">
        <v>3</v>
      </c>
    </row>
    <row r="373" spans="1:5" hidden="1">
      <c r="A373">
        <f t="shared" si="5"/>
        <v>371</v>
      </c>
      <c r="B373" t="s">
        <v>881</v>
      </c>
      <c r="C373" s="173" t="s">
        <v>884</v>
      </c>
      <c r="D373" s="172" t="s">
        <v>883</v>
      </c>
      <c r="E373" s="154" t="s">
        <v>3</v>
      </c>
    </row>
    <row r="374" spans="1:5" hidden="1">
      <c r="A374">
        <f t="shared" si="5"/>
        <v>372</v>
      </c>
      <c r="B374" t="s">
        <v>881</v>
      </c>
      <c r="C374" s="173" t="s">
        <v>885</v>
      </c>
      <c r="D374" s="172" t="s">
        <v>883</v>
      </c>
      <c r="E374" s="154" t="s">
        <v>3</v>
      </c>
    </row>
    <row r="375" spans="1:5" hidden="1">
      <c r="A375">
        <f t="shared" si="5"/>
        <v>373</v>
      </c>
      <c r="B375" t="s">
        <v>886</v>
      </c>
      <c r="C375" t="s">
        <v>887</v>
      </c>
      <c r="D375" s="172" t="s">
        <v>886</v>
      </c>
      <c r="E375" s="154" t="s">
        <v>3</v>
      </c>
    </row>
    <row r="376" spans="1:5" hidden="1">
      <c r="A376">
        <f t="shared" si="5"/>
        <v>374</v>
      </c>
      <c r="B376" t="s">
        <v>886</v>
      </c>
      <c r="C376" t="s">
        <v>888</v>
      </c>
      <c r="D376" s="172" t="s">
        <v>886</v>
      </c>
      <c r="E376" s="154" t="s">
        <v>3</v>
      </c>
    </row>
    <row r="377" spans="1:5" hidden="1">
      <c r="A377">
        <f t="shared" si="5"/>
        <v>375</v>
      </c>
      <c r="B377" t="s">
        <v>886</v>
      </c>
      <c r="C377" t="s">
        <v>889</v>
      </c>
      <c r="D377" s="172" t="s">
        <v>886</v>
      </c>
      <c r="E377" s="154" t="s">
        <v>3</v>
      </c>
    </row>
    <row r="378" spans="1:5" hidden="1">
      <c r="A378">
        <f t="shared" si="5"/>
        <v>376</v>
      </c>
      <c r="B378" t="s">
        <v>886</v>
      </c>
      <c r="C378" t="s">
        <v>890</v>
      </c>
      <c r="D378" s="172" t="s">
        <v>886</v>
      </c>
      <c r="E378" s="154" t="s">
        <v>3</v>
      </c>
    </row>
    <row r="379" spans="1:5" hidden="1">
      <c r="A379">
        <f t="shared" si="5"/>
        <v>377</v>
      </c>
      <c r="B379" t="s">
        <v>886</v>
      </c>
      <c r="C379" t="s">
        <v>891</v>
      </c>
      <c r="D379" s="172" t="s">
        <v>886</v>
      </c>
      <c r="E379" s="154" t="s">
        <v>3</v>
      </c>
    </row>
    <row r="380" spans="1:5" hidden="1">
      <c r="A380">
        <f t="shared" si="5"/>
        <v>378</v>
      </c>
      <c r="B380" t="s">
        <v>886</v>
      </c>
      <c r="C380" t="s">
        <v>892</v>
      </c>
      <c r="D380" s="172" t="s">
        <v>886</v>
      </c>
      <c r="E380" s="154" t="s">
        <v>3</v>
      </c>
    </row>
    <row r="381" spans="1:5" hidden="1">
      <c r="A381">
        <f t="shared" si="5"/>
        <v>379</v>
      </c>
      <c r="B381" t="s">
        <v>886</v>
      </c>
      <c r="C381" t="s">
        <v>893</v>
      </c>
      <c r="D381" s="172" t="s">
        <v>886</v>
      </c>
      <c r="E381" s="154" t="s">
        <v>3</v>
      </c>
    </row>
    <row r="382" spans="1:5" hidden="1">
      <c r="A382">
        <f t="shared" si="5"/>
        <v>380</v>
      </c>
      <c r="B382" t="s">
        <v>886</v>
      </c>
      <c r="C382" t="s">
        <v>894</v>
      </c>
      <c r="D382" s="172" t="s">
        <v>886</v>
      </c>
      <c r="E382" s="154" t="s">
        <v>3</v>
      </c>
    </row>
    <row r="383" spans="1:5" hidden="1">
      <c r="A383">
        <f t="shared" si="5"/>
        <v>381</v>
      </c>
      <c r="B383" t="s">
        <v>886</v>
      </c>
      <c r="C383" t="s">
        <v>895</v>
      </c>
      <c r="D383" s="172" t="s">
        <v>886</v>
      </c>
      <c r="E383" s="154" t="s">
        <v>3</v>
      </c>
    </row>
    <row r="384" spans="1:5" hidden="1">
      <c r="A384">
        <f t="shared" si="5"/>
        <v>382</v>
      </c>
      <c r="B384" t="s">
        <v>886</v>
      </c>
      <c r="C384" t="s">
        <v>896</v>
      </c>
      <c r="D384" s="172" t="s">
        <v>886</v>
      </c>
      <c r="E384" s="154" t="s">
        <v>3</v>
      </c>
    </row>
    <row r="385" spans="1:5" hidden="1">
      <c r="A385">
        <f t="shared" si="5"/>
        <v>383</v>
      </c>
      <c r="B385" t="s">
        <v>886</v>
      </c>
      <c r="C385" t="s">
        <v>897</v>
      </c>
      <c r="D385" s="172" t="s">
        <v>886</v>
      </c>
      <c r="E385" s="154" t="s">
        <v>3</v>
      </c>
    </row>
    <row r="386" spans="1:5" hidden="1">
      <c r="A386">
        <f t="shared" si="5"/>
        <v>384</v>
      </c>
      <c r="B386" t="s">
        <v>886</v>
      </c>
      <c r="C386" t="s">
        <v>898</v>
      </c>
      <c r="D386" s="172" t="s">
        <v>886</v>
      </c>
      <c r="E386" s="154" t="s">
        <v>3</v>
      </c>
    </row>
    <row r="387" spans="1:5" hidden="1">
      <c r="A387">
        <f t="shared" si="5"/>
        <v>385</v>
      </c>
      <c r="B387" t="s">
        <v>886</v>
      </c>
      <c r="C387" t="s">
        <v>899</v>
      </c>
      <c r="D387" s="172" t="s">
        <v>886</v>
      </c>
      <c r="E387" s="154" t="s">
        <v>3</v>
      </c>
    </row>
    <row r="388" spans="1:5" hidden="1">
      <c r="A388">
        <f t="shared" ref="A388:A451" si="6">A387+1</f>
        <v>386</v>
      </c>
      <c r="B388" t="s">
        <v>886</v>
      </c>
      <c r="C388" t="s">
        <v>900</v>
      </c>
      <c r="D388" s="172" t="s">
        <v>886</v>
      </c>
      <c r="E388" s="154" t="s">
        <v>3</v>
      </c>
    </row>
    <row r="389" spans="1:5" hidden="1">
      <c r="A389">
        <f t="shared" si="6"/>
        <v>387</v>
      </c>
      <c r="B389" t="s">
        <v>886</v>
      </c>
      <c r="C389" t="s">
        <v>901</v>
      </c>
      <c r="D389" s="172" t="s">
        <v>886</v>
      </c>
      <c r="E389" s="154" t="s">
        <v>3</v>
      </c>
    </row>
    <row r="390" spans="1:5" hidden="1">
      <c r="A390">
        <f t="shared" si="6"/>
        <v>388</v>
      </c>
      <c r="B390" t="s">
        <v>886</v>
      </c>
      <c r="C390" t="s">
        <v>902</v>
      </c>
      <c r="D390" s="172" t="s">
        <v>886</v>
      </c>
      <c r="E390" s="154" t="s">
        <v>3</v>
      </c>
    </row>
    <row r="391" spans="1:5" hidden="1">
      <c r="A391">
        <f t="shared" si="6"/>
        <v>389</v>
      </c>
      <c r="B391" t="s">
        <v>886</v>
      </c>
      <c r="C391" t="s">
        <v>903</v>
      </c>
      <c r="D391" s="172" t="s">
        <v>886</v>
      </c>
      <c r="E391" s="154" t="s">
        <v>3</v>
      </c>
    </row>
    <row r="392" spans="1:5" hidden="1">
      <c r="A392">
        <f t="shared" si="6"/>
        <v>390</v>
      </c>
      <c r="B392" t="s">
        <v>886</v>
      </c>
      <c r="C392" t="s">
        <v>904</v>
      </c>
      <c r="D392" s="172" t="s">
        <v>886</v>
      </c>
      <c r="E392" s="154" t="s">
        <v>3</v>
      </c>
    </row>
    <row r="393" spans="1:5" hidden="1">
      <c r="A393">
        <f t="shared" si="6"/>
        <v>391</v>
      </c>
      <c r="B393" t="s">
        <v>886</v>
      </c>
      <c r="C393" t="s">
        <v>905</v>
      </c>
      <c r="D393" s="172" t="s">
        <v>886</v>
      </c>
      <c r="E393" s="154" t="s">
        <v>3</v>
      </c>
    </row>
    <row r="394" spans="1:5" hidden="1">
      <c r="A394">
        <f t="shared" si="6"/>
        <v>392</v>
      </c>
      <c r="B394" t="s">
        <v>886</v>
      </c>
      <c r="C394" t="s">
        <v>1532</v>
      </c>
      <c r="D394" s="172" t="s">
        <v>886</v>
      </c>
      <c r="E394" s="154" t="s">
        <v>3</v>
      </c>
    </row>
    <row r="395" spans="1:5" hidden="1">
      <c r="A395">
        <f t="shared" si="6"/>
        <v>393</v>
      </c>
      <c r="B395" t="s">
        <v>886</v>
      </c>
      <c r="C395" t="s">
        <v>906</v>
      </c>
      <c r="D395" s="172" t="s">
        <v>886</v>
      </c>
      <c r="E395" s="154" t="s">
        <v>3</v>
      </c>
    </row>
    <row r="396" spans="1:5" hidden="1">
      <c r="A396">
        <f t="shared" si="6"/>
        <v>394</v>
      </c>
      <c r="B396" t="s">
        <v>886</v>
      </c>
      <c r="C396" t="s">
        <v>907</v>
      </c>
      <c r="D396" s="172" t="s">
        <v>886</v>
      </c>
      <c r="E396" s="154" t="s">
        <v>3</v>
      </c>
    </row>
    <row r="397" spans="1:5" hidden="1">
      <c r="A397">
        <f t="shared" si="6"/>
        <v>395</v>
      </c>
      <c r="B397" t="s">
        <v>886</v>
      </c>
      <c r="C397" t="s">
        <v>908</v>
      </c>
      <c r="D397" s="172" t="s">
        <v>886</v>
      </c>
      <c r="E397" s="154" t="s">
        <v>3</v>
      </c>
    </row>
    <row r="398" spans="1:5" hidden="1">
      <c r="A398">
        <f t="shared" si="6"/>
        <v>396</v>
      </c>
      <c r="B398" t="s">
        <v>886</v>
      </c>
      <c r="C398" t="s">
        <v>909</v>
      </c>
      <c r="D398" s="172" t="s">
        <v>886</v>
      </c>
      <c r="E398" s="154" t="s">
        <v>3</v>
      </c>
    </row>
    <row r="399" spans="1:5" hidden="1">
      <c r="A399">
        <f t="shared" si="6"/>
        <v>397</v>
      </c>
      <c r="B399" t="s">
        <v>886</v>
      </c>
      <c r="C399" t="s">
        <v>910</v>
      </c>
      <c r="D399" s="172" t="s">
        <v>886</v>
      </c>
      <c r="E399" s="154" t="s">
        <v>3</v>
      </c>
    </row>
    <row r="400" spans="1:5" hidden="1">
      <c r="A400">
        <f t="shared" si="6"/>
        <v>398</v>
      </c>
      <c r="B400" t="s">
        <v>886</v>
      </c>
      <c r="C400" t="s">
        <v>911</v>
      </c>
      <c r="D400" s="172" t="s">
        <v>886</v>
      </c>
      <c r="E400" s="154" t="s">
        <v>3</v>
      </c>
    </row>
    <row r="401" spans="1:5" hidden="1">
      <c r="A401">
        <f t="shared" si="6"/>
        <v>399</v>
      </c>
      <c r="B401" t="s">
        <v>886</v>
      </c>
      <c r="C401" t="s">
        <v>1533</v>
      </c>
      <c r="D401" s="172" t="s">
        <v>886</v>
      </c>
      <c r="E401" s="154" t="s">
        <v>3</v>
      </c>
    </row>
    <row r="402" spans="1:5" hidden="1">
      <c r="A402">
        <f t="shared" si="6"/>
        <v>400</v>
      </c>
      <c r="B402" t="s">
        <v>886</v>
      </c>
      <c r="C402" t="s">
        <v>912</v>
      </c>
      <c r="D402" s="172" t="s">
        <v>886</v>
      </c>
      <c r="E402" s="154" t="s">
        <v>3</v>
      </c>
    </row>
    <row r="403" spans="1:5" hidden="1">
      <c r="A403">
        <f t="shared" si="6"/>
        <v>401</v>
      </c>
      <c r="B403" t="s">
        <v>886</v>
      </c>
      <c r="C403" t="s">
        <v>913</v>
      </c>
      <c r="D403" s="172" t="s">
        <v>886</v>
      </c>
      <c r="E403" s="154" t="s">
        <v>3</v>
      </c>
    </row>
    <row r="404" spans="1:5" hidden="1">
      <c r="A404">
        <f t="shared" si="6"/>
        <v>402</v>
      </c>
      <c r="B404" t="s">
        <v>886</v>
      </c>
      <c r="C404" t="s">
        <v>914</v>
      </c>
      <c r="D404" s="172" t="s">
        <v>886</v>
      </c>
      <c r="E404" s="154" t="s">
        <v>3</v>
      </c>
    </row>
    <row r="405" spans="1:5" hidden="1">
      <c r="A405">
        <f t="shared" si="6"/>
        <v>403</v>
      </c>
      <c r="B405" t="s">
        <v>886</v>
      </c>
      <c r="C405" t="s">
        <v>915</v>
      </c>
      <c r="D405" s="172" t="s">
        <v>886</v>
      </c>
      <c r="E405" s="154" t="s">
        <v>3</v>
      </c>
    </row>
    <row r="406" spans="1:5" hidden="1">
      <c r="A406">
        <f t="shared" si="6"/>
        <v>404</v>
      </c>
      <c r="B406" t="s">
        <v>886</v>
      </c>
      <c r="C406" t="s">
        <v>916</v>
      </c>
      <c r="D406" s="172" t="s">
        <v>886</v>
      </c>
      <c r="E406" s="154" t="s">
        <v>3</v>
      </c>
    </row>
    <row r="407" spans="1:5" hidden="1">
      <c r="A407">
        <f t="shared" si="6"/>
        <v>405</v>
      </c>
      <c r="B407" t="s">
        <v>886</v>
      </c>
      <c r="C407" t="s">
        <v>1534</v>
      </c>
      <c r="D407" s="172" t="s">
        <v>886</v>
      </c>
      <c r="E407" s="154" t="s">
        <v>3</v>
      </c>
    </row>
    <row r="408" spans="1:5" hidden="1">
      <c r="A408">
        <f t="shared" si="6"/>
        <v>406</v>
      </c>
      <c r="B408" t="s">
        <v>886</v>
      </c>
      <c r="C408" t="s">
        <v>917</v>
      </c>
      <c r="D408" s="172" t="s">
        <v>886</v>
      </c>
      <c r="E408" s="154" t="s">
        <v>3</v>
      </c>
    </row>
    <row r="409" spans="1:5" hidden="1">
      <c r="A409">
        <f t="shared" si="6"/>
        <v>407</v>
      </c>
      <c r="B409" t="s">
        <v>886</v>
      </c>
      <c r="C409" t="s">
        <v>918</v>
      </c>
      <c r="D409" s="172" t="s">
        <v>886</v>
      </c>
      <c r="E409" s="154" t="s">
        <v>3</v>
      </c>
    </row>
    <row r="410" spans="1:5" hidden="1">
      <c r="A410">
        <f t="shared" si="6"/>
        <v>408</v>
      </c>
      <c r="B410" t="s">
        <v>886</v>
      </c>
      <c r="C410" t="s">
        <v>919</v>
      </c>
      <c r="D410" s="172" t="s">
        <v>886</v>
      </c>
      <c r="E410" s="154" t="s">
        <v>3</v>
      </c>
    </row>
    <row r="411" spans="1:5" hidden="1">
      <c r="A411">
        <f t="shared" si="6"/>
        <v>409</v>
      </c>
      <c r="B411" t="s">
        <v>886</v>
      </c>
      <c r="C411" t="s">
        <v>920</v>
      </c>
      <c r="D411" s="172" t="s">
        <v>886</v>
      </c>
      <c r="E411" s="154" t="s">
        <v>3</v>
      </c>
    </row>
    <row r="412" spans="1:5" hidden="1">
      <c r="A412">
        <f t="shared" si="6"/>
        <v>410</v>
      </c>
      <c r="B412" t="s">
        <v>886</v>
      </c>
      <c r="C412" t="s">
        <v>921</v>
      </c>
      <c r="D412" s="172" t="s">
        <v>886</v>
      </c>
      <c r="E412" s="154" t="s">
        <v>3</v>
      </c>
    </row>
    <row r="413" spans="1:5" hidden="1">
      <c r="A413">
        <f t="shared" si="6"/>
        <v>411</v>
      </c>
      <c r="B413" t="s">
        <v>886</v>
      </c>
      <c r="C413" t="s">
        <v>922</v>
      </c>
      <c r="D413" s="172" t="s">
        <v>886</v>
      </c>
      <c r="E413" s="154" t="s">
        <v>3</v>
      </c>
    </row>
    <row r="414" spans="1:5" hidden="1">
      <c r="A414">
        <f t="shared" si="6"/>
        <v>412</v>
      </c>
      <c r="B414" t="s">
        <v>886</v>
      </c>
      <c r="C414" t="s">
        <v>923</v>
      </c>
      <c r="D414" s="172" t="s">
        <v>886</v>
      </c>
      <c r="E414" s="154" t="s">
        <v>3</v>
      </c>
    </row>
    <row r="415" spans="1:5" hidden="1">
      <c r="A415">
        <f t="shared" si="6"/>
        <v>413</v>
      </c>
      <c r="B415" t="s">
        <v>886</v>
      </c>
      <c r="C415" t="s">
        <v>924</v>
      </c>
      <c r="D415" s="172" t="s">
        <v>886</v>
      </c>
      <c r="E415" s="154" t="s">
        <v>3</v>
      </c>
    </row>
    <row r="416" spans="1:5" hidden="1">
      <c r="A416">
        <f t="shared" si="6"/>
        <v>414</v>
      </c>
      <c r="B416" t="s">
        <v>886</v>
      </c>
      <c r="C416" t="s">
        <v>925</v>
      </c>
      <c r="D416" s="172" t="s">
        <v>886</v>
      </c>
      <c r="E416" s="154" t="s">
        <v>3</v>
      </c>
    </row>
    <row r="417" spans="1:5" hidden="1">
      <c r="A417">
        <f t="shared" si="6"/>
        <v>415</v>
      </c>
      <c r="B417" t="s">
        <v>886</v>
      </c>
      <c r="C417" t="s">
        <v>926</v>
      </c>
      <c r="D417" s="172" t="s">
        <v>886</v>
      </c>
      <c r="E417" s="154" t="s">
        <v>3</v>
      </c>
    </row>
    <row r="418" spans="1:5" hidden="1">
      <c r="A418">
        <f t="shared" si="6"/>
        <v>416</v>
      </c>
      <c r="B418" t="s">
        <v>886</v>
      </c>
      <c r="C418" t="s">
        <v>927</v>
      </c>
      <c r="D418" s="172" t="s">
        <v>886</v>
      </c>
      <c r="E418" s="154" t="s">
        <v>3</v>
      </c>
    </row>
    <row r="419" spans="1:5" hidden="1">
      <c r="A419">
        <f t="shared" si="6"/>
        <v>417</v>
      </c>
      <c r="B419" t="s">
        <v>886</v>
      </c>
      <c r="C419" t="s">
        <v>928</v>
      </c>
      <c r="D419" s="172" t="s">
        <v>886</v>
      </c>
      <c r="E419" s="154" t="s">
        <v>3</v>
      </c>
    </row>
    <row r="420" spans="1:5" hidden="1">
      <c r="A420">
        <f t="shared" si="6"/>
        <v>418</v>
      </c>
      <c r="B420" t="s">
        <v>886</v>
      </c>
      <c r="C420" t="s">
        <v>929</v>
      </c>
      <c r="D420" s="172" t="s">
        <v>886</v>
      </c>
      <c r="E420" s="154" t="s">
        <v>3</v>
      </c>
    </row>
    <row r="421" spans="1:5" hidden="1">
      <c r="A421">
        <f t="shared" si="6"/>
        <v>419</v>
      </c>
      <c r="B421" t="s">
        <v>886</v>
      </c>
      <c r="C421" t="s">
        <v>930</v>
      </c>
      <c r="D421" s="172" t="s">
        <v>886</v>
      </c>
      <c r="E421" s="154" t="s">
        <v>3</v>
      </c>
    </row>
    <row r="422" spans="1:5" hidden="1">
      <c r="A422">
        <f t="shared" si="6"/>
        <v>420</v>
      </c>
      <c r="B422" t="s">
        <v>886</v>
      </c>
      <c r="C422" t="s">
        <v>931</v>
      </c>
      <c r="D422" s="172" t="s">
        <v>886</v>
      </c>
      <c r="E422" s="154" t="s">
        <v>3</v>
      </c>
    </row>
    <row r="423" spans="1:5" hidden="1">
      <c r="A423">
        <f t="shared" si="6"/>
        <v>421</v>
      </c>
      <c r="B423" t="s">
        <v>886</v>
      </c>
      <c r="C423" t="s">
        <v>932</v>
      </c>
      <c r="D423" s="172" t="s">
        <v>886</v>
      </c>
      <c r="E423" s="154" t="s">
        <v>3</v>
      </c>
    </row>
    <row r="424" spans="1:5" hidden="1">
      <c r="A424">
        <f t="shared" si="6"/>
        <v>422</v>
      </c>
      <c r="B424" t="s">
        <v>886</v>
      </c>
      <c r="C424" t="s">
        <v>933</v>
      </c>
      <c r="D424" s="172" t="s">
        <v>886</v>
      </c>
      <c r="E424" s="154" t="s">
        <v>3</v>
      </c>
    </row>
    <row r="425" spans="1:5" hidden="1">
      <c r="A425">
        <f t="shared" si="6"/>
        <v>423</v>
      </c>
      <c r="B425" t="s">
        <v>886</v>
      </c>
      <c r="C425" t="s">
        <v>934</v>
      </c>
      <c r="D425" s="172" t="s">
        <v>886</v>
      </c>
      <c r="E425" s="154" t="s">
        <v>3</v>
      </c>
    </row>
    <row r="426" spans="1:5" hidden="1">
      <c r="A426">
        <f t="shared" si="6"/>
        <v>424</v>
      </c>
      <c r="B426" t="s">
        <v>886</v>
      </c>
      <c r="C426" t="s">
        <v>935</v>
      </c>
      <c r="D426" s="172" t="s">
        <v>886</v>
      </c>
      <c r="E426" s="154" t="s">
        <v>3</v>
      </c>
    </row>
    <row r="427" spans="1:5" hidden="1">
      <c r="A427">
        <f t="shared" si="6"/>
        <v>425</v>
      </c>
      <c r="B427" t="s">
        <v>886</v>
      </c>
      <c r="C427" t="s">
        <v>936</v>
      </c>
      <c r="D427" s="172" t="s">
        <v>886</v>
      </c>
      <c r="E427" s="154" t="s">
        <v>3</v>
      </c>
    </row>
    <row r="428" spans="1:5" hidden="1">
      <c r="A428">
        <f t="shared" si="6"/>
        <v>426</v>
      </c>
      <c r="B428" t="s">
        <v>886</v>
      </c>
      <c r="C428" t="s">
        <v>937</v>
      </c>
      <c r="D428" s="172" t="s">
        <v>886</v>
      </c>
      <c r="E428" s="154" t="s">
        <v>3</v>
      </c>
    </row>
    <row r="429" spans="1:5" hidden="1">
      <c r="A429">
        <f t="shared" si="6"/>
        <v>427</v>
      </c>
      <c r="B429" t="s">
        <v>886</v>
      </c>
      <c r="C429" t="s">
        <v>938</v>
      </c>
      <c r="D429" s="172" t="s">
        <v>886</v>
      </c>
      <c r="E429" s="154" t="s">
        <v>3</v>
      </c>
    </row>
    <row r="430" spans="1:5" hidden="1">
      <c r="A430">
        <f t="shared" si="6"/>
        <v>428</v>
      </c>
      <c r="B430" t="s">
        <v>886</v>
      </c>
      <c r="C430" t="s">
        <v>939</v>
      </c>
      <c r="D430" s="172" t="s">
        <v>886</v>
      </c>
      <c r="E430" s="154" t="s">
        <v>3</v>
      </c>
    </row>
    <row r="431" spans="1:5" hidden="1">
      <c r="A431">
        <f t="shared" si="6"/>
        <v>429</v>
      </c>
      <c r="B431" t="s">
        <v>886</v>
      </c>
      <c r="C431" t="s">
        <v>940</v>
      </c>
      <c r="D431" s="172" t="s">
        <v>886</v>
      </c>
      <c r="E431" s="154" t="s">
        <v>3</v>
      </c>
    </row>
    <row r="432" spans="1:5" hidden="1">
      <c r="A432">
        <f t="shared" si="6"/>
        <v>430</v>
      </c>
      <c r="B432" t="s">
        <v>886</v>
      </c>
      <c r="C432" t="s">
        <v>941</v>
      </c>
      <c r="D432" s="172" t="s">
        <v>886</v>
      </c>
      <c r="E432" s="154" t="s">
        <v>3</v>
      </c>
    </row>
    <row r="433" spans="1:5" hidden="1">
      <c r="A433">
        <f t="shared" si="6"/>
        <v>431</v>
      </c>
      <c r="B433" t="s">
        <v>886</v>
      </c>
      <c r="C433" t="s">
        <v>942</v>
      </c>
      <c r="D433" s="172" t="s">
        <v>886</v>
      </c>
      <c r="E433" s="154" t="s">
        <v>3</v>
      </c>
    </row>
    <row r="434" spans="1:5" hidden="1">
      <c r="A434">
        <f t="shared" si="6"/>
        <v>432</v>
      </c>
      <c r="B434" t="s">
        <v>886</v>
      </c>
      <c r="C434" t="s">
        <v>943</v>
      </c>
      <c r="D434" s="172" t="s">
        <v>886</v>
      </c>
      <c r="E434" s="154" t="s">
        <v>3</v>
      </c>
    </row>
    <row r="435" spans="1:5" hidden="1">
      <c r="A435">
        <f t="shared" si="6"/>
        <v>433</v>
      </c>
      <c r="B435" t="s">
        <v>886</v>
      </c>
      <c r="C435" t="s">
        <v>944</v>
      </c>
      <c r="D435" s="172" t="s">
        <v>886</v>
      </c>
      <c r="E435" s="154" t="s">
        <v>3</v>
      </c>
    </row>
    <row r="436" spans="1:5" hidden="1">
      <c r="A436">
        <f t="shared" si="6"/>
        <v>434</v>
      </c>
      <c r="B436" t="s">
        <v>886</v>
      </c>
      <c r="C436" t="s">
        <v>945</v>
      </c>
      <c r="D436" s="172" t="s">
        <v>886</v>
      </c>
      <c r="E436" s="154" t="s">
        <v>3</v>
      </c>
    </row>
    <row r="437" spans="1:5" hidden="1">
      <c r="A437">
        <f t="shared" si="6"/>
        <v>435</v>
      </c>
      <c r="B437" t="s">
        <v>886</v>
      </c>
      <c r="C437" t="s">
        <v>946</v>
      </c>
      <c r="D437" s="172" t="s">
        <v>886</v>
      </c>
      <c r="E437" s="154" t="s">
        <v>3</v>
      </c>
    </row>
    <row r="438" spans="1:5" hidden="1">
      <c r="A438">
        <f t="shared" si="6"/>
        <v>436</v>
      </c>
      <c r="B438" t="s">
        <v>886</v>
      </c>
      <c r="C438" t="s">
        <v>947</v>
      </c>
      <c r="D438" s="172" t="s">
        <v>886</v>
      </c>
      <c r="E438" s="154" t="s">
        <v>3</v>
      </c>
    </row>
    <row r="439" spans="1:5" hidden="1">
      <c r="A439">
        <f t="shared" si="6"/>
        <v>437</v>
      </c>
      <c r="B439" t="s">
        <v>886</v>
      </c>
      <c r="C439" t="s">
        <v>948</v>
      </c>
      <c r="D439" s="172" t="s">
        <v>886</v>
      </c>
      <c r="E439" s="154" t="s">
        <v>3</v>
      </c>
    </row>
    <row r="440" spans="1:5" hidden="1">
      <c r="A440">
        <f t="shared" si="6"/>
        <v>438</v>
      </c>
      <c r="B440" t="s">
        <v>886</v>
      </c>
      <c r="C440" t="s">
        <v>949</v>
      </c>
      <c r="D440" s="172" t="s">
        <v>886</v>
      </c>
      <c r="E440" s="154" t="s">
        <v>3</v>
      </c>
    </row>
    <row r="441" spans="1:5" hidden="1">
      <c r="A441">
        <f t="shared" si="6"/>
        <v>439</v>
      </c>
      <c r="B441" t="s">
        <v>886</v>
      </c>
      <c r="C441" t="s">
        <v>950</v>
      </c>
      <c r="D441" s="172" t="s">
        <v>886</v>
      </c>
      <c r="E441" s="154" t="s">
        <v>3</v>
      </c>
    </row>
    <row r="442" spans="1:5" hidden="1">
      <c r="A442">
        <f t="shared" si="6"/>
        <v>440</v>
      </c>
      <c r="B442" t="s">
        <v>886</v>
      </c>
      <c r="C442" t="s">
        <v>951</v>
      </c>
      <c r="D442" s="172" t="s">
        <v>886</v>
      </c>
      <c r="E442" s="154" t="s">
        <v>3</v>
      </c>
    </row>
    <row r="443" spans="1:5" hidden="1">
      <c r="A443">
        <f t="shared" si="6"/>
        <v>441</v>
      </c>
      <c r="B443" t="s">
        <v>886</v>
      </c>
      <c r="C443" t="s">
        <v>952</v>
      </c>
      <c r="D443" s="172" t="s">
        <v>886</v>
      </c>
      <c r="E443" s="154" t="s">
        <v>3</v>
      </c>
    </row>
    <row r="444" spans="1:5" hidden="1">
      <c r="A444">
        <f t="shared" si="6"/>
        <v>442</v>
      </c>
      <c r="B444" t="s">
        <v>886</v>
      </c>
      <c r="C444" t="s">
        <v>953</v>
      </c>
      <c r="D444" s="172" t="s">
        <v>886</v>
      </c>
      <c r="E444" s="154" t="s">
        <v>3</v>
      </c>
    </row>
    <row r="445" spans="1:5" hidden="1">
      <c r="A445">
        <f t="shared" si="6"/>
        <v>443</v>
      </c>
      <c r="B445" t="s">
        <v>886</v>
      </c>
      <c r="C445" t="s">
        <v>954</v>
      </c>
      <c r="D445" s="172" t="s">
        <v>886</v>
      </c>
      <c r="E445" s="154" t="s">
        <v>3</v>
      </c>
    </row>
    <row r="446" spans="1:5" hidden="1">
      <c r="A446">
        <f t="shared" si="6"/>
        <v>444</v>
      </c>
      <c r="B446" t="s">
        <v>886</v>
      </c>
      <c r="C446" t="s">
        <v>955</v>
      </c>
      <c r="D446" s="172" t="s">
        <v>886</v>
      </c>
      <c r="E446" s="154" t="s">
        <v>3</v>
      </c>
    </row>
    <row r="447" spans="1:5" hidden="1">
      <c r="A447">
        <f t="shared" si="6"/>
        <v>445</v>
      </c>
      <c r="B447" t="s">
        <v>886</v>
      </c>
      <c r="C447" t="s">
        <v>956</v>
      </c>
      <c r="D447" s="172" t="s">
        <v>886</v>
      </c>
      <c r="E447" s="154" t="s">
        <v>3</v>
      </c>
    </row>
    <row r="448" spans="1:5" hidden="1">
      <c r="A448">
        <f t="shared" si="6"/>
        <v>446</v>
      </c>
      <c r="B448" t="s">
        <v>886</v>
      </c>
      <c r="C448" t="s">
        <v>957</v>
      </c>
      <c r="D448" s="172" t="s">
        <v>886</v>
      </c>
      <c r="E448" s="154" t="s">
        <v>3</v>
      </c>
    </row>
    <row r="449" spans="1:5" hidden="1">
      <c r="A449">
        <f t="shared" si="6"/>
        <v>447</v>
      </c>
      <c r="B449" t="s">
        <v>886</v>
      </c>
      <c r="C449" t="s">
        <v>958</v>
      </c>
      <c r="D449" s="172" t="s">
        <v>886</v>
      </c>
      <c r="E449" s="154" t="s">
        <v>3</v>
      </c>
    </row>
    <row r="450" spans="1:5" hidden="1">
      <c r="A450">
        <f t="shared" si="6"/>
        <v>448</v>
      </c>
      <c r="B450" t="s">
        <v>886</v>
      </c>
      <c r="C450" t="s">
        <v>959</v>
      </c>
      <c r="D450" s="172" t="s">
        <v>886</v>
      </c>
      <c r="E450" s="154" t="s">
        <v>3</v>
      </c>
    </row>
    <row r="451" spans="1:5" hidden="1">
      <c r="A451">
        <f t="shared" si="6"/>
        <v>449</v>
      </c>
      <c r="B451" t="s">
        <v>886</v>
      </c>
      <c r="C451" t="s">
        <v>960</v>
      </c>
      <c r="D451" s="172" t="s">
        <v>886</v>
      </c>
      <c r="E451" s="154" t="s">
        <v>3</v>
      </c>
    </row>
    <row r="452" spans="1:5" hidden="1">
      <c r="A452">
        <f t="shared" ref="A452:A515" si="7">A451+1</f>
        <v>450</v>
      </c>
      <c r="B452" t="s">
        <v>886</v>
      </c>
      <c r="C452" t="s">
        <v>961</v>
      </c>
      <c r="D452" s="172" t="s">
        <v>886</v>
      </c>
      <c r="E452" s="154" t="s">
        <v>3</v>
      </c>
    </row>
    <row r="453" spans="1:5" hidden="1">
      <c r="A453">
        <f t="shared" si="7"/>
        <v>451</v>
      </c>
      <c r="B453" t="s">
        <v>886</v>
      </c>
      <c r="C453" t="s">
        <v>962</v>
      </c>
      <c r="D453" s="172" t="s">
        <v>886</v>
      </c>
      <c r="E453" s="154" t="s">
        <v>3</v>
      </c>
    </row>
    <row r="454" spans="1:5" hidden="1">
      <c r="A454">
        <f t="shared" si="7"/>
        <v>452</v>
      </c>
      <c r="B454" t="s">
        <v>886</v>
      </c>
      <c r="C454" t="s">
        <v>963</v>
      </c>
      <c r="D454" s="172" t="s">
        <v>886</v>
      </c>
      <c r="E454" s="154" t="s">
        <v>3</v>
      </c>
    </row>
    <row r="455" spans="1:5" hidden="1">
      <c r="A455">
        <f t="shared" si="7"/>
        <v>453</v>
      </c>
      <c r="B455" t="s">
        <v>886</v>
      </c>
      <c r="C455" t="s">
        <v>964</v>
      </c>
      <c r="D455" s="172" t="s">
        <v>886</v>
      </c>
      <c r="E455" s="154" t="s">
        <v>3</v>
      </c>
    </row>
    <row r="456" spans="1:5" hidden="1">
      <c r="A456">
        <f t="shared" si="7"/>
        <v>454</v>
      </c>
      <c r="B456" t="s">
        <v>886</v>
      </c>
      <c r="C456" t="s">
        <v>965</v>
      </c>
      <c r="D456" s="172" t="s">
        <v>886</v>
      </c>
      <c r="E456" s="154" t="s">
        <v>3</v>
      </c>
    </row>
    <row r="457" spans="1:5" hidden="1">
      <c r="A457">
        <f t="shared" si="7"/>
        <v>455</v>
      </c>
      <c r="B457" t="s">
        <v>886</v>
      </c>
      <c r="C457" t="s">
        <v>966</v>
      </c>
      <c r="D457" s="172" t="s">
        <v>886</v>
      </c>
      <c r="E457" s="154" t="s">
        <v>3</v>
      </c>
    </row>
    <row r="458" spans="1:5" hidden="1">
      <c r="A458">
        <f t="shared" si="7"/>
        <v>456</v>
      </c>
      <c r="B458" t="s">
        <v>886</v>
      </c>
      <c r="C458" t="s">
        <v>967</v>
      </c>
      <c r="D458" s="172" t="s">
        <v>886</v>
      </c>
      <c r="E458" s="154" t="s">
        <v>3</v>
      </c>
    </row>
    <row r="459" spans="1:5" hidden="1">
      <c r="A459">
        <f t="shared" si="7"/>
        <v>457</v>
      </c>
      <c r="B459" t="s">
        <v>886</v>
      </c>
      <c r="C459" t="s">
        <v>968</v>
      </c>
      <c r="D459" s="172" t="s">
        <v>886</v>
      </c>
      <c r="E459" s="154" t="s">
        <v>3</v>
      </c>
    </row>
    <row r="460" spans="1:5" hidden="1">
      <c r="A460">
        <f t="shared" si="7"/>
        <v>458</v>
      </c>
      <c r="B460" t="s">
        <v>886</v>
      </c>
      <c r="C460" t="s">
        <v>969</v>
      </c>
      <c r="D460" s="172" t="s">
        <v>886</v>
      </c>
      <c r="E460" s="154" t="s">
        <v>3</v>
      </c>
    </row>
    <row r="461" spans="1:5" hidden="1">
      <c r="A461">
        <f t="shared" si="7"/>
        <v>459</v>
      </c>
      <c r="B461" t="s">
        <v>886</v>
      </c>
      <c r="C461" t="s">
        <v>970</v>
      </c>
      <c r="D461" s="172" t="s">
        <v>886</v>
      </c>
      <c r="E461" s="154" t="s">
        <v>3</v>
      </c>
    </row>
    <row r="462" spans="1:5" hidden="1">
      <c r="A462">
        <f t="shared" si="7"/>
        <v>460</v>
      </c>
      <c r="B462" t="s">
        <v>886</v>
      </c>
      <c r="C462" t="s">
        <v>971</v>
      </c>
      <c r="D462" s="172" t="s">
        <v>886</v>
      </c>
      <c r="E462" s="154" t="s">
        <v>3</v>
      </c>
    </row>
    <row r="463" spans="1:5" hidden="1">
      <c r="A463">
        <f t="shared" si="7"/>
        <v>461</v>
      </c>
      <c r="B463" t="s">
        <v>886</v>
      </c>
      <c r="C463" t="s">
        <v>972</v>
      </c>
      <c r="D463" s="172" t="s">
        <v>886</v>
      </c>
      <c r="E463" s="154" t="s">
        <v>3</v>
      </c>
    </row>
    <row r="464" spans="1:5" hidden="1">
      <c r="A464">
        <f t="shared" si="7"/>
        <v>462</v>
      </c>
      <c r="B464" t="s">
        <v>886</v>
      </c>
      <c r="C464" t="s">
        <v>973</v>
      </c>
      <c r="D464" s="172" t="s">
        <v>886</v>
      </c>
      <c r="E464" s="154" t="s">
        <v>3</v>
      </c>
    </row>
    <row r="465" spans="1:5" hidden="1">
      <c r="A465">
        <f t="shared" si="7"/>
        <v>463</v>
      </c>
      <c r="B465" t="s">
        <v>886</v>
      </c>
      <c r="C465" t="s">
        <v>974</v>
      </c>
      <c r="D465" s="172" t="s">
        <v>886</v>
      </c>
      <c r="E465" s="154" t="s">
        <v>3</v>
      </c>
    </row>
    <row r="466" spans="1:5" hidden="1">
      <c r="A466">
        <f t="shared" si="7"/>
        <v>464</v>
      </c>
      <c r="B466" t="s">
        <v>886</v>
      </c>
      <c r="C466" t="s">
        <v>975</v>
      </c>
      <c r="D466" s="172" t="s">
        <v>886</v>
      </c>
      <c r="E466" s="154" t="s">
        <v>3</v>
      </c>
    </row>
    <row r="467" spans="1:5" hidden="1">
      <c r="A467">
        <f t="shared" si="7"/>
        <v>465</v>
      </c>
      <c r="B467" t="s">
        <v>886</v>
      </c>
      <c r="C467" t="s">
        <v>976</v>
      </c>
      <c r="D467" s="172" t="s">
        <v>886</v>
      </c>
      <c r="E467" s="154" t="s">
        <v>3</v>
      </c>
    </row>
    <row r="468" spans="1:5" hidden="1">
      <c r="A468">
        <f t="shared" si="7"/>
        <v>466</v>
      </c>
      <c r="B468" t="s">
        <v>886</v>
      </c>
      <c r="C468" t="s">
        <v>977</v>
      </c>
      <c r="D468" s="172" t="s">
        <v>886</v>
      </c>
      <c r="E468" s="154" t="s">
        <v>3</v>
      </c>
    </row>
    <row r="469" spans="1:5" hidden="1">
      <c r="A469">
        <f t="shared" si="7"/>
        <v>467</v>
      </c>
      <c r="B469" t="s">
        <v>886</v>
      </c>
      <c r="C469" t="s">
        <v>978</v>
      </c>
      <c r="D469" s="172" t="s">
        <v>886</v>
      </c>
      <c r="E469" s="154" t="s">
        <v>3</v>
      </c>
    </row>
    <row r="470" spans="1:5" hidden="1">
      <c r="A470">
        <f t="shared" si="7"/>
        <v>468</v>
      </c>
      <c r="B470" t="s">
        <v>886</v>
      </c>
      <c r="C470" t="s">
        <v>979</v>
      </c>
      <c r="D470" s="172" t="s">
        <v>886</v>
      </c>
      <c r="E470" s="154" t="s">
        <v>3</v>
      </c>
    </row>
    <row r="471" spans="1:5" hidden="1">
      <c r="A471">
        <f t="shared" si="7"/>
        <v>469</v>
      </c>
      <c r="B471" t="s">
        <v>886</v>
      </c>
      <c r="C471" t="s">
        <v>980</v>
      </c>
      <c r="D471" s="172" t="s">
        <v>886</v>
      </c>
      <c r="E471" s="154" t="s">
        <v>3</v>
      </c>
    </row>
    <row r="472" spans="1:5" hidden="1">
      <c r="A472">
        <f t="shared" si="7"/>
        <v>470</v>
      </c>
      <c r="B472" t="s">
        <v>886</v>
      </c>
      <c r="C472" t="s">
        <v>981</v>
      </c>
      <c r="D472" s="172" t="s">
        <v>886</v>
      </c>
      <c r="E472" s="154" t="s">
        <v>3</v>
      </c>
    </row>
    <row r="473" spans="1:5" hidden="1">
      <c r="A473">
        <f t="shared" si="7"/>
        <v>471</v>
      </c>
      <c r="B473" t="s">
        <v>886</v>
      </c>
      <c r="C473" t="s">
        <v>982</v>
      </c>
      <c r="D473" s="172" t="s">
        <v>886</v>
      </c>
      <c r="E473" s="154" t="s">
        <v>3</v>
      </c>
    </row>
    <row r="474" spans="1:5" hidden="1">
      <c r="A474">
        <f t="shared" si="7"/>
        <v>472</v>
      </c>
      <c r="B474" t="s">
        <v>886</v>
      </c>
      <c r="C474" t="s">
        <v>983</v>
      </c>
      <c r="D474" s="172" t="s">
        <v>886</v>
      </c>
      <c r="E474" s="154" t="s">
        <v>3</v>
      </c>
    </row>
    <row r="475" spans="1:5" hidden="1">
      <c r="A475">
        <f t="shared" si="7"/>
        <v>473</v>
      </c>
      <c r="B475" t="s">
        <v>886</v>
      </c>
      <c r="C475" t="s">
        <v>984</v>
      </c>
      <c r="D475" s="172" t="s">
        <v>886</v>
      </c>
      <c r="E475" s="154" t="s">
        <v>3</v>
      </c>
    </row>
    <row r="476" spans="1:5" hidden="1">
      <c r="A476">
        <f t="shared" si="7"/>
        <v>474</v>
      </c>
      <c r="B476" t="s">
        <v>886</v>
      </c>
      <c r="C476" t="s">
        <v>985</v>
      </c>
      <c r="D476" s="172" t="s">
        <v>886</v>
      </c>
      <c r="E476" s="154" t="s">
        <v>3</v>
      </c>
    </row>
    <row r="477" spans="1:5" hidden="1">
      <c r="A477">
        <f t="shared" si="7"/>
        <v>475</v>
      </c>
      <c r="B477" t="s">
        <v>886</v>
      </c>
      <c r="C477" t="s">
        <v>986</v>
      </c>
      <c r="D477" s="172" t="s">
        <v>886</v>
      </c>
      <c r="E477" s="154" t="s">
        <v>3</v>
      </c>
    </row>
    <row r="478" spans="1:5" hidden="1">
      <c r="A478">
        <f t="shared" si="7"/>
        <v>476</v>
      </c>
      <c r="B478" t="s">
        <v>886</v>
      </c>
      <c r="C478" t="s">
        <v>987</v>
      </c>
      <c r="D478" s="172" t="s">
        <v>886</v>
      </c>
      <c r="E478" s="154" t="s">
        <v>3</v>
      </c>
    </row>
    <row r="479" spans="1:5" hidden="1">
      <c r="A479">
        <f t="shared" si="7"/>
        <v>477</v>
      </c>
      <c r="B479" t="s">
        <v>886</v>
      </c>
      <c r="C479" t="s">
        <v>988</v>
      </c>
      <c r="D479" s="172" t="s">
        <v>886</v>
      </c>
      <c r="E479" s="154" t="s">
        <v>3</v>
      </c>
    </row>
    <row r="480" spans="1:5" hidden="1">
      <c r="A480">
        <f t="shared" si="7"/>
        <v>478</v>
      </c>
      <c r="B480" t="s">
        <v>886</v>
      </c>
      <c r="C480" t="s">
        <v>989</v>
      </c>
      <c r="D480" s="172" t="s">
        <v>886</v>
      </c>
      <c r="E480" s="154" t="s">
        <v>3</v>
      </c>
    </row>
    <row r="481" spans="1:5" hidden="1">
      <c r="A481">
        <f t="shared" si="7"/>
        <v>479</v>
      </c>
      <c r="B481" t="s">
        <v>886</v>
      </c>
      <c r="C481" t="s">
        <v>990</v>
      </c>
      <c r="D481" s="172" t="s">
        <v>886</v>
      </c>
      <c r="E481" s="154" t="s">
        <v>3</v>
      </c>
    </row>
    <row r="482" spans="1:5" hidden="1">
      <c r="A482">
        <f t="shared" si="7"/>
        <v>480</v>
      </c>
      <c r="B482" t="s">
        <v>886</v>
      </c>
      <c r="C482" t="s">
        <v>991</v>
      </c>
      <c r="D482" s="172" t="s">
        <v>886</v>
      </c>
      <c r="E482" s="154" t="s">
        <v>3</v>
      </c>
    </row>
    <row r="483" spans="1:5" hidden="1">
      <c r="A483">
        <f t="shared" si="7"/>
        <v>481</v>
      </c>
      <c r="B483" t="s">
        <v>886</v>
      </c>
      <c r="C483" t="s">
        <v>992</v>
      </c>
      <c r="D483" s="172" t="s">
        <v>886</v>
      </c>
      <c r="E483" s="154" t="s">
        <v>3</v>
      </c>
    </row>
    <row r="484" spans="1:5" hidden="1">
      <c r="A484">
        <f t="shared" si="7"/>
        <v>482</v>
      </c>
      <c r="B484" t="s">
        <v>886</v>
      </c>
      <c r="C484" t="s">
        <v>993</v>
      </c>
      <c r="D484" s="172" t="s">
        <v>886</v>
      </c>
      <c r="E484" s="154" t="s">
        <v>3</v>
      </c>
    </row>
    <row r="485" spans="1:5" hidden="1">
      <c r="A485">
        <f t="shared" si="7"/>
        <v>483</v>
      </c>
      <c r="B485" t="s">
        <v>886</v>
      </c>
      <c r="C485" t="s">
        <v>994</v>
      </c>
      <c r="D485" s="172" t="s">
        <v>886</v>
      </c>
      <c r="E485" s="154" t="s">
        <v>3</v>
      </c>
    </row>
    <row r="486" spans="1:5" hidden="1">
      <c r="A486">
        <f t="shared" si="7"/>
        <v>484</v>
      </c>
      <c r="B486" t="s">
        <v>886</v>
      </c>
      <c r="C486" t="s">
        <v>995</v>
      </c>
      <c r="D486" s="172" t="s">
        <v>886</v>
      </c>
      <c r="E486" s="154" t="s">
        <v>3</v>
      </c>
    </row>
    <row r="487" spans="1:5" hidden="1">
      <c r="A487">
        <f t="shared" si="7"/>
        <v>485</v>
      </c>
      <c r="B487" t="s">
        <v>886</v>
      </c>
      <c r="C487" t="s">
        <v>996</v>
      </c>
      <c r="D487" s="172" t="s">
        <v>886</v>
      </c>
      <c r="E487" s="154" t="s">
        <v>3</v>
      </c>
    </row>
    <row r="488" spans="1:5" hidden="1">
      <c r="A488">
        <f t="shared" si="7"/>
        <v>486</v>
      </c>
      <c r="B488" t="s">
        <v>886</v>
      </c>
      <c r="C488" t="s">
        <v>997</v>
      </c>
      <c r="D488" s="172" t="s">
        <v>886</v>
      </c>
      <c r="E488" s="154" t="s">
        <v>3</v>
      </c>
    </row>
    <row r="489" spans="1:5" hidden="1">
      <c r="A489">
        <f t="shared" si="7"/>
        <v>487</v>
      </c>
      <c r="B489" t="s">
        <v>886</v>
      </c>
      <c r="C489" t="s">
        <v>998</v>
      </c>
      <c r="D489" s="172" t="s">
        <v>886</v>
      </c>
      <c r="E489" s="154" t="s">
        <v>3</v>
      </c>
    </row>
    <row r="490" spans="1:5" hidden="1">
      <c r="A490">
        <f t="shared" si="7"/>
        <v>488</v>
      </c>
      <c r="B490" t="s">
        <v>886</v>
      </c>
      <c r="C490" t="s">
        <v>999</v>
      </c>
      <c r="D490" s="172" t="s">
        <v>886</v>
      </c>
      <c r="E490" s="154" t="s">
        <v>3</v>
      </c>
    </row>
    <row r="491" spans="1:5" hidden="1">
      <c r="A491">
        <f t="shared" si="7"/>
        <v>489</v>
      </c>
      <c r="B491" t="s">
        <v>886</v>
      </c>
      <c r="C491" t="s">
        <v>1000</v>
      </c>
      <c r="D491" s="172" t="s">
        <v>886</v>
      </c>
      <c r="E491" s="154" t="s">
        <v>3</v>
      </c>
    </row>
    <row r="492" spans="1:5" hidden="1">
      <c r="A492">
        <f t="shared" si="7"/>
        <v>490</v>
      </c>
      <c r="B492" t="s">
        <v>886</v>
      </c>
      <c r="C492" t="s">
        <v>1001</v>
      </c>
      <c r="D492" s="172" t="s">
        <v>886</v>
      </c>
      <c r="E492" s="154" t="s">
        <v>3</v>
      </c>
    </row>
    <row r="493" spans="1:5" hidden="1">
      <c r="A493">
        <f t="shared" si="7"/>
        <v>491</v>
      </c>
      <c r="B493" t="s">
        <v>886</v>
      </c>
      <c r="C493" t="s">
        <v>1002</v>
      </c>
      <c r="D493" s="172" t="s">
        <v>886</v>
      </c>
      <c r="E493" s="154" t="s">
        <v>3</v>
      </c>
    </row>
    <row r="494" spans="1:5" hidden="1">
      <c r="A494">
        <f t="shared" si="7"/>
        <v>492</v>
      </c>
      <c r="B494" t="s">
        <v>886</v>
      </c>
      <c r="C494" t="s">
        <v>1003</v>
      </c>
      <c r="D494" s="172" t="s">
        <v>886</v>
      </c>
      <c r="E494" s="154" t="s">
        <v>3</v>
      </c>
    </row>
    <row r="495" spans="1:5" hidden="1">
      <c r="A495">
        <f t="shared" si="7"/>
        <v>493</v>
      </c>
      <c r="B495" t="s">
        <v>886</v>
      </c>
      <c r="C495" t="s">
        <v>1004</v>
      </c>
      <c r="D495" s="172" t="s">
        <v>886</v>
      </c>
      <c r="E495" s="154" t="s">
        <v>3</v>
      </c>
    </row>
    <row r="496" spans="1:5" hidden="1">
      <c r="A496">
        <f t="shared" si="7"/>
        <v>494</v>
      </c>
      <c r="B496" t="s">
        <v>886</v>
      </c>
      <c r="C496" t="s">
        <v>1005</v>
      </c>
      <c r="D496" s="172" t="s">
        <v>886</v>
      </c>
      <c r="E496" s="154" t="s">
        <v>3</v>
      </c>
    </row>
    <row r="497" spans="1:5" hidden="1">
      <c r="A497">
        <f t="shared" si="7"/>
        <v>495</v>
      </c>
      <c r="B497" t="s">
        <v>886</v>
      </c>
      <c r="C497" t="s">
        <v>1006</v>
      </c>
      <c r="D497" s="172" t="s">
        <v>886</v>
      </c>
      <c r="E497" s="154" t="s">
        <v>3</v>
      </c>
    </row>
    <row r="498" spans="1:5" hidden="1">
      <c r="A498">
        <f t="shared" si="7"/>
        <v>496</v>
      </c>
      <c r="B498" t="s">
        <v>886</v>
      </c>
      <c r="C498" t="s">
        <v>1007</v>
      </c>
      <c r="D498" s="172" t="s">
        <v>886</v>
      </c>
      <c r="E498" s="154" t="s">
        <v>3</v>
      </c>
    </row>
    <row r="499" spans="1:5" hidden="1">
      <c r="A499">
        <f t="shared" si="7"/>
        <v>497</v>
      </c>
      <c r="B499" t="s">
        <v>886</v>
      </c>
      <c r="C499" t="s">
        <v>1008</v>
      </c>
      <c r="D499" s="172" t="s">
        <v>886</v>
      </c>
      <c r="E499" s="154" t="s">
        <v>3</v>
      </c>
    </row>
    <row r="500" spans="1:5" hidden="1">
      <c r="A500">
        <f t="shared" si="7"/>
        <v>498</v>
      </c>
      <c r="B500" t="s">
        <v>886</v>
      </c>
      <c r="C500" t="s">
        <v>1009</v>
      </c>
      <c r="D500" s="172" t="s">
        <v>886</v>
      </c>
      <c r="E500" s="154" t="s">
        <v>3</v>
      </c>
    </row>
    <row r="501" spans="1:5" hidden="1">
      <c r="A501">
        <f t="shared" si="7"/>
        <v>499</v>
      </c>
      <c r="B501" t="s">
        <v>886</v>
      </c>
      <c r="C501" t="s">
        <v>1010</v>
      </c>
      <c r="D501" s="172" t="s">
        <v>886</v>
      </c>
      <c r="E501" s="154" t="s">
        <v>3</v>
      </c>
    </row>
    <row r="502" spans="1:5" hidden="1">
      <c r="A502">
        <f t="shared" si="7"/>
        <v>500</v>
      </c>
      <c r="B502" t="s">
        <v>886</v>
      </c>
      <c r="C502" t="s">
        <v>1011</v>
      </c>
      <c r="D502" s="172" t="s">
        <v>886</v>
      </c>
      <c r="E502" s="154" t="s">
        <v>3</v>
      </c>
    </row>
    <row r="503" spans="1:5" hidden="1">
      <c r="A503">
        <f t="shared" si="7"/>
        <v>501</v>
      </c>
      <c r="B503" t="s">
        <v>886</v>
      </c>
      <c r="C503" t="s">
        <v>1012</v>
      </c>
      <c r="D503" s="172" t="s">
        <v>886</v>
      </c>
      <c r="E503" s="154" t="s">
        <v>3</v>
      </c>
    </row>
    <row r="504" spans="1:5" hidden="1">
      <c r="A504">
        <f t="shared" si="7"/>
        <v>502</v>
      </c>
      <c r="B504" t="s">
        <v>886</v>
      </c>
      <c r="C504" t="s">
        <v>1013</v>
      </c>
      <c r="D504" s="172" t="s">
        <v>886</v>
      </c>
      <c r="E504" s="154" t="s">
        <v>3</v>
      </c>
    </row>
    <row r="505" spans="1:5" hidden="1">
      <c r="A505">
        <f t="shared" si="7"/>
        <v>503</v>
      </c>
      <c r="B505" t="s">
        <v>886</v>
      </c>
      <c r="C505" t="s">
        <v>1014</v>
      </c>
      <c r="D505" s="172" t="s">
        <v>886</v>
      </c>
      <c r="E505" s="154" t="s">
        <v>3</v>
      </c>
    </row>
    <row r="506" spans="1:5" hidden="1">
      <c r="A506">
        <f t="shared" si="7"/>
        <v>504</v>
      </c>
      <c r="B506" t="s">
        <v>886</v>
      </c>
      <c r="C506" t="s">
        <v>1015</v>
      </c>
      <c r="D506" s="172" t="s">
        <v>886</v>
      </c>
      <c r="E506" s="154" t="s">
        <v>3</v>
      </c>
    </row>
    <row r="507" spans="1:5" hidden="1">
      <c r="A507">
        <f t="shared" si="7"/>
        <v>505</v>
      </c>
      <c r="B507" t="s">
        <v>886</v>
      </c>
      <c r="C507" t="s">
        <v>1016</v>
      </c>
      <c r="D507" s="172" t="s">
        <v>886</v>
      </c>
      <c r="E507" s="154" t="s">
        <v>3</v>
      </c>
    </row>
    <row r="508" spans="1:5" hidden="1">
      <c r="A508">
        <f t="shared" si="7"/>
        <v>506</v>
      </c>
      <c r="B508" t="s">
        <v>886</v>
      </c>
      <c r="C508" t="s">
        <v>1017</v>
      </c>
      <c r="D508" s="172" t="s">
        <v>886</v>
      </c>
      <c r="E508" s="154" t="s">
        <v>3</v>
      </c>
    </row>
    <row r="509" spans="1:5" hidden="1">
      <c r="A509">
        <f t="shared" si="7"/>
        <v>507</v>
      </c>
      <c r="B509" t="s">
        <v>886</v>
      </c>
      <c r="C509" t="s">
        <v>1018</v>
      </c>
      <c r="D509" s="172" t="s">
        <v>886</v>
      </c>
      <c r="E509" s="154" t="s">
        <v>3</v>
      </c>
    </row>
    <row r="510" spans="1:5" hidden="1">
      <c r="A510">
        <f t="shared" si="7"/>
        <v>508</v>
      </c>
      <c r="B510" t="s">
        <v>886</v>
      </c>
      <c r="C510" t="s">
        <v>1019</v>
      </c>
      <c r="D510" s="172" t="s">
        <v>886</v>
      </c>
      <c r="E510" s="154" t="s">
        <v>3</v>
      </c>
    </row>
    <row r="511" spans="1:5" hidden="1">
      <c r="A511">
        <f t="shared" si="7"/>
        <v>509</v>
      </c>
      <c r="B511" t="s">
        <v>886</v>
      </c>
      <c r="C511" t="s">
        <v>1020</v>
      </c>
      <c r="D511" s="172" t="s">
        <v>886</v>
      </c>
      <c r="E511" s="154" t="s">
        <v>3</v>
      </c>
    </row>
    <row r="512" spans="1:5" hidden="1">
      <c r="A512">
        <f t="shared" si="7"/>
        <v>510</v>
      </c>
      <c r="B512" t="s">
        <v>886</v>
      </c>
      <c r="C512" t="s">
        <v>1021</v>
      </c>
      <c r="D512" s="172" t="s">
        <v>886</v>
      </c>
      <c r="E512" s="154" t="s">
        <v>3</v>
      </c>
    </row>
    <row r="513" spans="1:5" hidden="1">
      <c r="A513">
        <f t="shared" si="7"/>
        <v>511</v>
      </c>
      <c r="B513" t="s">
        <v>886</v>
      </c>
      <c r="C513" t="s">
        <v>1022</v>
      </c>
      <c r="D513" s="172" t="s">
        <v>886</v>
      </c>
      <c r="E513" s="154" t="s">
        <v>3</v>
      </c>
    </row>
    <row r="514" spans="1:5" hidden="1">
      <c r="A514">
        <f t="shared" si="7"/>
        <v>512</v>
      </c>
      <c r="B514" t="s">
        <v>886</v>
      </c>
      <c r="C514" t="s">
        <v>1023</v>
      </c>
      <c r="D514" s="172" t="s">
        <v>886</v>
      </c>
      <c r="E514" s="154" t="s">
        <v>3</v>
      </c>
    </row>
    <row r="515" spans="1:5" hidden="1">
      <c r="A515">
        <f t="shared" si="7"/>
        <v>513</v>
      </c>
      <c r="B515" t="s">
        <v>886</v>
      </c>
      <c r="C515" t="s">
        <v>1024</v>
      </c>
      <c r="D515" s="172" t="s">
        <v>886</v>
      </c>
      <c r="E515" s="154" t="s">
        <v>3</v>
      </c>
    </row>
    <row r="516" spans="1:5" hidden="1">
      <c r="A516">
        <f t="shared" ref="A516:A579" si="8">A515+1</f>
        <v>514</v>
      </c>
      <c r="B516" t="s">
        <v>886</v>
      </c>
      <c r="C516" t="s">
        <v>1025</v>
      </c>
      <c r="D516" s="172" t="s">
        <v>886</v>
      </c>
      <c r="E516" s="154" t="s">
        <v>3</v>
      </c>
    </row>
    <row r="517" spans="1:5" hidden="1">
      <c r="A517">
        <f t="shared" si="8"/>
        <v>515</v>
      </c>
      <c r="B517" t="s">
        <v>886</v>
      </c>
      <c r="C517" t="s">
        <v>1026</v>
      </c>
      <c r="D517" s="172" t="s">
        <v>886</v>
      </c>
      <c r="E517" s="154" t="s">
        <v>3</v>
      </c>
    </row>
    <row r="518" spans="1:5" hidden="1">
      <c r="A518">
        <f t="shared" si="8"/>
        <v>516</v>
      </c>
      <c r="B518" t="s">
        <v>886</v>
      </c>
      <c r="C518" t="s">
        <v>1027</v>
      </c>
      <c r="D518" s="172" t="s">
        <v>886</v>
      </c>
      <c r="E518" s="154" t="s">
        <v>3</v>
      </c>
    </row>
    <row r="519" spans="1:5" hidden="1">
      <c r="A519">
        <f t="shared" si="8"/>
        <v>517</v>
      </c>
      <c r="B519" t="s">
        <v>886</v>
      </c>
      <c r="C519" t="s">
        <v>1028</v>
      </c>
      <c r="D519" s="172" t="s">
        <v>886</v>
      </c>
      <c r="E519" s="154" t="s">
        <v>3</v>
      </c>
    </row>
    <row r="520" spans="1:5" hidden="1">
      <c r="A520">
        <f t="shared" si="8"/>
        <v>518</v>
      </c>
      <c r="B520" t="s">
        <v>886</v>
      </c>
      <c r="C520" t="s">
        <v>1029</v>
      </c>
      <c r="D520" s="172" t="s">
        <v>886</v>
      </c>
      <c r="E520" s="154" t="s">
        <v>3</v>
      </c>
    </row>
    <row r="521" spans="1:5" hidden="1">
      <c r="A521">
        <f t="shared" si="8"/>
        <v>519</v>
      </c>
      <c r="B521" t="s">
        <v>886</v>
      </c>
      <c r="C521" t="s">
        <v>1030</v>
      </c>
      <c r="D521" s="172" t="s">
        <v>886</v>
      </c>
      <c r="E521" s="154" t="s">
        <v>3</v>
      </c>
    </row>
    <row r="522" spans="1:5" hidden="1">
      <c r="A522">
        <f t="shared" si="8"/>
        <v>520</v>
      </c>
      <c r="B522" t="s">
        <v>886</v>
      </c>
      <c r="C522" t="s">
        <v>1031</v>
      </c>
      <c r="D522" s="172" t="s">
        <v>886</v>
      </c>
      <c r="E522" s="154" t="s">
        <v>3</v>
      </c>
    </row>
    <row r="523" spans="1:5" hidden="1">
      <c r="A523">
        <f t="shared" si="8"/>
        <v>521</v>
      </c>
      <c r="B523" t="s">
        <v>886</v>
      </c>
      <c r="C523" t="s">
        <v>1032</v>
      </c>
      <c r="D523" s="172" t="s">
        <v>886</v>
      </c>
      <c r="E523" s="154" t="s">
        <v>3</v>
      </c>
    </row>
    <row r="524" spans="1:5" hidden="1">
      <c r="A524">
        <f t="shared" si="8"/>
        <v>522</v>
      </c>
      <c r="B524" t="s">
        <v>886</v>
      </c>
      <c r="C524" t="s">
        <v>1033</v>
      </c>
      <c r="D524" s="172" t="s">
        <v>886</v>
      </c>
      <c r="E524" s="154" t="s">
        <v>3</v>
      </c>
    </row>
    <row r="525" spans="1:5" hidden="1">
      <c r="A525">
        <f t="shared" si="8"/>
        <v>523</v>
      </c>
      <c r="B525" t="s">
        <v>886</v>
      </c>
      <c r="C525" t="s">
        <v>1034</v>
      </c>
      <c r="D525" s="172" t="s">
        <v>886</v>
      </c>
      <c r="E525" s="154" t="s">
        <v>3</v>
      </c>
    </row>
    <row r="526" spans="1:5" hidden="1">
      <c r="A526">
        <f t="shared" si="8"/>
        <v>524</v>
      </c>
      <c r="B526" t="s">
        <v>886</v>
      </c>
      <c r="C526" t="s">
        <v>1035</v>
      </c>
      <c r="D526" s="172" t="s">
        <v>886</v>
      </c>
      <c r="E526" s="154" t="s">
        <v>3</v>
      </c>
    </row>
    <row r="527" spans="1:5" hidden="1">
      <c r="A527">
        <f t="shared" si="8"/>
        <v>525</v>
      </c>
      <c r="B527" t="s">
        <v>886</v>
      </c>
      <c r="C527" t="s">
        <v>1036</v>
      </c>
      <c r="D527" s="172" t="s">
        <v>886</v>
      </c>
      <c r="E527" s="154" t="s">
        <v>3</v>
      </c>
    </row>
    <row r="528" spans="1:5" hidden="1">
      <c r="A528">
        <f t="shared" si="8"/>
        <v>526</v>
      </c>
      <c r="B528" t="s">
        <v>886</v>
      </c>
      <c r="C528" t="s">
        <v>1037</v>
      </c>
      <c r="D528" s="172" t="s">
        <v>886</v>
      </c>
      <c r="E528" s="154" t="s">
        <v>3</v>
      </c>
    </row>
    <row r="529" spans="1:5" hidden="1">
      <c r="A529">
        <f t="shared" si="8"/>
        <v>527</v>
      </c>
      <c r="B529" t="s">
        <v>886</v>
      </c>
      <c r="C529" t="s">
        <v>1038</v>
      </c>
      <c r="D529" s="172" t="s">
        <v>886</v>
      </c>
      <c r="E529" s="154" t="s">
        <v>3</v>
      </c>
    </row>
    <row r="530" spans="1:5" hidden="1">
      <c r="A530">
        <f t="shared" si="8"/>
        <v>528</v>
      </c>
      <c r="B530" t="s">
        <v>886</v>
      </c>
      <c r="C530" t="s">
        <v>1039</v>
      </c>
      <c r="D530" s="172" t="s">
        <v>886</v>
      </c>
      <c r="E530" s="154" t="s">
        <v>3</v>
      </c>
    </row>
    <row r="531" spans="1:5" hidden="1">
      <c r="A531">
        <f t="shared" si="8"/>
        <v>529</v>
      </c>
      <c r="B531" t="s">
        <v>886</v>
      </c>
      <c r="C531" t="s">
        <v>1040</v>
      </c>
      <c r="D531" s="172" t="s">
        <v>886</v>
      </c>
      <c r="E531" s="154" t="s">
        <v>3</v>
      </c>
    </row>
    <row r="532" spans="1:5" hidden="1">
      <c r="A532">
        <f t="shared" si="8"/>
        <v>530</v>
      </c>
      <c r="B532" t="s">
        <v>886</v>
      </c>
      <c r="C532" t="s">
        <v>1041</v>
      </c>
      <c r="D532" s="172" t="s">
        <v>886</v>
      </c>
      <c r="E532" s="154" t="s">
        <v>3</v>
      </c>
    </row>
    <row r="533" spans="1:5" hidden="1">
      <c r="A533">
        <f t="shared" si="8"/>
        <v>531</v>
      </c>
      <c r="B533" t="s">
        <v>886</v>
      </c>
      <c r="C533" t="s">
        <v>1042</v>
      </c>
      <c r="D533" s="172" t="s">
        <v>886</v>
      </c>
      <c r="E533" s="154" t="s">
        <v>3</v>
      </c>
    </row>
    <row r="534" spans="1:5" hidden="1">
      <c r="A534">
        <f t="shared" si="8"/>
        <v>532</v>
      </c>
      <c r="B534" t="s">
        <v>886</v>
      </c>
      <c r="C534" t="s">
        <v>1043</v>
      </c>
      <c r="D534" s="172" t="s">
        <v>886</v>
      </c>
      <c r="E534" s="154" t="s">
        <v>3</v>
      </c>
    </row>
    <row r="535" spans="1:5" hidden="1">
      <c r="A535">
        <f t="shared" si="8"/>
        <v>533</v>
      </c>
      <c r="B535" t="s">
        <v>886</v>
      </c>
      <c r="C535" t="s">
        <v>1044</v>
      </c>
      <c r="D535" s="172" t="s">
        <v>886</v>
      </c>
      <c r="E535" s="154" t="s">
        <v>3</v>
      </c>
    </row>
    <row r="536" spans="1:5" hidden="1">
      <c r="A536">
        <f t="shared" si="8"/>
        <v>534</v>
      </c>
      <c r="B536" t="s">
        <v>886</v>
      </c>
      <c r="C536" t="s">
        <v>1045</v>
      </c>
      <c r="D536" s="172" t="s">
        <v>886</v>
      </c>
      <c r="E536" s="154" t="s">
        <v>3</v>
      </c>
    </row>
    <row r="537" spans="1:5" hidden="1">
      <c r="A537">
        <f t="shared" si="8"/>
        <v>535</v>
      </c>
      <c r="B537" t="s">
        <v>886</v>
      </c>
      <c r="C537" t="s">
        <v>1046</v>
      </c>
      <c r="D537" s="172" t="s">
        <v>886</v>
      </c>
      <c r="E537" s="154" t="s">
        <v>3</v>
      </c>
    </row>
    <row r="538" spans="1:5" hidden="1">
      <c r="A538">
        <f t="shared" si="8"/>
        <v>536</v>
      </c>
      <c r="B538" t="s">
        <v>886</v>
      </c>
      <c r="C538" t="s">
        <v>1047</v>
      </c>
      <c r="D538" s="172" t="s">
        <v>886</v>
      </c>
      <c r="E538" s="154" t="s">
        <v>3</v>
      </c>
    </row>
    <row r="539" spans="1:5" hidden="1">
      <c r="A539">
        <f t="shared" si="8"/>
        <v>537</v>
      </c>
      <c r="B539" t="s">
        <v>886</v>
      </c>
      <c r="C539" t="s">
        <v>1048</v>
      </c>
      <c r="D539" s="172" t="s">
        <v>886</v>
      </c>
      <c r="E539" s="154" t="s">
        <v>3</v>
      </c>
    </row>
    <row r="540" spans="1:5" hidden="1">
      <c r="A540">
        <f t="shared" si="8"/>
        <v>538</v>
      </c>
      <c r="B540" t="s">
        <v>886</v>
      </c>
      <c r="C540" t="s">
        <v>1049</v>
      </c>
      <c r="D540" s="172" t="s">
        <v>886</v>
      </c>
      <c r="E540" s="154" t="s">
        <v>3</v>
      </c>
    </row>
    <row r="541" spans="1:5" hidden="1">
      <c r="A541">
        <f t="shared" si="8"/>
        <v>539</v>
      </c>
      <c r="B541" t="s">
        <v>886</v>
      </c>
      <c r="C541" t="s">
        <v>1050</v>
      </c>
      <c r="D541" s="172" t="s">
        <v>886</v>
      </c>
      <c r="E541" s="154" t="s">
        <v>3</v>
      </c>
    </row>
    <row r="542" spans="1:5" hidden="1">
      <c r="A542">
        <f t="shared" si="8"/>
        <v>540</v>
      </c>
      <c r="B542" t="s">
        <v>886</v>
      </c>
      <c r="C542" t="s">
        <v>1051</v>
      </c>
      <c r="D542" s="172" t="s">
        <v>886</v>
      </c>
      <c r="E542" s="154" t="s">
        <v>3</v>
      </c>
    </row>
    <row r="543" spans="1:5" hidden="1">
      <c r="A543">
        <f t="shared" si="8"/>
        <v>541</v>
      </c>
      <c r="B543" t="s">
        <v>886</v>
      </c>
      <c r="C543" t="s">
        <v>1052</v>
      </c>
      <c r="D543" s="172" t="s">
        <v>886</v>
      </c>
      <c r="E543" s="154" t="s">
        <v>3</v>
      </c>
    </row>
    <row r="544" spans="1:5" hidden="1">
      <c r="A544">
        <f t="shared" si="8"/>
        <v>542</v>
      </c>
      <c r="B544" t="s">
        <v>886</v>
      </c>
      <c r="C544" t="s">
        <v>1053</v>
      </c>
      <c r="D544" s="172" t="s">
        <v>886</v>
      </c>
      <c r="E544" s="154" t="s">
        <v>3</v>
      </c>
    </row>
    <row r="545" spans="1:5" hidden="1">
      <c r="A545">
        <f t="shared" si="8"/>
        <v>543</v>
      </c>
      <c r="B545" t="s">
        <v>886</v>
      </c>
      <c r="C545" t="s">
        <v>1054</v>
      </c>
      <c r="D545" s="172" t="s">
        <v>886</v>
      </c>
      <c r="E545" s="154" t="s">
        <v>3</v>
      </c>
    </row>
    <row r="546" spans="1:5" hidden="1">
      <c r="A546">
        <f t="shared" si="8"/>
        <v>544</v>
      </c>
      <c r="B546" t="s">
        <v>886</v>
      </c>
      <c r="C546" t="s">
        <v>1055</v>
      </c>
      <c r="D546" s="172" t="s">
        <v>886</v>
      </c>
      <c r="E546" s="154" t="s">
        <v>3</v>
      </c>
    </row>
    <row r="547" spans="1:5" hidden="1">
      <c r="A547">
        <f t="shared" si="8"/>
        <v>545</v>
      </c>
      <c r="B547" t="s">
        <v>886</v>
      </c>
      <c r="C547" t="s">
        <v>1056</v>
      </c>
      <c r="D547" s="172" t="s">
        <v>886</v>
      </c>
      <c r="E547" s="154" t="s">
        <v>3</v>
      </c>
    </row>
    <row r="548" spans="1:5" hidden="1">
      <c r="A548">
        <f t="shared" si="8"/>
        <v>546</v>
      </c>
      <c r="B548" t="s">
        <v>886</v>
      </c>
      <c r="C548" t="s">
        <v>1057</v>
      </c>
      <c r="D548" s="172" t="s">
        <v>886</v>
      </c>
      <c r="E548" s="154" t="s">
        <v>3</v>
      </c>
    </row>
    <row r="549" spans="1:5" hidden="1">
      <c r="A549">
        <f t="shared" si="8"/>
        <v>547</v>
      </c>
      <c r="B549" t="s">
        <v>886</v>
      </c>
      <c r="C549" t="s">
        <v>1058</v>
      </c>
      <c r="D549" s="172" t="s">
        <v>886</v>
      </c>
      <c r="E549" s="154" t="s">
        <v>3</v>
      </c>
    </row>
    <row r="550" spans="1:5" hidden="1">
      <c r="A550">
        <f t="shared" si="8"/>
        <v>548</v>
      </c>
      <c r="B550" t="s">
        <v>886</v>
      </c>
      <c r="C550" t="s">
        <v>1059</v>
      </c>
      <c r="D550" s="172" t="s">
        <v>886</v>
      </c>
      <c r="E550" s="154" t="s">
        <v>3</v>
      </c>
    </row>
    <row r="551" spans="1:5" hidden="1">
      <c r="A551">
        <f t="shared" si="8"/>
        <v>549</v>
      </c>
      <c r="B551" t="s">
        <v>886</v>
      </c>
      <c r="C551" t="s">
        <v>1060</v>
      </c>
      <c r="D551" s="172" t="s">
        <v>886</v>
      </c>
      <c r="E551" s="154" t="s">
        <v>3</v>
      </c>
    </row>
    <row r="552" spans="1:5" hidden="1">
      <c r="A552">
        <f t="shared" si="8"/>
        <v>550</v>
      </c>
      <c r="B552" t="s">
        <v>886</v>
      </c>
      <c r="C552" t="s">
        <v>1061</v>
      </c>
      <c r="D552" s="172" t="s">
        <v>886</v>
      </c>
      <c r="E552" s="154" t="s">
        <v>3</v>
      </c>
    </row>
    <row r="553" spans="1:5" hidden="1">
      <c r="A553">
        <f t="shared" si="8"/>
        <v>551</v>
      </c>
      <c r="B553" t="s">
        <v>886</v>
      </c>
      <c r="C553" t="s">
        <v>1062</v>
      </c>
      <c r="D553" s="172" t="s">
        <v>886</v>
      </c>
      <c r="E553" s="154" t="s">
        <v>3</v>
      </c>
    </row>
    <row r="554" spans="1:5" hidden="1">
      <c r="A554">
        <f t="shared" si="8"/>
        <v>552</v>
      </c>
      <c r="B554" t="s">
        <v>886</v>
      </c>
      <c r="C554" t="s">
        <v>1063</v>
      </c>
      <c r="D554" s="172" t="s">
        <v>886</v>
      </c>
      <c r="E554" s="154" t="s">
        <v>3</v>
      </c>
    </row>
    <row r="555" spans="1:5" hidden="1">
      <c r="A555">
        <f t="shared" si="8"/>
        <v>553</v>
      </c>
      <c r="B555" t="s">
        <v>886</v>
      </c>
      <c r="C555" t="s">
        <v>1064</v>
      </c>
      <c r="D555" s="172" t="s">
        <v>886</v>
      </c>
      <c r="E555" s="154" t="s">
        <v>3</v>
      </c>
    </row>
    <row r="556" spans="1:5" hidden="1">
      <c r="A556">
        <f t="shared" si="8"/>
        <v>554</v>
      </c>
      <c r="B556" t="s">
        <v>886</v>
      </c>
      <c r="C556" t="s">
        <v>1065</v>
      </c>
      <c r="D556" s="172" t="s">
        <v>886</v>
      </c>
      <c r="E556" s="154" t="s">
        <v>3</v>
      </c>
    </row>
    <row r="557" spans="1:5" hidden="1">
      <c r="A557">
        <f t="shared" si="8"/>
        <v>555</v>
      </c>
      <c r="B557" t="s">
        <v>886</v>
      </c>
      <c r="C557" t="s">
        <v>1066</v>
      </c>
      <c r="D557" s="172" t="s">
        <v>886</v>
      </c>
      <c r="E557" s="154" t="s">
        <v>3</v>
      </c>
    </row>
    <row r="558" spans="1:5" hidden="1">
      <c r="A558">
        <f t="shared" si="8"/>
        <v>556</v>
      </c>
      <c r="B558" t="s">
        <v>886</v>
      </c>
      <c r="C558" t="s">
        <v>1067</v>
      </c>
      <c r="D558" s="172" t="s">
        <v>886</v>
      </c>
      <c r="E558" s="154" t="s">
        <v>3</v>
      </c>
    </row>
    <row r="559" spans="1:5" hidden="1">
      <c r="A559">
        <f t="shared" si="8"/>
        <v>557</v>
      </c>
      <c r="B559" t="s">
        <v>886</v>
      </c>
      <c r="C559" t="s">
        <v>1068</v>
      </c>
      <c r="D559" s="172" t="s">
        <v>886</v>
      </c>
      <c r="E559" s="154" t="s">
        <v>3</v>
      </c>
    </row>
    <row r="560" spans="1:5" hidden="1">
      <c r="A560">
        <f t="shared" si="8"/>
        <v>558</v>
      </c>
      <c r="B560" t="s">
        <v>886</v>
      </c>
      <c r="C560" t="s">
        <v>1069</v>
      </c>
      <c r="D560" s="172" t="s">
        <v>886</v>
      </c>
      <c r="E560" s="154" t="s">
        <v>3</v>
      </c>
    </row>
    <row r="561" spans="1:5" hidden="1">
      <c r="A561">
        <f t="shared" si="8"/>
        <v>559</v>
      </c>
      <c r="B561" t="s">
        <v>886</v>
      </c>
      <c r="C561" t="s">
        <v>1070</v>
      </c>
      <c r="D561" s="172" t="s">
        <v>886</v>
      </c>
      <c r="E561" s="154" t="s">
        <v>3</v>
      </c>
    </row>
    <row r="562" spans="1:5" hidden="1">
      <c r="A562">
        <f t="shared" si="8"/>
        <v>560</v>
      </c>
      <c r="B562" t="s">
        <v>886</v>
      </c>
      <c r="C562" t="s">
        <v>1071</v>
      </c>
      <c r="D562" s="172" t="s">
        <v>886</v>
      </c>
      <c r="E562" s="154" t="s">
        <v>3</v>
      </c>
    </row>
    <row r="563" spans="1:5" hidden="1">
      <c r="A563">
        <f t="shared" si="8"/>
        <v>561</v>
      </c>
      <c r="B563" t="s">
        <v>886</v>
      </c>
      <c r="C563" t="s">
        <v>1528</v>
      </c>
      <c r="D563" s="172" t="s">
        <v>886</v>
      </c>
      <c r="E563" s="154" t="s">
        <v>3</v>
      </c>
    </row>
    <row r="564" spans="1:5" hidden="1">
      <c r="A564">
        <f t="shared" si="8"/>
        <v>562</v>
      </c>
      <c r="B564" t="s">
        <v>886</v>
      </c>
      <c r="C564" t="s">
        <v>1072</v>
      </c>
      <c r="D564" s="172" t="s">
        <v>886</v>
      </c>
      <c r="E564" s="154" t="s">
        <v>3</v>
      </c>
    </row>
    <row r="565" spans="1:5" hidden="1">
      <c r="A565">
        <f t="shared" si="8"/>
        <v>563</v>
      </c>
      <c r="B565" t="s">
        <v>886</v>
      </c>
      <c r="C565" t="s">
        <v>1073</v>
      </c>
      <c r="D565" s="172" t="s">
        <v>886</v>
      </c>
      <c r="E565" s="154" t="s">
        <v>3</v>
      </c>
    </row>
    <row r="566" spans="1:5" hidden="1">
      <c r="A566">
        <f t="shared" si="8"/>
        <v>564</v>
      </c>
      <c r="B566" t="s">
        <v>886</v>
      </c>
      <c r="C566" t="s">
        <v>1074</v>
      </c>
      <c r="D566" s="172" t="s">
        <v>886</v>
      </c>
      <c r="E566" s="154" t="s">
        <v>3</v>
      </c>
    </row>
    <row r="567" spans="1:5" hidden="1">
      <c r="A567">
        <f t="shared" si="8"/>
        <v>565</v>
      </c>
      <c r="B567" t="s">
        <v>886</v>
      </c>
      <c r="C567" t="s">
        <v>1075</v>
      </c>
      <c r="D567" s="172" t="s">
        <v>886</v>
      </c>
      <c r="E567" s="154" t="s">
        <v>3</v>
      </c>
    </row>
    <row r="568" spans="1:5" hidden="1">
      <c r="A568">
        <f t="shared" si="8"/>
        <v>566</v>
      </c>
      <c r="B568" t="s">
        <v>886</v>
      </c>
      <c r="C568" t="s">
        <v>1076</v>
      </c>
      <c r="D568" s="172" t="s">
        <v>886</v>
      </c>
      <c r="E568" s="154" t="s">
        <v>3</v>
      </c>
    </row>
    <row r="569" spans="1:5" hidden="1">
      <c r="A569">
        <f t="shared" si="8"/>
        <v>567</v>
      </c>
      <c r="B569" t="s">
        <v>886</v>
      </c>
      <c r="C569" t="s">
        <v>1077</v>
      </c>
      <c r="D569" s="172" t="s">
        <v>886</v>
      </c>
      <c r="E569" s="154" t="s">
        <v>3</v>
      </c>
    </row>
    <row r="570" spans="1:5" hidden="1">
      <c r="A570">
        <f t="shared" si="8"/>
        <v>568</v>
      </c>
      <c r="B570" t="s">
        <v>886</v>
      </c>
      <c r="C570" t="s">
        <v>1078</v>
      </c>
      <c r="D570" s="172" t="s">
        <v>886</v>
      </c>
      <c r="E570" s="154" t="s">
        <v>3</v>
      </c>
    </row>
    <row r="571" spans="1:5" hidden="1">
      <c r="A571">
        <f t="shared" si="8"/>
        <v>569</v>
      </c>
      <c r="B571" t="s">
        <v>886</v>
      </c>
      <c r="C571" t="s">
        <v>1079</v>
      </c>
      <c r="D571" s="172" t="s">
        <v>886</v>
      </c>
      <c r="E571" s="154" t="s">
        <v>3</v>
      </c>
    </row>
    <row r="572" spans="1:5" hidden="1">
      <c r="A572">
        <f t="shared" si="8"/>
        <v>570</v>
      </c>
      <c r="B572" t="s">
        <v>886</v>
      </c>
      <c r="C572" t="s">
        <v>1080</v>
      </c>
      <c r="D572" s="172" t="s">
        <v>886</v>
      </c>
      <c r="E572" s="154" t="s">
        <v>3</v>
      </c>
    </row>
    <row r="573" spans="1:5" hidden="1">
      <c r="A573">
        <f t="shared" si="8"/>
        <v>571</v>
      </c>
      <c r="B573" t="s">
        <v>886</v>
      </c>
      <c r="C573" t="s">
        <v>1081</v>
      </c>
      <c r="D573" s="172" t="s">
        <v>886</v>
      </c>
      <c r="E573" s="154" t="s">
        <v>3</v>
      </c>
    </row>
    <row r="574" spans="1:5" hidden="1">
      <c r="A574">
        <f t="shared" si="8"/>
        <v>572</v>
      </c>
      <c r="B574" t="s">
        <v>886</v>
      </c>
      <c r="C574" t="s">
        <v>1082</v>
      </c>
      <c r="D574" s="172" t="s">
        <v>886</v>
      </c>
      <c r="E574" s="154" t="s">
        <v>3</v>
      </c>
    </row>
    <row r="575" spans="1:5" hidden="1">
      <c r="A575">
        <f t="shared" si="8"/>
        <v>573</v>
      </c>
      <c r="B575" t="s">
        <v>886</v>
      </c>
      <c r="C575" t="s">
        <v>1083</v>
      </c>
      <c r="D575" s="172" t="s">
        <v>886</v>
      </c>
      <c r="E575" s="154" t="s">
        <v>3</v>
      </c>
    </row>
    <row r="576" spans="1:5" hidden="1">
      <c r="A576">
        <f t="shared" si="8"/>
        <v>574</v>
      </c>
      <c r="B576" t="s">
        <v>886</v>
      </c>
      <c r="C576" t="s">
        <v>1084</v>
      </c>
      <c r="D576" s="172" t="s">
        <v>886</v>
      </c>
      <c r="E576" s="154" t="s">
        <v>3</v>
      </c>
    </row>
    <row r="577" spans="1:5" hidden="1">
      <c r="A577">
        <f t="shared" si="8"/>
        <v>575</v>
      </c>
      <c r="B577" t="s">
        <v>886</v>
      </c>
      <c r="C577" t="s">
        <v>1085</v>
      </c>
      <c r="D577" s="172" t="s">
        <v>886</v>
      </c>
      <c r="E577" s="154" t="s">
        <v>3</v>
      </c>
    </row>
    <row r="578" spans="1:5" hidden="1">
      <c r="A578">
        <f t="shared" si="8"/>
        <v>576</v>
      </c>
      <c r="B578" t="s">
        <v>886</v>
      </c>
      <c r="C578" t="s">
        <v>1086</v>
      </c>
      <c r="D578" s="172" t="s">
        <v>886</v>
      </c>
      <c r="E578" s="154" t="s">
        <v>3</v>
      </c>
    </row>
    <row r="579" spans="1:5" hidden="1">
      <c r="A579">
        <f t="shared" si="8"/>
        <v>577</v>
      </c>
      <c r="B579" t="s">
        <v>886</v>
      </c>
      <c r="C579" t="s">
        <v>1087</v>
      </c>
      <c r="D579" s="172" t="s">
        <v>886</v>
      </c>
      <c r="E579" s="154" t="s">
        <v>3</v>
      </c>
    </row>
    <row r="580" spans="1:5" hidden="1">
      <c r="A580">
        <f t="shared" ref="A580:A643" si="9">A579+1</f>
        <v>578</v>
      </c>
      <c r="B580" t="s">
        <v>886</v>
      </c>
      <c r="C580" t="s">
        <v>1088</v>
      </c>
      <c r="D580" s="172" t="s">
        <v>886</v>
      </c>
      <c r="E580" s="154" t="s">
        <v>3</v>
      </c>
    </row>
    <row r="581" spans="1:5" hidden="1">
      <c r="A581">
        <f t="shared" si="9"/>
        <v>579</v>
      </c>
      <c r="B581" t="s">
        <v>886</v>
      </c>
      <c r="C581" t="s">
        <v>1089</v>
      </c>
      <c r="D581" s="172" t="s">
        <v>886</v>
      </c>
      <c r="E581" s="154" t="s">
        <v>3</v>
      </c>
    </row>
    <row r="582" spans="1:5" hidden="1">
      <c r="A582">
        <f t="shared" si="9"/>
        <v>580</v>
      </c>
      <c r="B582" t="s">
        <v>886</v>
      </c>
      <c r="C582" t="s">
        <v>1090</v>
      </c>
      <c r="D582" s="172" t="s">
        <v>886</v>
      </c>
      <c r="E582" s="154" t="s">
        <v>3</v>
      </c>
    </row>
    <row r="583" spans="1:5" hidden="1">
      <c r="A583">
        <f t="shared" si="9"/>
        <v>581</v>
      </c>
      <c r="B583" t="s">
        <v>886</v>
      </c>
      <c r="C583" t="s">
        <v>1091</v>
      </c>
      <c r="D583" s="172" t="s">
        <v>886</v>
      </c>
      <c r="E583" s="154" t="s">
        <v>3</v>
      </c>
    </row>
    <row r="584" spans="1:5" hidden="1">
      <c r="A584">
        <f t="shared" si="9"/>
        <v>582</v>
      </c>
      <c r="B584" t="s">
        <v>886</v>
      </c>
      <c r="C584" t="s">
        <v>1092</v>
      </c>
      <c r="D584" s="172" t="s">
        <v>886</v>
      </c>
      <c r="E584" s="154" t="s">
        <v>3</v>
      </c>
    </row>
    <row r="585" spans="1:5" hidden="1">
      <c r="A585">
        <f t="shared" si="9"/>
        <v>583</v>
      </c>
      <c r="B585" t="s">
        <v>886</v>
      </c>
      <c r="C585" t="s">
        <v>1093</v>
      </c>
      <c r="D585" s="172" t="s">
        <v>886</v>
      </c>
      <c r="E585" s="154" t="s">
        <v>3</v>
      </c>
    </row>
    <row r="586" spans="1:5" hidden="1">
      <c r="A586">
        <f t="shared" si="9"/>
        <v>584</v>
      </c>
      <c r="B586" t="s">
        <v>886</v>
      </c>
      <c r="C586" t="s">
        <v>1094</v>
      </c>
      <c r="D586" s="172" t="s">
        <v>886</v>
      </c>
      <c r="E586" s="154" t="s">
        <v>3</v>
      </c>
    </row>
    <row r="587" spans="1:5" hidden="1">
      <c r="A587">
        <f t="shared" si="9"/>
        <v>585</v>
      </c>
      <c r="B587" t="s">
        <v>886</v>
      </c>
      <c r="C587" t="s">
        <v>1095</v>
      </c>
      <c r="D587" s="172" t="s">
        <v>886</v>
      </c>
      <c r="E587" s="154" t="s">
        <v>3</v>
      </c>
    </row>
    <row r="588" spans="1:5" hidden="1">
      <c r="A588">
        <f t="shared" si="9"/>
        <v>586</v>
      </c>
      <c r="B588" t="s">
        <v>886</v>
      </c>
      <c r="C588" t="s">
        <v>1096</v>
      </c>
      <c r="D588" s="172" t="s">
        <v>886</v>
      </c>
      <c r="E588" s="154" t="s">
        <v>3</v>
      </c>
    </row>
    <row r="589" spans="1:5" hidden="1">
      <c r="A589">
        <f t="shared" si="9"/>
        <v>587</v>
      </c>
      <c r="B589" t="s">
        <v>886</v>
      </c>
      <c r="C589" t="s">
        <v>1097</v>
      </c>
      <c r="D589" s="172" t="s">
        <v>886</v>
      </c>
      <c r="E589" s="154" t="s">
        <v>3</v>
      </c>
    </row>
    <row r="590" spans="1:5" hidden="1">
      <c r="A590">
        <f t="shared" si="9"/>
        <v>588</v>
      </c>
      <c r="B590" t="s">
        <v>886</v>
      </c>
      <c r="C590" t="s">
        <v>1098</v>
      </c>
      <c r="D590" s="172" t="s">
        <v>886</v>
      </c>
      <c r="E590" s="154" t="s">
        <v>3</v>
      </c>
    </row>
    <row r="591" spans="1:5" hidden="1">
      <c r="A591">
        <f t="shared" si="9"/>
        <v>589</v>
      </c>
      <c r="B591" t="s">
        <v>886</v>
      </c>
      <c r="C591" t="s">
        <v>1099</v>
      </c>
      <c r="D591" s="172" t="s">
        <v>886</v>
      </c>
      <c r="E591" s="154" t="s">
        <v>3</v>
      </c>
    </row>
    <row r="592" spans="1:5" hidden="1">
      <c r="A592">
        <f t="shared" si="9"/>
        <v>590</v>
      </c>
      <c r="B592" t="s">
        <v>886</v>
      </c>
      <c r="C592" t="s">
        <v>1100</v>
      </c>
      <c r="D592" s="172" t="s">
        <v>886</v>
      </c>
      <c r="E592" s="154" t="s">
        <v>3</v>
      </c>
    </row>
    <row r="593" spans="1:5" hidden="1">
      <c r="A593">
        <f t="shared" si="9"/>
        <v>591</v>
      </c>
      <c r="B593" t="s">
        <v>886</v>
      </c>
      <c r="C593" t="s">
        <v>1101</v>
      </c>
      <c r="D593" s="172" t="s">
        <v>886</v>
      </c>
      <c r="E593" s="154" t="s">
        <v>3</v>
      </c>
    </row>
    <row r="594" spans="1:5" hidden="1">
      <c r="A594">
        <f t="shared" si="9"/>
        <v>592</v>
      </c>
      <c r="B594" t="s">
        <v>886</v>
      </c>
      <c r="C594" t="s">
        <v>1102</v>
      </c>
      <c r="D594" s="172" t="s">
        <v>886</v>
      </c>
      <c r="E594" s="154" t="s">
        <v>3</v>
      </c>
    </row>
    <row r="595" spans="1:5" hidden="1">
      <c r="A595">
        <f t="shared" si="9"/>
        <v>593</v>
      </c>
      <c r="B595" t="s">
        <v>886</v>
      </c>
      <c r="C595" t="s">
        <v>1103</v>
      </c>
      <c r="D595" s="172" t="s">
        <v>886</v>
      </c>
      <c r="E595" s="154" t="s">
        <v>3</v>
      </c>
    </row>
    <row r="596" spans="1:5" hidden="1">
      <c r="A596">
        <f t="shared" si="9"/>
        <v>594</v>
      </c>
      <c r="B596" t="s">
        <v>886</v>
      </c>
      <c r="C596" t="s">
        <v>1104</v>
      </c>
      <c r="D596" s="172" t="s">
        <v>886</v>
      </c>
      <c r="E596" s="154" t="s">
        <v>3</v>
      </c>
    </row>
    <row r="597" spans="1:5" hidden="1">
      <c r="A597">
        <f t="shared" si="9"/>
        <v>595</v>
      </c>
      <c r="B597" t="s">
        <v>886</v>
      </c>
      <c r="C597" t="s">
        <v>1105</v>
      </c>
      <c r="D597" s="172" t="s">
        <v>886</v>
      </c>
      <c r="E597" s="154" t="s">
        <v>3</v>
      </c>
    </row>
    <row r="598" spans="1:5" hidden="1">
      <c r="A598">
        <f t="shared" si="9"/>
        <v>596</v>
      </c>
      <c r="B598" t="s">
        <v>886</v>
      </c>
      <c r="C598" t="s">
        <v>1106</v>
      </c>
      <c r="D598" s="172" t="s">
        <v>886</v>
      </c>
      <c r="E598" s="154" t="s">
        <v>3</v>
      </c>
    </row>
    <row r="599" spans="1:5" hidden="1">
      <c r="A599">
        <f t="shared" si="9"/>
        <v>597</v>
      </c>
      <c r="B599" t="s">
        <v>886</v>
      </c>
      <c r="C599" t="s">
        <v>1107</v>
      </c>
      <c r="D599" s="172" t="s">
        <v>886</v>
      </c>
      <c r="E599" s="154" t="s">
        <v>3</v>
      </c>
    </row>
    <row r="600" spans="1:5" hidden="1">
      <c r="A600">
        <f t="shared" si="9"/>
        <v>598</v>
      </c>
      <c r="B600" t="s">
        <v>886</v>
      </c>
      <c r="C600" t="s">
        <v>1108</v>
      </c>
      <c r="D600" s="172" t="s">
        <v>886</v>
      </c>
      <c r="E600" s="154" t="s">
        <v>3</v>
      </c>
    </row>
    <row r="601" spans="1:5" hidden="1">
      <c r="A601">
        <f t="shared" si="9"/>
        <v>599</v>
      </c>
      <c r="B601" t="s">
        <v>886</v>
      </c>
      <c r="C601" t="s">
        <v>1109</v>
      </c>
      <c r="D601" s="172" t="s">
        <v>886</v>
      </c>
      <c r="E601" s="154" t="s">
        <v>3</v>
      </c>
    </row>
    <row r="602" spans="1:5" hidden="1">
      <c r="A602">
        <f t="shared" si="9"/>
        <v>600</v>
      </c>
      <c r="B602" t="s">
        <v>886</v>
      </c>
      <c r="C602" t="s">
        <v>1110</v>
      </c>
      <c r="D602" s="172" t="s">
        <v>886</v>
      </c>
      <c r="E602" s="154" t="s">
        <v>3</v>
      </c>
    </row>
    <row r="603" spans="1:5" hidden="1">
      <c r="A603">
        <f t="shared" si="9"/>
        <v>601</v>
      </c>
      <c r="B603" t="s">
        <v>886</v>
      </c>
      <c r="C603" t="s">
        <v>1111</v>
      </c>
      <c r="D603" s="172" t="s">
        <v>886</v>
      </c>
      <c r="E603" s="154" t="s">
        <v>3</v>
      </c>
    </row>
    <row r="604" spans="1:5" hidden="1">
      <c r="A604">
        <f t="shared" si="9"/>
        <v>602</v>
      </c>
      <c r="B604" t="s">
        <v>886</v>
      </c>
      <c r="C604" t="s">
        <v>1112</v>
      </c>
      <c r="D604" s="172" t="s">
        <v>886</v>
      </c>
      <c r="E604" s="154" t="s">
        <v>3</v>
      </c>
    </row>
    <row r="605" spans="1:5" hidden="1">
      <c r="A605">
        <f t="shared" si="9"/>
        <v>603</v>
      </c>
      <c r="B605" t="s">
        <v>886</v>
      </c>
      <c r="C605" t="s">
        <v>1113</v>
      </c>
      <c r="D605" s="172" t="s">
        <v>886</v>
      </c>
      <c r="E605" s="154" t="s">
        <v>3</v>
      </c>
    </row>
    <row r="606" spans="1:5" hidden="1">
      <c r="A606">
        <f t="shared" si="9"/>
        <v>604</v>
      </c>
      <c r="B606" t="s">
        <v>886</v>
      </c>
      <c r="C606" t="s">
        <v>1114</v>
      </c>
      <c r="D606" s="172" t="s">
        <v>886</v>
      </c>
      <c r="E606" s="154" t="s">
        <v>3</v>
      </c>
    </row>
    <row r="607" spans="1:5" hidden="1">
      <c r="A607">
        <f t="shared" si="9"/>
        <v>605</v>
      </c>
      <c r="B607" t="s">
        <v>886</v>
      </c>
      <c r="C607" t="s">
        <v>1115</v>
      </c>
      <c r="D607" s="172" t="s">
        <v>886</v>
      </c>
      <c r="E607" s="154" t="s">
        <v>3</v>
      </c>
    </row>
    <row r="608" spans="1:5" hidden="1">
      <c r="A608">
        <f t="shared" si="9"/>
        <v>606</v>
      </c>
      <c r="B608" t="s">
        <v>886</v>
      </c>
      <c r="C608" t="s">
        <v>1116</v>
      </c>
      <c r="D608" s="172" t="s">
        <v>886</v>
      </c>
      <c r="E608" s="154" t="s">
        <v>3</v>
      </c>
    </row>
    <row r="609" spans="1:5" hidden="1">
      <c r="A609">
        <f t="shared" si="9"/>
        <v>607</v>
      </c>
      <c r="B609" t="s">
        <v>886</v>
      </c>
      <c r="C609" t="s">
        <v>1117</v>
      </c>
      <c r="D609" s="172" t="s">
        <v>886</v>
      </c>
      <c r="E609" s="154" t="s">
        <v>3</v>
      </c>
    </row>
    <row r="610" spans="1:5" hidden="1">
      <c r="A610">
        <f t="shared" si="9"/>
        <v>608</v>
      </c>
      <c r="B610" t="s">
        <v>886</v>
      </c>
      <c r="C610" t="s">
        <v>1118</v>
      </c>
      <c r="D610" s="172" t="s">
        <v>886</v>
      </c>
      <c r="E610" s="154" t="s">
        <v>3</v>
      </c>
    </row>
    <row r="611" spans="1:5" hidden="1">
      <c r="A611">
        <f t="shared" si="9"/>
        <v>609</v>
      </c>
      <c r="B611" t="s">
        <v>886</v>
      </c>
      <c r="C611" t="s">
        <v>1119</v>
      </c>
      <c r="D611" s="172" t="s">
        <v>886</v>
      </c>
      <c r="E611" s="154" t="s">
        <v>3</v>
      </c>
    </row>
    <row r="612" spans="1:5" hidden="1">
      <c r="A612">
        <f t="shared" si="9"/>
        <v>610</v>
      </c>
      <c r="B612" t="s">
        <v>886</v>
      </c>
      <c r="C612" t="s">
        <v>1120</v>
      </c>
      <c r="D612" s="172" t="s">
        <v>886</v>
      </c>
      <c r="E612" s="154" t="s">
        <v>3</v>
      </c>
    </row>
    <row r="613" spans="1:5" hidden="1">
      <c r="A613">
        <f t="shared" si="9"/>
        <v>611</v>
      </c>
      <c r="B613" t="s">
        <v>886</v>
      </c>
      <c r="C613" t="s">
        <v>1121</v>
      </c>
      <c r="D613" s="172" t="s">
        <v>886</v>
      </c>
      <c r="E613" s="154" t="s">
        <v>3</v>
      </c>
    </row>
    <row r="614" spans="1:5" hidden="1">
      <c r="A614">
        <f t="shared" si="9"/>
        <v>612</v>
      </c>
      <c r="B614" t="s">
        <v>886</v>
      </c>
      <c r="C614" t="s">
        <v>1122</v>
      </c>
      <c r="D614" s="172" t="s">
        <v>886</v>
      </c>
      <c r="E614" s="154" t="s">
        <v>3</v>
      </c>
    </row>
    <row r="615" spans="1:5" hidden="1">
      <c r="A615">
        <f t="shared" si="9"/>
        <v>613</v>
      </c>
      <c r="B615" t="s">
        <v>886</v>
      </c>
      <c r="C615" t="s">
        <v>1123</v>
      </c>
      <c r="D615" s="172" t="s">
        <v>886</v>
      </c>
      <c r="E615" s="154" t="s">
        <v>3</v>
      </c>
    </row>
    <row r="616" spans="1:5" hidden="1">
      <c r="A616">
        <f t="shared" si="9"/>
        <v>614</v>
      </c>
      <c r="B616" t="s">
        <v>886</v>
      </c>
      <c r="C616" t="s">
        <v>1124</v>
      </c>
      <c r="D616" s="172" t="s">
        <v>886</v>
      </c>
      <c r="E616" s="154" t="s">
        <v>3</v>
      </c>
    </row>
    <row r="617" spans="1:5" hidden="1">
      <c r="A617">
        <f t="shared" si="9"/>
        <v>615</v>
      </c>
      <c r="B617" t="s">
        <v>886</v>
      </c>
      <c r="C617" t="s">
        <v>1125</v>
      </c>
      <c r="D617" s="172" t="s">
        <v>886</v>
      </c>
      <c r="E617" s="154" t="s">
        <v>3</v>
      </c>
    </row>
    <row r="618" spans="1:5" hidden="1">
      <c r="A618">
        <f t="shared" si="9"/>
        <v>616</v>
      </c>
      <c r="B618" t="s">
        <v>886</v>
      </c>
      <c r="C618" t="s">
        <v>1126</v>
      </c>
      <c r="D618" s="172" t="s">
        <v>886</v>
      </c>
      <c r="E618" s="154" t="s">
        <v>3</v>
      </c>
    </row>
    <row r="619" spans="1:5" hidden="1">
      <c r="A619">
        <f t="shared" si="9"/>
        <v>617</v>
      </c>
      <c r="B619" t="s">
        <v>886</v>
      </c>
      <c r="C619" t="s">
        <v>1127</v>
      </c>
      <c r="D619" s="172" t="s">
        <v>886</v>
      </c>
      <c r="E619" s="154" t="s">
        <v>3</v>
      </c>
    </row>
    <row r="620" spans="1:5" hidden="1">
      <c r="A620">
        <f t="shared" si="9"/>
        <v>618</v>
      </c>
      <c r="B620" t="s">
        <v>886</v>
      </c>
      <c r="C620" t="s">
        <v>1128</v>
      </c>
      <c r="D620" s="172" t="s">
        <v>886</v>
      </c>
      <c r="E620" s="154" t="s">
        <v>3</v>
      </c>
    </row>
    <row r="621" spans="1:5" hidden="1">
      <c r="A621">
        <f t="shared" si="9"/>
        <v>619</v>
      </c>
      <c r="B621" t="s">
        <v>886</v>
      </c>
      <c r="C621" t="s">
        <v>1129</v>
      </c>
      <c r="D621" s="172" t="s">
        <v>886</v>
      </c>
      <c r="E621" s="154" t="s">
        <v>3</v>
      </c>
    </row>
    <row r="622" spans="1:5" hidden="1">
      <c r="A622">
        <f t="shared" si="9"/>
        <v>620</v>
      </c>
      <c r="B622" t="s">
        <v>886</v>
      </c>
      <c r="C622" t="s">
        <v>1130</v>
      </c>
      <c r="D622" s="172" t="s">
        <v>886</v>
      </c>
      <c r="E622" s="154" t="s">
        <v>3</v>
      </c>
    </row>
    <row r="623" spans="1:5" hidden="1">
      <c r="A623">
        <f t="shared" si="9"/>
        <v>621</v>
      </c>
      <c r="B623" t="s">
        <v>886</v>
      </c>
      <c r="C623" t="s">
        <v>1131</v>
      </c>
      <c r="D623" s="172" t="s">
        <v>886</v>
      </c>
      <c r="E623" s="154" t="s">
        <v>3</v>
      </c>
    </row>
    <row r="624" spans="1:5" hidden="1">
      <c r="A624">
        <f t="shared" si="9"/>
        <v>622</v>
      </c>
      <c r="B624" t="s">
        <v>886</v>
      </c>
      <c r="C624" t="s">
        <v>1132</v>
      </c>
      <c r="D624" s="172" t="s">
        <v>886</v>
      </c>
      <c r="E624" s="154" t="s">
        <v>3</v>
      </c>
    </row>
    <row r="625" spans="1:5" hidden="1">
      <c r="A625">
        <f t="shared" si="9"/>
        <v>623</v>
      </c>
      <c r="B625" t="s">
        <v>886</v>
      </c>
      <c r="C625" t="s">
        <v>1133</v>
      </c>
      <c r="D625" s="172" t="s">
        <v>886</v>
      </c>
      <c r="E625" s="154" t="s">
        <v>3</v>
      </c>
    </row>
    <row r="626" spans="1:5" hidden="1">
      <c r="A626">
        <f t="shared" si="9"/>
        <v>624</v>
      </c>
      <c r="B626" t="s">
        <v>886</v>
      </c>
      <c r="C626" t="s">
        <v>1134</v>
      </c>
      <c r="D626" s="172" t="s">
        <v>886</v>
      </c>
      <c r="E626" s="154" t="s">
        <v>3</v>
      </c>
    </row>
    <row r="627" spans="1:5" hidden="1">
      <c r="A627">
        <f t="shared" si="9"/>
        <v>625</v>
      </c>
      <c r="B627" t="s">
        <v>886</v>
      </c>
      <c r="C627" t="s">
        <v>1135</v>
      </c>
      <c r="D627" s="172" t="s">
        <v>886</v>
      </c>
      <c r="E627" s="154" t="s">
        <v>3</v>
      </c>
    </row>
    <row r="628" spans="1:5" hidden="1">
      <c r="A628">
        <f t="shared" si="9"/>
        <v>626</v>
      </c>
      <c r="B628" t="s">
        <v>886</v>
      </c>
      <c r="C628" t="s">
        <v>1136</v>
      </c>
      <c r="D628" s="172" t="s">
        <v>886</v>
      </c>
      <c r="E628" s="154" t="s">
        <v>3</v>
      </c>
    </row>
    <row r="629" spans="1:5" hidden="1">
      <c r="A629">
        <f t="shared" si="9"/>
        <v>627</v>
      </c>
      <c r="B629" t="s">
        <v>886</v>
      </c>
      <c r="C629" t="s">
        <v>1137</v>
      </c>
      <c r="D629" s="172" t="s">
        <v>886</v>
      </c>
      <c r="E629" s="154" t="s">
        <v>3</v>
      </c>
    </row>
    <row r="630" spans="1:5" hidden="1">
      <c r="A630">
        <f t="shared" si="9"/>
        <v>628</v>
      </c>
      <c r="B630" t="s">
        <v>886</v>
      </c>
      <c r="C630" t="s">
        <v>1138</v>
      </c>
      <c r="D630" s="172" t="s">
        <v>886</v>
      </c>
      <c r="E630" s="154" t="s">
        <v>3</v>
      </c>
    </row>
    <row r="631" spans="1:5" hidden="1">
      <c r="A631">
        <f t="shared" si="9"/>
        <v>629</v>
      </c>
      <c r="B631" t="s">
        <v>886</v>
      </c>
      <c r="C631" t="s">
        <v>1139</v>
      </c>
      <c r="D631" s="172" t="s">
        <v>886</v>
      </c>
      <c r="E631" s="154" t="s">
        <v>3</v>
      </c>
    </row>
    <row r="632" spans="1:5" hidden="1">
      <c r="A632">
        <f t="shared" si="9"/>
        <v>630</v>
      </c>
      <c r="B632" t="s">
        <v>886</v>
      </c>
      <c r="C632" t="s">
        <v>1140</v>
      </c>
      <c r="D632" s="172" t="s">
        <v>886</v>
      </c>
      <c r="E632" s="154" t="s">
        <v>3</v>
      </c>
    </row>
    <row r="633" spans="1:5" hidden="1">
      <c r="A633">
        <f t="shared" si="9"/>
        <v>631</v>
      </c>
      <c r="B633" t="s">
        <v>886</v>
      </c>
      <c r="C633" t="s">
        <v>1141</v>
      </c>
      <c r="D633" s="172" t="s">
        <v>886</v>
      </c>
      <c r="E633" s="154" t="s">
        <v>3</v>
      </c>
    </row>
    <row r="634" spans="1:5" hidden="1">
      <c r="A634">
        <f t="shared" si="9"/>
        <v>632</v>
      </c>
      <c r="B634" t="s">
        <v>886</v>
      </c>
      <c r="C634" t="s">
        <v>1142</v>
      </c>
      <c r="D634" s="172" t="s">
        <v>886</v>
      </c>
      <c r="E634" s="154" t="s">
        <v>3</v>
      </c>
    </row>
    <row r="635" spans="1:5" hidden="1">
      <c r="A635">
        <f t="shared" si="9"/>
        <v>633</v>
      </c>
      <c r="B635" t="s">
        <v>886</v>
      </c>
      <c r="C635" t="s">
        <v>1143</v>
      </c>
      <c r="D635" s="172" t="s">
        <v>886</v>
      </c>
      <c r="E635" s="154" t="s">
        <v>3</v>
      </c>
    </row>
    <row r="636" spans="1:5" hidden="1">
      <c r="A636">
        <f t="shared" si="9"/>
        <v>634</v>
      </c>
      <c r="B636" t="s">
        <v>886</v>
      </c>
      <c r="C636" t="s">
        <v>1144</v>
      </c>
      <c r="D636" s="172" t="s">
        <v>886</v>
      </c>
      <c r="E636" s="154" t="s">
        <v>3</v>
      </c>
    </row>
    <row r="637" spans="1:5" hidden="1">
      <c r="A637">
        <f t="shared" si="9"/>
        <v>635</v>
      </c>
      <c r="B637" t="s">
        <v>886</v>
      </c>
      <c r="C637" t="s">
        <v>1145</v>
      </c>
      <c r="D637" s="172" t="s">
        <v>886</v>
      </c>
      <c r="E637" s="154" t="s">
        <v>3</v>
      </c>
    </row>
    <row r="638" spans="1:5" hidden="1">
      <c r="A638">
        <f t="shared" si="9"/>
        <v>636</v>
      </c>
      <c r="B638" t="s">
        <v>886</v>
      </c>
      <c r="C638" t="s">
        <v>1146</v>
      </c>
      <c r="D638" s="172" t="s">
        <v>886</v>
      </c>
      <c r="E638" s="154" t="s">
        <v>3</v>
      </c>
    </row>
    <row r="639" spans="1:5" hidden="1">
      <c r="A639">
        <f t="shared" si="9"/>
        <v>637</v>
      </c>
      <c r="B639" t="s">
        <v>886</v>
      </c>
      <c r="C639" t="s">
        <v>1147</v>
      </c>
      <c r="D639" s="172" t="s">
        <v>886</v>
      </c>
      <c r="E639" s="154" t="s">
        <v>3</v>
      </c>
    </row>
    <row r="640" spans="1:5" hidden="1">
      <c r="A640">
        <f t="shared" si="9"/>
        <v>638</v>
      </c>
      <c r="B640" t="s">
        <v>886</v>
      </c>
      <c r="C640" t="s">
        <v>1148</v>
      </c>
      <c r="D640" s="172" t="s">
        <v>886</v>
      </c>
      <c r="E640" s="154" t="s">
        <v>3</v>
      </c>
    </row>
    <row r="641" spans="1:5" hidden="1">
      <c r="A641">
        <f t="shared" si="9"/>
        <v>639</v>
      </c>
      <c r="B641" t="s">
        <v>886</v>
      </c>
      <c r="C641" t="s">
        <v>1149</v>
      </c>
      <c r="D641" s="172" t="s">
        <v>886</v>
      </c>
      <c r="E641" s="154" t="s">
        <v>3</v>
      </c>
    </row>
    <row r="642" spans="1:5" hidden="1">
      <c r="A642">
        <f t="shared" si="9"/>
        <v>640</v>
      </c>
      <c r="B642" t="s">
        <v>886</v>
      </c>
      <c r="C642" t="s">
        <v>1150</v>
      </c>
      <c r="D642" s="172" t="s">
        <v>886</v>
      </c>
      <c r="E642" s="154" t="s">
        <v>3</v>
      </c>
    </row>
    <row r="643" spans="1:5" hidden="1">
      <c r="A643">
        <f t="shared" si="9"/>
        <v>641</v>
      </c>
      <c r="B643" t="s">
        <v>886</v>
      </c>
      <c r="C643" t="s">
        <v>1151</v>
      </c>
      <c r="D643" s="172" t="s">
        <v>886</v>
      </c>
      <c r="E643" s="154" t="s">
        <v>3</v>
      </c>
    </row>
    <row r="644" spans="1:5" hidden="1">
      <c r="A644">
        <f t="shared" ref="A644:A707" si="10">A643+1</f>
        <v>642</v>
      </c>
      <c r="B644" t="s">
        <v>886</v>
      </c>
      <c r="C644" t="s">
        <v>1152</v>
      </c>
      <c r="D644" s="172" t="s">
        <v>886</v>
      </c>
      <c r="E644" s="154" t="s">
        <v>3</v>
      </c>
    </row>
    <row r="645" spans="1:5" hidden="1">
      <c r="A645">
        <f t="shared" si="10"/>
        <v>643</v>
      </c>
      <c r="B645" t="s">
        <v>886</v>
      </c>
      <c r="C645" t="s">
        <v>1153</v>
      </c>
      <c r="D645" s="172" t="s">
        <v>886</v>
      </c>
      <c r="E645" s="154" t="s">
        <v>3</v>
      </c>
    </row>
    <row r="646" spans="1:5" hidden="1">
      <c r="A646">
        <f t="shared" si="10"/>
        <v>644</v>
      </c>
      <c r="B646" t="s">
        <v>886</v>
      </c>
      <c r="C646" t="s">
        <v>1154</v>
      </c>
      <c r="D646" s="172" t="s">
        <v>886</v>
      </c>
      <c r="E646" s="154" t="s">
        <v>3</v>
      </c>
    </row>
    <row r="647" spans="1:5" hidden="1">
      <c r="A647">
        <f t="shared" si="10"/>
        <v>645</v>
      </c>
      <c r="B647" t="s">
        <v>886</v>
      </c>
      <c r="C647" t="s">
        <v>1155</v>
      </c>
      <c r="D647" s="172" t="s">
        <v>886</v>
      </c>
      <c r="E647" s="154" t="s">
        <v>3</v>
      </c>
    </row>
    <row r="648" spans="1:5" hidden="1">
      <c r="A648">
        <f t="shared" si="10"/>
        <v>646</v>
      </c>
      <c r="B648" t="s">
        <v>886</v>
      </c>
      <c r="C648" t="s">
        <v>1156</v>
      </c>
      <c r="D648" s="172" t="s">
        <v>886</v>
      </c>
      <c r="E648" s="154" t="s">
        <v>3</v>
      </c>
    </row>
    <row r="649" spans="1:5" hidden="1">
      <c r="A649">
        <f t="shared" si="10"/>
        <v>647</v>
      </c>
      <c r="B649" t="s">
        <v>886</v>
      </c>
      <c r="C649" t="s">
        <v>1157</v>
      </c>
      <c r="D649" s="172" t="s">
        <v>886</v>
      </c>
      <c r="E649" s="154" t="s">
        <v>3</v>
      </c>
    </row>
    <row r="650" spans="1:5" hidden="1">
      <c r="A650">
        <f t="shared" si="10"/>
        <v>648</v>
      </c>
      <c r="B650" t="s">
        <v>886</v>
      </c>
      <c r="C650" t="s">
        <v>1158</v>
      </c>
      <c r="D650" s="172" t="s">
        <v>886</v>
      </c>
      <c r="E650" s="154" t="s">
        <v>3</v>
      </c>
    </row>
    <row r="651" spans="1:5" hidden="1">
      <c r="A651">
        <f t="shared" si="10"/>
        <v>649</v>
      </c>
      <c r="B651" t="s">
        <v>886</v>
      </c>
      <c r="C651" t="s">
        <v>1159</v>
      </c>
      <c r="D651" s="172" t="s">
        <v>886</v>
      </c>
      <c r="E651" s="154" t="s">
        <v>3</v>
      </c>
    </row>
    <row r="652" spans="1:5" hidden="1">
      <c r="A652">
        <f t="shared" si="10"/>
        <v>650</v>
      </c>
      <c r="B652" t="s">
        <v>886</v>
      </c>
      <c r="C652" t="s">
        <v>1160</v>
      </c>
      <c r="D652" s="172" t="s">
        <v>886</v>
      </c>
      <c r="E652" s="154" t="s">
        <v>3</v>
      </c>
    </row>
    <row r="653" spans="1:5" hidden="1">
      <c r="A653">
        <f t="shared" si="10"/>
        <v>651</v>
      </c>
      <c r="B653" t="s">
        <v>886</v>
      </c>
      <c r="C653" t="s">
        <v>1161</v>
      </c>
      <c r="D653" s="172" t="s">
        <v>886</v>
      </c>
      <c r="E653" s="154" t="s">
        <v>3</v>
      </c>
    </row>
    <row r="654" spans="1:5" hidden="1">
      <c r="A654">
        <f t="shared" si="10"/>
        <v>652</v>
      </c>
      <c r="B654" t="s">
        <v>886</v>
      </c>
      <c r="C654" t="s">
        <v>1162</v>
      </c>
      <c r="D654" s="172" t="s">
        <v>886</v>
      </c>
      <c r="E654" s="154" t="s">
        <v>3</v>
      </c>
    </row>
    <row r="655" spans="1:5" hidden="1">
      <c r="A655">
        <f t="shared" si="10"/>
        <v>653</v>
      </c>
      <c r="B655" t="s">
        <v>886</v>
      </c>
      <c r="C655" t="s">
        <v>1163</v>
      </c>
      <c r="D655" s="172" t="s">
        <v>886</v>
      </c>
      <c r="E655" s="154" t="s">
        <v>3</v>
      </c>
    </row>
    <row r="656" spans="1:5" hidden="1">
      <c r="A656">
        <f t="shared" si="10"/>
        <v>654</v>
      </c>
      <c r="B656" t="s">
        <v>886</v>
      </c>
      <c r="C656" t="s">
        <v>1164</v>
      </c>
      <c r="D656" s="172" t="s">
        <v>886</v>
      </c>
      <c r="E656" s="154" t="s">
        <v>3</v>
      </c>
    </row>
    <row r="657" spans="1:5" hidden="1">
      <c r="A657">
        <f t="shared" si="10"/>
        <v>655</v>
      </c>
      <c r="B657" t="s">
        <v>886</v>
      </c>
      <c r="C657" t="s">
        <v>1165</v>
      </c>
      <c r="D657" s="172" t="s">
        <v>886</v>
      </c>
      <c r="E657" s="154" t="s">
        <v>3</v>
      </c>
    </row>
    <row r="658" spans="1:5" hidden="1">
      <c r="A658">
        <f t="shared" si="10"/>
        <v>656</v>
      </c>
      <c r="B658" t="s">
        <v>886</v>
      </c>
      <c r="C658" t="s">
        <v>1166</v>
      </c>
      <c r="D658" s="172" t="s">
        <v>886</v>
      </c>
      <c r="E658" s="154" t="s">
        <v>3</v>
      </c>
    </row>
    <row r="659" spans="1:5" hidden="1">
      <c r="A659">
        <f t="shared" si="10"/>
        <v>657</v>
      </c>
      <c r="B659" t="s">
        <v>886</v>
      </c>
      <c r="C659" t="s">
        <v>1167</v>
      </c>
      <c r="D659" s="172" t="s">
        <v>886</v>
      </c>
      <c r="E659" s="154" t="s">
        <v>3</v>
      </c>
    </row>
    <row r="660" spans="1:5" hidden="1">
      <c r="A660">
        <f t="shared" si="10"/>
        <v>658</v>
      </c>
      <c r="B660" t="s">
        <v>886</v>
      </c>
      <c r="C660" t="s">
        <v>1530</v>
      </c>
      <c r="D660" s="172" t="s">
        <v>886</v>
      </c>
      <c r="E660" s="154" t="s">
        <v>3</v>
      </c>
    </row>
    <row r="661" spans="1:5" hidden="1">
      <c r="A661">
        <f t="shared" si="10"/>
        <v>659</v>
      </c>
      <c r="B661" t="s">
        <v>886</v>
      </c>
      <c r="C661" t="s">
        <v>1168</v>
      </c>
      <c r="D661" s="172" t="s">
        <v>886</v>
      </c>
      <c r="E661" s="154" t="s">
        <v>3</v>
      </c>
    </row>
    <row r="662" spans="1:5" hidden="1">
      <c r="A662">
        <f t="shared" si="10"/>
        <v>660</v>
      </c>
      <c r="B662" t="s">
        <v>886</v>
      </c>
      <c r="C662" t="s">
        <v>1169</v>
      </c>
      <c r="D662" s="172" t="s">
        <v>886</v>
      </c>
      <c r="E662" s="154" t="s">
        <v>3</v>
      </c>
    </row>
    <row r="663" spans="1:5" hidden="1">
      <c r="A663">
        <f t="shared" si="10"/>
        <v>661</v>
      </c>
      <c r="B663" t="s">
        <v>886</v>
      </c>
      <c r="C663" t="s">
        <v>1170</v>
      </c>
      <c r="D663" s="172" t="s">
        <v>886</v>
      </c>
      <c r="E663" s="154" t="s">
        <v>3</v>
      </c>
    </row>
    <row r="664" spans="1:5" hidden="1">
      <c r="A664">
        <f t="shared" si="10"/>
        <v>662</v>
      </c>
      <c r="B664" t="s">
        <v>886</v>
      </c>
      <c r="C664" t="s">
        <v>1171</v>
      </c>
      <c r="D664" s="172" t="s">
        <v>886</v>
      </c>
      <c r="E664" s="154" t="s">
        <v>3</v>
      </c>
    </row>
    <row r="665" spans="1:5" hidden="1">
      <c r="A665">
        <f t="shared" si="10"/>
        <v>663</v>
      </c>
      <c r="B665" t="s">
        <v>886</v>
      </c>
      <c r="C665" t="s">
        <v>1172</v>
      </c>
      <c r="D665" s="172" t="s">
        <v>886</v>
      </c>
      <c r="E665" s="154" t="s">
        <v>3</v>
      </c>
    </row>
    <row r="666" spans="1:5" hidden="1">
      <c r="A666">
        <f t="shared" si="10"/>
        <v>664</v>
      </c>
      <c r="B666" t="s">
        <v>886</v>
      </c>
      <c r="C666" t="s">
        <v>1173</v>
      </c>
      <c r="D666" s="172" t="s">
        <v>886</v>
      </c>
      <c r="E666" s="154" t="s">
        <v>3</v>
      </c>
    </row>
    <row r="667" spans="1:5" hidden="1">
      <c r="A667">
        <f t="shared" si="10"/>
        <v>665</v>
      </c>
      <c r="B667" t="s">
        <v>886</v>
      </c>
      <c r="C667" t="s">
        <v>1174</v>
      </c>
      <c r="D667" s="172" t="s">
        <v>886</v>
      </c>
      <c r="E667" s="154" t="s">
        <v>3</v>
      </c>
    </row>
    <row r="668" spans="1:5" hidden="1">
      <c r="A668">
        <f t="shared" si="10"/>
        <v>666</v>
      </c>
      <c r="B668" t="s">
        <v>886</v>
      </c>
      <c r="C668" t="s">
        <v>1175</v>
      </c>
      <c r="D668" s="172" t="s">
        <v>886</v>
      </c>
      <c r="E668" s="154" t="s">
        <v>3</v>
      </c>
    </row>
    <row r="669" spans="1:5" hidden="1">
      <c r="A669">
        <f t="shared" si="10"/>
        <v>667</v>
      </c>
      <c r="B669" t="s">
        <v>886</v>
      </c>
      <c r="C669" t="s">
        <v>1176</v>
      </c>
      <c r="D669" s="172" t="s">
        <v>886</v>
      </c>
      <c r="E669" s="154" t="s">
        <v>3</v>
      </c>
    </row>
    <row r="670" spans="1:5" hidden="1">
      <c r="A670">
        <f t="shared" si="10"/>
        <v>668</v>
      </c>
      <c r="B670" t="s">
        <v>886</v>
      </c>
      <c r="C670" t="s">
        <v>1177</v>
      </c>
      <c r="D670" s="172" t="s">
        <v>886</v>
      </c>
      <c r="E670" s="154" t="s">
        <v>3</v>
      </c>
    </row>
    <row r="671" spans="1:5" hidden="1">
      <c r="A671">
        <f t="shared" si="10"/>
        <v>669</v>
      </c>
      <c r="B671" t="s">
        <v>886</v>
      </c>
      <c r="C671" t="s">
        <v>1178</v>
      </c>
      <c r="D671" s="172" t="s">
        <v>886</v>
      </c>
      <c r="E671" s="154" t="s">
        <v>3</v>
      </c>
    </row>
    <row r="672" spans="1:5" hidden="1">
      <c r="A672">
        <f t="shared" si="10"/>
        <v>670</v>
      </c>
      <c r="B672" t="s">
        <v>886</v>
      </c>
      <c r="C672" t="s">
        <v>1179</v>
      </c>
      <c r="D672" s="172" t="s">
        <v>886</v>
      </c>
      <c r="E672" s="154" t="s">
        <v>3</v>
      </c>
    </row>
    <row r="673" spans="1:5" hidden="1">
      <c r="A673">
        <f t="shared" si="10"/>
        <v>671</v>
      </c>
      <c r="B673" t="s">
        <v>886</v>
      </c>
      <c r="C673" t="s">
        <v>1180</v>
      </c>
      <c r="D673" s="172" t="s">
        <v>886</v>
      </c>
      <c r="E673" s="154" t="s">
        <v>3</v>
      </c>
    </row>
    <row r="674" spans="1:5" hidden="1">
      <c r="A674">
        <f t="shared" si="10"/>
        <v>672</v>
      </c>
      <c r="B674" t="s">
        <v>886</v>
      </c>
      <c r="C674" t="s">
        <v>1181</v>
      </c>
      <c r="D674" s="172" t="s">
        <v>886</v>
      </c>
      <c r="E674" s="154" t="s">
        <v>3</v>
      </c>
    </row>
    <row r="675" spans="1:5" hidden="1">
      <c r="A675">
        <f t="shared" si="10"/>
        <v>673</v>
      </c>
      <c r="B675" t="s">
        <v>886</v>
      </c>
      <c r="C675" t="s">
        <v>1182</v>
      </c>
      <c r="D675" s="172" t="s">
        <v>886</v>
      </c>
      <c r="E675" s="154" t="s">
        <v>3</v>
      </c>
    </row>
    <row r="676" spans="1:5" hidden="1">
      <c r="A676">
        <f t="shared" si="10"/>
        <v>674</v>
      </c>
      <c r="B676" t="s">
        <v>886</v>
      </c>
      <c r="C676" t="s">
        <v>1183</v>
      </c>
      <c r="D676" s="172" t="s">
        <v>886</v>
      </c>
      <c r="E676" s="154" t="s">
        <v>3</v>
      </c>
    </row>
    <row r="677" spans="1:5" hidden="1">
      <c r="A677">
        <f t="shared" si="10"/>
        <v>675</v>
      </c>
      <c r="B677" t="s">
        <v>886</v>
      </c>
      <c r="C677" t="s">
        <v>1184</v>
      </c>
      <c r="D677" s="172" t="s">
        <v>886</v>
      </c>
      <c r="E677" s="154" t="s">
        <v>3</v>
      </c>
    </row>
    <row r="678" spans="1:5" hidden="1">
      <c r="A678">
        <f t="shared" si="10"/>
        <v>676</v>
      </c>
      <c r="B678" t="s">
        <v>886</v>
      </c>
      <c r="C678" t="s">
        <v>1185</v>
      </c>
      <c r="D678" s="172" t="s">
        <v>886</v>
      </c>
      <c r="E678" s="154" t="s">
        <v>3</v>
      </c>
    </row>
    <row r="679" spans="1:5" hidden="1">
      <c r="A679">
        <f t="shared" si="10"/>
        <v>677</v>
      </c>
      <c r="B679" t="s">
        <v>886</v>
      </c>
      <c r="C679" t="s">
        <v>1186</v>
      </c>
      <c r="D679" s="172" t="s">
        <v>886</v>
      </c>
      <c r="E679" s="154" t="s">
        <v>3</v>
      </c>
    </row>
    <row r="680" spans="1:5" hidden="1">
      <c r="A680">
        <f t="shared" si="10"/>
        <v>678</v>
      </c>
      <c r="B680" t="s">
        <v>886</v>
      </c>
      <c r="C680" t="s">
        <v>1187</v>
      </c>
      <c r="D680" s="172" t="s">
        <v>886</v>
      </c>
      <c r="E680" s="154" t="s">
        <v>3</v>
      </c>
    </row>
    <row r="681" spans="1:5" hidden="1">
      <c r="A681">
        <f t="shared" si="10"/>
        <v>679</v>
      </c>
      <c r="B681" t="s">
        <v>886</v>
      </c>
      <c r="C681" t="s">
        <v>1188</v>
      </c>
      <c r="D681" s="172" t="s">
        <v>886</v>
      </c>
      <c r="E681" s="154" t="s">
        <v>3</v>
      </c>
    </row>
    <row r="682" spans="1:5" hidden="1">
      <c r="A682">
        <f t="shared" si="10"/>
        <v>680</v>
      </c>
      <c r="B682" t="s">
        <v>886</v>
      </c>
      <c r="C682" t="s">
        <v>1189</v>
      </c>
      <c r="D682" s="172" t="s">
        <v>886</v>
      </c>
      <c r="E682" s="154" t="s">
        <v>3</v>
      </c>
    </row>
    <row r="683" spans="1:5" hidden="1">
      <c r="A683">
        <f t="shared" si="10"/>
        <v>681</v>
      </c>
      <c r="B683" t="s">
        <v>886</v>
      </c>
      <c r="C683" t="s">
        <v>1190</v>
      </c>
      <c r="D683" s="172" t="s">
        <v>886</v>
      </c>
      <c r="E683" s="154" t="s">
        <v>3</v>
      </c>
    </row>
    <row r="684" spans="1:5" hidden="1">
      <c r="A684">
        <f t="shared" si="10"/>
        <v>682</v>
      </c>
      <c r="B684" t="s">
        <v>886</v>
      </c>
      <c r="C684" t="s">
        <v>1191</v>
      </c>
      <c r="D684" s="172" t="s">
        <v>886</v>
      </c>
      <c r="E684" s="154" t="s">
        <v>3</v>
      </c>
    </row>
    <row r="685" spans="1:5" hidden="1">
      <c r="A685">
        <f t="shared" si="10"/>
        <v>683</v>
      </c>
      <c r="B685" t="s">
        <v>886</v>
      </c>
      <c r="C685" t="s">
        <v>1192</v>
      </c>
      <c r="D685" s="172" t="s">
        <v>886</v>
      </c>
      <c r="E685" s="154" t="s">
        <v>3</v>
      </c>
    </row>
    <row r="686" spans="1:5" hidden="1">
      <c r="A686">
        <f t="shared" si="10"/>
        <v>684</v>
      </c>
      <c r="B686" t="s">
        <v>886</v>
      </c>
      <c r="C686" t="s">
        <v>1193</v>
      </c>
      <c r="D686" s="172" t="s">
        <v>886</v>
      </c>
      <c r="E686" s="154" t="s">
        <v>3</v>
      </c>
    </row>
    <row r="687" spans="1:5" hidden="1">
      <c r="A687">
        <f t="shared" si="10"/>
        <v>685</v>
      </c>
      <c r="B687" t="s">
        <v>886</v>
      </c>
      <c r="C687" t="s">
        <v>1194</v>
      </c>
      <c r="D687" s="172" t="s">
        <v>886</v>
      </c>
      <c r="E687" s="154" t="s">
        <v>3</v>
      </c>
    </row>
    <row r="688" spans="1:5" hidden="1">
      <c r="A688">
        <f t="shared" si="10"/>
        <v>686</v>
      </c>
      <c r="B688" t="s">
        <v>886</v>
      </c>
      <c r="C688" t="s">
        <v>1195</v>
      </c>
      <c r="D688" s="172" t="s">
        <v>886</v>
      </c>
      <c r="E688" s="154" t="s">
        <v>3</v>
      </c>
    </row>
    <row r="689" spans="1:5" hidden="1">
      <c r="A689">
        <f t="shared" si="10"/>
        <v>687</v>
      </c>
      <c r="B689" t="s">
        <v>886</v>
      </c>
      <c r="C689" t="s">
        <v>1196</v>
      </c>
      <c r="D689" s="172" t="s">
        <v>886</v>
      </c>
      <c r="E689" s="154" t="s">
        <v>3</v>
      </c>
    </row>
    <row r="690" spans="1:5" hidden="1">
      <c r="A690">
        <f t="shared" si="10"/>
        <v>688</v>
      </c>
      <c r="B690" t="s">
        <v>886</v>
      </c>
      <c r="C690" t="s">
        <v>1197</v>
      </c>
      <c r="D690" s="172" t="s">
        <v>886</v>
      </c>
      <c r="E690" s="154" t="s">
        <v>3</v>
      </c>
    </row>
    <row r="691" spans="1:5" hidden="1">
      <c r="A691">
        <f t="shared" si="10"/>
        <v>689</v>
      </c>
      <c r="B691" t="s">
        <v>886</v>
      </c>
      <c r="C691" t="s">
        <v>1198</v>
      </c>
      <c r="D691" s="172" t="s">
        <v>886</v>
      </c>
      <c r="E691" s="154" t="s">
        <v>3</v>
      </c>
    </row>
    <row r="692" spans="1:5" hidden="1">
      <c r="A692">
        <f t="shared" si="10"/>
        <v>690</v>
      </c>
      <c r="B692" t="s">
        <v>886</v>
      </c>
      <c r="C692" t="s">
        <v>1199</v>
      </c>
      <c r="D692" s="172" t="s">
        <v>886</v>
      </c>
      <c r="E692" s="154" t="s">
        <v>3</v>
      </c>
    </row>
    <row r="693" spans="1:5" hidden="1">
      <c r="A693">
        <f t="shared" si="10"/>
        <v>691</v>
      </c>
      <c r="B693" t="s">
        <v>886</v>
      </c>
      <c r="C693" t="s">
        <v>1200</v>
      </c>
      <c r="D693" s="172" t="s">
        <v>886</v>
      </c>
      <c r="E693" s="154" t="s">
        <v>3</v>
      </c>
    </row>
    <row r="694" spans="1:5" hidden="1">
      <c r="A694">
        <f t="shared" si="10"/>
        <v>692</v>
      </c>
      <c r="B694" t="s">
        <v>886</v>
      </c>
      <c r="C694" t="s">
        <v>1201</v>
      </c>
      <c r="D694" s="172" t="s">
        <v>886</v>
      </c>
      <c r="E694" s="154" t="s">
        <v>3</v>
      </c>
    </row>
    <row r="695" spans="1:5" hidden="1">
      <c r="A695">
        <f t="shared" si="10"/>
        <v>693</v>
      </c>
      <c r="B695" t="s">
        <v>886</v>
      </c>
      <c r="C695" t="s">
        <v>1202</v>
      </c>
      <c r="D695" s="172" t="s">
        <v>886</v>
      </c>
      <c r="E695" s="154" t="s">
        <v>3</v>
      </c>
    </row>
    <row r="696" spans="1:5" hidden="1">
      <c r="A696">
        <f t="shared" si="10"/>
        <v>694</v>
      </c>
      <c r="B696" t="s">
        <v>886</v>
      </c>
      <c r="C696" t="s">
        <v>1203</v>
      </c>
      <c r="D696" s="172" t="s">
        <v>886</v>
      </c>
      <c r="E696" s="154" t="s">
        <v>3</v>
      </c>
    </row>
    <row r="697" spans="1:5" hidden="1">
      <c r="A697">
        <f t="shared" si="10"/>
        <v>695</v>
      </c>
      <c r="B697" t="s">
        <v>886</v>
      </c>
      <c r="C697" t="s">
        <v>1204</v>
      </c>
      <c r="D697" s="172" t="s">
        <v>886</v>
      </c>
      <c r="E697" s="154" t="s">
        <v>3</v>
      </c>
    </row>
    <row r="698" spans="1:5" hidden="1">
      <c r="A698">
        <f t="shared" si="10"/>
        <v>696</v>
      </c>
      <c r="B698" t="s">
        <v>886</v>
      </c>
      <c r="C698" t="s">
        <v>1205</v>
      </c>
      <c r="D698" s="172" t="s">
        <v>886</v>
      </c>
      <c r="E698" s="154" t="s">
        <v>3</v>
      </c>
    </row>
    <row r="699" spans="1:5" hidden="1">
      <c r="A699">
        <f t="shared" si="10"/>
        <v>697</v>
      </c>
      <c r="B699" t="s">
        <v>886</v>
      </c>
      <c r="C699" t="s">
        <v>1206</v>
      </c>
      <c r="D699" s="172" t="s">
        <v>886</v>
      </c>
      <c r="E699" s="154" t="s">
        <v>3</v>
      </c>
    </row>
    <row r="700" spans="1:5" hidden="1">
      <c r="A700">
        <f t="shared" si="10"/>
        <v>698</v>
      </c>
      <c r="B700" t="s">
        <v>886</v>
      </c>
      <c r="C700" t="s">
        <v>1207</v>
      </c>
      <c r="D700" s="172" t="s">
        <v>886</v>
      </c>
      <c r="E700" s="154" t="s">
        <v>3</v>
      </c>
    </row>
    <row r="701" spans="1:5" hidden="1">
      <c r="A701">
        <f t="shared" si="10"/>
        <v>699</v>
      </c>
      <c r="B701" t="s">
        <v>886</v>
      </c>
      <c r="C701" t="s">
        <v>1208</v>
      </c>
      <c r="D701" s="172" t="s">
        <v>886</v>
      </c>
      <c r="E701" s="154" t="s">
        <v>3</v>
      </c>
    </row>
    <row r="702" spans="1:5" hidden="1">
      <c r="A702">
        <f t="shared" si="10"/>
        <v>700</v>
      </c>
      <c r="B702" t="s">
        <v>886</v>
      </c>
      <c r="C702" t="s">
        <v>1209</v>
      </c>
      <c r="D702" s="172" t="s">
        <v>886</v>
      </c>
      <c r="E702" s="154" t="s">
        <v>3</v>
      </c>
    </row>
    <row r="703" spans="1:5" hidden="1">
      <c r="A703">
        <f t="shared" si="10"/>
        <v>701</v>
      </c>
      <c r="B703" t="s">
        <v>886</v>
      </c>
      <c r="C703" t="s">
        <v>1210</v>
      </c>
      <c r="D703" s="172" t="s">
        <v>886</v>
      </c>
      <c r="E703" s="154" t="s">
        <v>3</v>
      </c>
    </row>
    <row r="704" spans="1:5" hidden="1">
      <c r="A704">
        <f t="shared" si="10"/>
        <v>702</v>
      </c>
      <c r="B704" t="s">
        <v>886</v>
      </c>
      <c r="C704" t="s">
        <v>1211</v>
      </c>
      <c r="D704" s="172" t="s">
        <v>886</v>
      </c>
      <c r="E704" s="154" t="s">
        <v>3</v>
      </c>
    </row>
    <row r="705" spans="1:5" hidden="1">
      <c r="A705">
        <f t="shared" si="10"/>
        <v>703</v>
      </c>
      <c r="B705" t="s">
        <v>886</v>
      </c>
      <c r="C705" t="s">
        <v>1212</v>
      </c>
      <c r="D705" s="172" t="s">
        <v>886</v>
      </c>
      <c r="E705" s="154" t="s">
        <v>3</v>
      </c>
    </row>
    <row r="706" spans="1:5" hidden="1">
      <c r="A706">
        <f t="shared" si="10"/>
        <v>704</v>
      </c>
      <c r="B706" t="s">
        <v>886</v>
      </c>
      <c r="C706" t="s">
        <v>1213</v>
      </c>
      <c r="D706" s="172" t="s">
        <v>886</v>
      </c>
      <c r="E706" s="154" t="s">
        <v>3</v>
      </c>
    </row>
    <row r="707" spans="1:5" hidden="1">
      <c r="A707">
        <f t="shared" si="10"/>
        <v>705</v>
      </c>
      <c r="B707" t="s">
        <v>886</v>
      </c>
      <c r="C707" t="s">
        <v>1214</v>
      </c>
      <c r="D707" s="172" t="s">
        <v>886</v>
      </c>
      <c r="E707" s="154" t="s">
        <v>3</v>
      </c>
    </row>
    <row r="708" spans="1:5" hidden="1">
      <c r="A708">
        <f t="shared" ref="A708:A771" si="11">A707+1</f>
        <v>706</v>
      </c>
      <c r="B708" t="s">
        <v>886</v>
      </c>
      <c r="C708" t="s">
        <v>1215</v>
      </c>
      <c r="D708" s="172" t="s">
        <v>886</v>
      </c>
      <c r="E708" s="154" t="s">
        <v>3</v>
      </c>
    </row>
    <row r="709" spans="1:5" hidden="1">
      <c r="A709">
        <f t="shared" si="11"/>
        <v>707</v>
      </c>
      <c r="B709" t="s">
        <v>886</v>
      </c>
      <c r="C709" t="s">
        <v>1216</v>
      </c>
      <c r="D709" s="172" t="s">
        <v>886</v>
      </c>
      <c r="E709" s="154" t="s">
        <v>3</v>
      </c>
    </row>
    <row r="710" spans="1:5" hidden="1">
      <c r="A710">
        <f t="shared" si="11"/>
        <v>708</v>
      </c>
      <c r="B710" t="s">
        <v>886</v>
      </c>
      <c r="C710" t="s">
        <v>1217</v>
      </c>
      <c r="D710" s="172" t="s">
        <v>886</v>
      </c>
      <c r="E710" s="154" t="s">
        <v>3</v>
      </c>
    </row>
    <row r="711" spans="1:5" hidden="1">
      <c r="A711">
        <f t="shared" si="11"/>
        <v>709</v>
      </c>
      <c r="B711" t="s">
        <v>886</v>
      </c>
      <c r="C711" t="s">
        <v>1218</v>
      </c>
      <c r="D711" s="172" t="s">
        <v>886</v>
      </c>
      <c r="E711" s="154" t="s">
        <v>3</v>
      </c>
    </row>
    <row r="712" spans="1:5" hidden="1">
      <c r="A712">
        <f t="shared" si="11"/>
        <v>710</v>
      </c>
      <c r="B712" t="s">
        <v>886</v>
      </c>
      <c r="C712" t="s">
        <v>1219</v>
      </c>
      <c r="D712" s="172" t="s">
        <v>886</v>
      </c>
      <c r="E712" s="154" t="s">
        <v>3</v>
      </c>
    </row>
    <row r="713" spans="1:5" hidden="1">
      <c r="A713">
        <f t="shared" si="11"/>
        <v>711</v>
      </c>
      <c r="B713" t="s">
        <v>886</v>
      </c>
      <c r="C713" t="s">
        <v>1220</v>
      </c>
      <c r="D713" s="172" t="s">
        <v>886</v>
      </c>
      <c r="E713" s="154" t="s">
        <v>3</v>
      </c>
    </row>
    <row r="714" spans="1:5" hidden="1">
      <c r="A714">
        <f t="shared" si="11"/>
        <v>712</v>
      </c>
      <c r="B714" t="s">
        <v>886</v>
      </c>
      <c r="C714" t="s">
        <v>1221</v>
      </c>
      <c r="D714" s="172" t="s">
        <v>886</v>
      </c>
      <c r="E714" s="154" t="s">
        <v>3</v>
      </c>
    </row>
    <row r="715" spans="1:5" hidden="1">
      <c r="A715">
        <f t="shared" si="11"/>
        <v>713</v>
      </c>
      <c r="B715" t="s">
        <v>886</v>
      </c>
      <c r="C715" t="s">
        <v>1222</v>
      </c>
      <c r="D715" s="172" t="s">
        <v>886</v>
      </c>
      <c r="E715" s="154" t="s">
        <v>3</v>
      </c>
    </row>
    <row r="716" spans="1:5" hidden="1">
      <c r="A716">
        <f t="shared" si="11"/>
        <v>714</v>
      </c>
      <c r="B716" t="s">
        <v>886</v>
      </c>
      <c r="C716" t="s">
        <v>1223</v>
      </c>
      <c r="D716" s="172" t="s">
        <v>886</v>
      </c>
      <c r="E716" s="154" t="s">
        <v>3</v>
      </c>
    </row>
    <row r="717" spans="1:5" hidden="1">
      <c r="A717">
        <f t="shared" si="11"/>
        <v>715</v>
      </c>
      <c r="B717" t="s">
        <v>886</v>
      </c>
      <c r="C717" t="s">
        <v>1224</v>
      </c>
      <c r="D717" s="172" t="s">
        <v>886</v>
      </c>
      <c r="E717" s="154" t="s">
        <v>3</v>
      </c>
    </row>
    <row r="718" spans="1:5" hidden="1">
      <c r="A718">
        <f t="shared" si="11"/>
        <v>716</v>
      </c>
      <c r="B718" t="s">
        <v>886</v>
      </c>
      <c r="C718" t="s">
        <v>1225</v>
      </c>
      <c r="D718" s="172" t="s">
        <v>886</v>
      </c>
      <c r="E718" s="154" t="s">
        <v>3</v>
      </c>
    </row>
    <row r="719" spans="1:5" hidden="1">
      <c r="A719">
        <f t="shared" si="11"/>
        <v>717</v>
      </c>
      <c r="B719" t="s">
        <v>886</v>
      </c>
      <c r="C719" t="s">
        <v>1226</v>
      </c>
      <c r="D719" s="172" t="s">
        <v>886</v>
      </c>
      <c r="E719" s="154" t="s">
        <v>3</v>
      </c>
    </row>
    <row r="720" spans="1:5" hidden="1">
      <c r="A720">
        <f t="shared" si="11"/>
        <v>718</v>
      </c>
      <c r="B720" t="s">
        <v>886</v>
      </c>
      <c r="C720" t="s">
        <v>1227</v>
      </c>
      <c r="D720" s="172" t="s">
        <v>886</v>
      </c>
      <c r="E720" s="154" t="s">
        <v>3</v>
      </c>
    </row>
    <row r="721" spans="1:5" hidden="1">
      <c r="A721">
        <f t="shared" si="11"/>
        <v>719</v>
      </c>
      <c r="B721" t="s">
        <v>886</v>
      </c>
      <c r="C721" t="s">
        <v>1228</v>
      </c>
      <c r="D721" s="172" t="s">
        <v>886</v>
      </c>
      <c r="E721" s="154" t="s">
        <v>3</v>
      </c>
    </row>
    <row r="722" spans="1:5" hidden="1">
      <c r="A722">
        <f t="shared" si="11"/>
        <v>720</v>
      </c>
      <c r="B722" t="s">
        <v>886</v>
      </c>
      <c r="C722" t="s">
        <v>1229</v>
      </c>
      <c r="D722" s="172" t="s">
        <v>886</v>
      </c>
      <c r="E722" s="154" t="s">
        <v>3</v>
      </c>
    </row>
    <row r="723" spans="1:5" hidden="1">
      <c r="A723">
        <f t="shared" si="11"/>
        <v>721</v>
      </c>
      <c r="B723" t="s">
        <v>886</v>
      </c>
      <c r="C723" t="s">
        <v>1230</v>
      </c>
      <c r="D723" s="172" t="s">
        <v>886</v>
      </c>
      <c r="E723" s="154" t="s">
        <v>3</v>
      </c>
    </row>
    <row r="724" spans="1:5" hidden="1">
      <c r="A724">
        <f t="shared" si="11"/>
        <v>722</v>
      </c>
      <c r="B724" t="s">
        <v>886</v>
      </c>
      <c r="C724" t="s">
        <v>1231</v>
      </c>
      <c r="D724" s="172" t="s">
        <v>886</v>
      </c>
      <c r="E724" s="154" t="s">
        <v>3</v>
      </c>
    </row>
    <row r="725" spans="1:5" hidden="1">
      <c r="A725">
        <f t="shared" si="11"/>
        <v>723</v>
      </c>
      <c r="B725" t="s">
        <v>886</v>
      </c>
      <c r="C725" t="s">
        <v>1232</v>
      </c>
      <c r="D725" s="172" t="s">
        <v>886</v>
      </c>
      <c r="E725" s="154" t="s">
        <v>3</v>
      </c>
    </row>
    <row r="726" spans="1:5" hidden="1">
      <c r="A726">
        <f t="shared" si="11"/>
        <v>724</v>
      </c>
      <c r="B726" t="s">
        <v>886</v>
      </c>
      <c r="C726" t="s">
        <v>1233</v>
      </c>
      <c r="D726" s="172" t="s">
        <v>886</v>
      </c>
      <c r="E726" s="154" t="s">
        <v>3</v>
      </c>
    </row>
    <row r="727" spans="1:5" hidden="1">
      <c r="A727">
        <f t="shared" si="11"/>
        <v>725</v>
      </c>
      <c r="B727" t="s">
        <v>886</v>
      </c>
      <c r="C727" t="s">
        <v>1234</v>
      </c>
      <c r="D727" s="172" t="s">
        <v>886</v>
      </c>
      <c r="E727" s="154" t="s">
        <v>3</v>
      </c>
    </row>
    <row r="728" spans="1:5" hidden="1">
      <c r="A728">
        <f t="shared" si="11"/>
        <v>726</v>
      </c>
      <c r="B728" t="s">
        <v>886</v>
      </c>
      <c r="C728" t="s">
        <v>1235</v>
      </c>
      <c r="D728" s="172" t="s">
        <v>886</v>
      </c>
      <c r="E728" s="154" t="s">
        <v>3</v>
      </c>
    </row>
    <row r="729" spans="1:5" hidden="1">
      <c r="A729">
        <f t="shared" si="11"/>
        <v>727</v>
      </c>
      <c r="B729" t="s">
        <v>886</v>
      </c>
      <c r="C729" t="s">
        <v>1236</v>
      </c>
      <c r="D729" s="172" t="s">
        <v>886</v>
      </c>
      <c r="E729" s="154" t="s">
        <v>3</v>
      </c>
    </row>
    <row r="730" spans="1:5" hidden="1">
      <c r="A730">
        <f t="shared" si="11"/>
        <v>728</v>
      </c>
      <c r="B730" t="s">
        <v>886</v>
      </c>
      <c r="C730" t="s">
        <v>1237</v>
      </c>
      <c r="D730" s="172" t="s">
        <v>886</v>
      </c>
      <c r="E730" s="154" t="s">
        <v>3</v>
      </c>
    </row>
    <row r="731" spans="1:5" hidden="1">
      <c r="A731">
        <f t="shared" si="11"/>
        <v>729</v>
      </c>
      <c r="B731" t="s">
        <v>886</v>
      </c>
      <c r="C731" t="s">
        <v>1238</v>
      </c>
      <c r="D731" s="172" t="s">
        <v>886</v>
      </c>
      <c r="E731" s="154" t="s">
        <v>3</v>
      </c>
    </row>
    <row r="732" spans="1:5" hidden="1">
      <c r="A732">
        <f t="shared" si="11"/>
        <v>730</v>
      </c>
      <c r="B732" t="s">
        <v>886</v>
      </c>
      <c r="C732" t="s">
        <v>1239</v>
      </c>
      <c r="D732" s="172" t="s">
        <v>886</v>
      </c>
      <c r="E732" s="154" t="s">
        <v>3</v>
      </c>
    </row>
    <row r="733" spans="1:5" hidden="1">
      <c r="A733">
        <f t="shared" si="11"/>
        <v>731</v>
      </c>
      <c r="B733" t="s">
        <v>886</v>
      </c>
      <c r="C733" t="s">
        <v>1240</v>
      </c>
      <c r="D733" s="172" t="s">
        <v>886</v>
      </c>
      <c r="E733" s="154" t="s">
        <v>3</v>
      </c>
    </row>
    <row r="734" spans="1:5" hidden="1">
      <c r="A734">
        <f t="shared" si="11"/>
        <v>732</v>
      </c>
      <c r="B734" t="s">
        <v>886</v>
      </c>
      <c r="C734" t="s">
        <v>1241</v>
      </c>
      <c r="D734" s="172" t="s">
        <v>886</v>
      </c>
      <c r="E734" s="154" t="s">
        <v>3</v>
      </c>
    </row>
    <row r="735" spans="1:5" hidden="1">
      <c r="A735">
        <f t="shared" si="11"/>
        <v>733</v>
      </c>
      <c r="B735" t="s">
        <v>886</v>
      </c>
      <c r="C735" t="s">
        <v>1242</v>
      </c>
      <c r="D735" s="172" t="s">
        <v>886</v>
      </c>
      <c r="E735" s="154" t="s">
        <v>3</v>
      </c>
    </row>
    <row r="736" spans="1:5" hidden="1">
      <c r="A736">
        <f t="shared" si="11"/>
        <v>734</v>
      </c>
      <c r="B736" t="s">
        <v>886</v>
      </c>
      <c r="C736" t="s">
        <v>1243</v>
      </c>
      <c r="D736" s="172" t="s">
        <v>886</v>
      </c>
      <c r="E736" s="154" t="s">
        <v>3</v>
      </c>
    </row>
    <row r="737" spans="1:5" hidden="1">
      <c r="A737">
        <f t="shared" si="11"/>
        <v>735</v>
      </c>
      <c r="B737" t="s">
        <v>886</v>
      </c>
      <c r="C737" t="s">
        <v>1244</v>
      </c>
      <c r="D737" s="172" t="s">
        <v>886</v>
      </c>
      <c r="E737" s="154" t="s">
        <v>3</v>
      </c>
    </row>
    <row r="738" spans="1:5" hidden="1">
      <c r="A738">
        <f t="shared" si="11"/>
        <v>736</v>
      </c>
      <c r="B738" t="s">
        <v>886</v>
      </c>
      <c r="C738" t="s">
        <v>1245</v>
      </c>
      <c r="D738" s="172" t="s">
        <v>886</v>
      </c>
      <c r="E738" s="154" t="s">
        <v>3</v>
      </c>
    </row>
    <row r="739" spans="1:5" hidden="1">
      <c r="A739">
        <f t="shared" si="11"/>
        <v>737</v>
      </c>
      <c r="B739" t="s">
        <v>886</v>
      </c>
      <c r="C739" t="s">
        <v>1246</v>
      </c>
      <c r="D739" s="172" t="s">
        <v>886</v>
      </c>
      <c r="E739" s="154" t="s">
        <v>3</v>
      </c>
    </row>
    <row r="740" spans="1:5" hidden="1">
      <c r="A740">
        <f t="shared" si="11"/>
        <v>738</v>
      </c>
      <c r="B740" t="s">
        <v>886</v>
      </c>
      <c r="C740" t="s">
        <v>1247</v>
      </c>
      <c r="D740" s="172" t="s">
        <v>886</v>
      </c>
      <c r="E740" s="154" t="s">
        <v>3</v>
      </c>
    </row>
    <row r="741" spans="1:5" hidden="1">
      <c r="A741">
        <f t="shared" si="11"/>
        <v>739</v>
      </c>
      <c r="B741" t="s">
        <v>886</v>
      </c>
      <c r="C741" t="s">
        <v>1248</v>
      </c>
      <c r="D741" s="172" t="s">
        <v>886</v>
      </c>
      <c r="E741" s="154" t="s">
        <v>3</v>
      </c>
    </row>
    <row r="742" spans="1:5" hidden="1">
      <c r="A742">
        <f t="shared" si="11"/>
        <v>740</v>
      </c>
      <c r="B742" t="s">
        <v>886</v>
      </c>
      <c r="C742" t="s">
        <v>1249</v>
      </c>
      <c r="D742" s="172" t="s">
        <v>886</v>
      </c>
      <c r="E742" s="154" t="s">
        <v>3</v>
      </c>
    </row>
    <row r="743" spans="1:5" hidden="1">
      <c r="A743">
        <f t="shared" si="11"/>
        <v>741</v>
      </c>
      <c r="B743" t="s">
        <v>886</v>
      </c>
      <c r="C743" t="s">
        <v>1250</v>
      </c>
      <c r="D743" s="172" t="s">
        <v>886</v>
      </c>
      <c r="E743" s="154" t="s">
        <v>3</v>
      </c>
    </row>
    <row r="744" spans="1:5" hidden="1">
      <c r="A744">
        <f t="shared" si="11"/>
        <v>742</v>
      </c>
      <c r="B744" t="s">
        <v>886</v>
      </c>
      <c r="C744" t="s">
        <v>1251</v>
      </c>
      <c r="D744" s="172" t="s">
        <v>886</v>
      </c>
      <c r="E744" s="154" t="s">
        <v>3</v>
      </c>
    </row>
    <row r="745" spans="1:5" hidden="1">
      <c r="A745">
        <f t="shared" si="11"/>
        <v>743</v>
      </c>
      <c r="B745" t="s">
        <v>886</v>
      </c>
      <c r="C745" t="s">
        <v>1252</v>
      </c>
      <c r="D745" s="172" t="s">
        <v>886</v>
      </c>
      <c r="E745" s="154" t="s">
        <v>3</v>
      </c>
    </row>
    <row r="746" spans="1:5" hidden="1">
      <c r="A746">
        <f t="shared" si="11"/>
        <v>744</v>
      </c>
      <c r="B746" t="s">
        <v>886</v>
      </c>
      <c r="C746" t="s">
        <v>1253</v>
      </c>
      <c r="D746" s="172" t="s">
        <v>886</v>
      </c>
      <c r="E746" s="154" t="s">
        <v>3</v>
      </c>
    </row>
    <row r="747" spans="1:5" hidden="1">
      <c r="A747">
        <f t="shared" si="11"/>
        <v>745</v>
      </c>
      <c r="B747" t="s">
        <v>886</v>
      </c>
      <c r="C747" t="s">
        <v>1254</v>
      </c>
      <c r="D747" s="172" t="s">
        <v>886</v>
      </c>
      <c r="E747" s="154" t="s">
        <v>3</v>
      </c>
    </row>
    <row r="748" spans="1:5" hidden="1">
      <c r="A748">
        <f t="shared" si="11"/>
        <v>746</v>
      </c>
      <c r="B748" t="s">
        <v>886</v>
      </c>
      <c r="C748" t="s">
        <v>1255</v>
      </c>
      <c r="D748" s="172" t="s">
        <v>886</v>
      </c>
      <c r="E748" s="154" t="s">
        <v>3</v>
      </c>
    </row>
    <row r="749" spans="1:5" hidden="1">
      <c r="A749">
        <f t="shared" si="11"/>
        <v>747</v>
      </c>
      <c r="B749" t="s">
        <v>886</v>
      </c>
      <c r="C749" t="s">
        <v>1256</v>
      </c>
      <c r="D749" s="172" t="s">
        <v>886</v>
      </c>
      <c r="E749" s="154" t="s">
        <v>3</v>
      </c>
    </row>
    <row r="750" spans="1:5" hidden="1">
      <c r="A750">
        <f t="shared" si="11"/>
        <v>748</v>
      </c>
      <c r="B750" t="s">
        <v>886</v>
      </c>
      <c r="C750" t="s">
        <v>1257</v>
      </c>
      <c r="D750" s="172" t="s">
        <v>886</v>
      </c>
      <c r="E750" s="154" t="s">
        <v>3</v>
      </c>
    </row>
    <row r="751" spans="1:5" hidden="1">
      <c r="A751">
        <f t="shared" si="11"/>
        <v>749</v>
      </c>
      <c r="B751" t="s">
        <v>886</v>
      </c>
      <c r="C751" t="s">
        <v>1258</v>
      </c>
      <c r="D751" s="172" t="s">
        <v>886</v>
      </c>
      <c r="E751" s="154" t="s">
        <v>3</v>
      </c>
    </row>
    <row r="752" spans="1:5" hidden="1">
      <c r="A752">
        <f t="shared" si="11"/>
        <v>750</v>
      </c>
      <c r="B752" t="s">
        <v>886</v>
      </c>
      <c r="C752" t="s">
        <v>1259</v>
      </c>
      <c r="D752" s="172" t="s">
        <v>886</v>
      </c>
      <c r="E752" s="154" t="s">
        <v>3</v>
      </c>
    </row>
    <row r="753" spans="1:5" hidden="1">
      <c r="A753">
        <f t="shared" si="11"/>
        <v>751</v>
      </c>
      <c r="B753" t="s">
        <v>886</v>
      </c>
      <c r="C753" t="s">
        <v>1260</v>
      </c>
      <c r="D753" s="172" t="s">
        <v>886</v>
      </c>
      <c r="E753" s="154" t="s">
        <v>3</v>
      </c>
    </row>
    <row r="754" spans="1:5" hidden="1">
      <c r="A754">
        <f t="shared" si="11"/>
        <v>752</v>
      </c>
      <c r="B754" t="s">
        <v>886</v>
      </c>
      <c r="C754" t="s">
        <v>1261</v>
      </c>
      <c r="D754" s="172" t="s">
        <v>886</v>
      </c>
      <c r="E754" s="154" t="s">
        <v>3</v>
      </c>
    </row>
    <row r="755" spans="1:5" hidden="1">
      <c r="A755">
        <f t="shared" si="11"/>
        <v>753</v>
      </c>
      <c r="B755" t="s">
        <v>886</v>
      </c>
      <c r="C755" t="s">
        <v>1262</v>
      </c>
      <c r="D755" s="172" t="s">
        <v>886</v>
      </c>
      <c r="E755" s="154" t="s">
        <v>3</v>
      </c>
    </row>
    <row r="756" spans="1:5" hidden="1">
      <c r="A756">
        <f t="shared" si="11"/>
        <v>754</v>
      </c>
      <c r="B756" t="s">
        <v>886</v>
      </c>
      <c r="C756" t="s">
        <v>1263</v>
      </c>
      <c r="D756" s="172" t="s">
        <v>886</v>
      </c>
      <c r="E756" s="154" t="s">
        <v>3</v>
      </c>
    </row>
    <row r="757" spans="1:5" hidden="1">
      <c r="A757">
        <f t="shared" si="11"/>
        <v>755</v>
      </c>
      <c r="B757" t="s">
        <v>886</v>
      </c>
      <c r="C757" t="s">
        <v>1264</v>
      </c>
      <c r="D757" s="172" t="s">
        <v>886</v>
      </c>
      <c r="E757" s="154" t="s">
        <v>3</v>
      </c>
    </row>
    <row r="758" spans="1:5" hidden="1">
      <c r="A758">
        <f t="shared" si="11"/>
        <v>756</v>
      </c>
      <c r="B758" t="s">
        <v>886</v>
      </c>
      <c r="C758" t="s">
        <v>1265</v>
      </c>
      <c r="D758" s="172" t="s">
        <v>886</v>
      </c>
      <c r="E758" s="154" t="s">
        <v>3</v>
      </c>
    </row>
    <row r="759" spans="1:5" hidden="1">
      <c r="A759">
        <f t="shared" si="11"/>
        <v>757</v>
      </c>
      <c r="B759" t="s">
        <v>886</v>
      </c>
      <c r="C759" t="s">
        <v>1266</v>
      </c>
      <c r="D759" s="172" t="s">
        <v>886</v>
      </c>
      <c r="E759" s="154" t="s">
        <v>3</v>
      </c>
    </row>
    <row r="760" spans="1:5" hidden="1">
      <c r="A760">
        <f t="shared" si="11"/>
        <v>758</v>
      </c>
      <c r="B760" t="s">
        <v>886</v>
      </c>
      <c r="C760" t="s">
        <v>1267</v>
      </c>
      <c r="D760" s="172" t="s">
        <v>886</v>
      </c>
      <c r="E760" s="154" t="s">
        <v>3</v>
      </c>
    </row>
    <row r="761" spans="1:5" hidden="1">
      <c r="A761">
        <f t="shared" si="11"/>
        <v>759</v>
      </c>
      <c r="B761" t="s">
        <v>886</v>
      </c>
      <c r="C761" t="s">
        <v>1268</v>
      </c>
      <c r="D761" s="172" t="s">
        <v>886</v>
      </c>
      <c r="E761" s="154" t="s">
        <v>3</v>
      </c>
    </row>
    <row r="762" spans="1:5" hidden="1">
      <c r="A762">
        <f t="shared" si="11"/>
        <v>760</v>
      </c>
      <c r="B762" t="s">
        <v>886</v>
      </c>
      <c r="C762" t="s">
        <v>1269</v>
      </c>
      <c r="D762" s="172" t="s">
        <v>886</v>
      </c>
      <c r="E762" s="154" t="s">
        <v>3</v>
      </c>
    </row>
    <row r="763" spans="1:5" hidden="1">
      <c r="A763">
        <f t="shared" si="11"/>
        <v>761</v>
      </c>
      <c r="B763" t="s">
        <v>886</v>
      </c>
      <c r="C763" t="s">
        <v>1270</v>
      </c>
      <c r="D763" s="172" t="s">
        <v>886</v>
      </c>
      <c r="E763" s="154" t="s">
        <v>3</v>
      </c>
    </row>
    <row r="764" spans="1:5" hidden="1">
      <c r="A764">
        <f t="shared" si="11"/>
        <v>762</v>
      </c>
      <c r="B764" t="s">
        <v>886</v>
      </c>
      <c r="C764" t="s">
        <v>1271</v>
      </c>
      <c r="D764" s="172" t="s">
        <v>886</v>
      </c>
      <c r="E764" s="154" t="s">
        <v>3</v>
      </c>
    </row>
    <row r="765" spans="1:5" hidden="1">
      <c r="A765">
        <f t="shared" si="11"/>
        <v>763</v>
      </c>
      <c r="B765" t="s">
        <v>886</v>
      </c>
      <c r="C765" t="s">
        <v>1272</v>
      </c>
      <c r="D765" s="172" t="s">
        <v>886</v>
      </c>
      <c r="E765" s="154" t="s">
        <v>3</v>
      </c>
    </row>
    <row r="766" spans="1:5" hidden="1">
      <c r="A766">
        <f t="shared" si="11"/>
        <v>764</v>
      </c>
      <c r="B766" t="s">
        <v>886</v>
      </c>
      <c r="C766" t="s">
        <v>1273</v>
      </c>
      <c r="D766" s="172" t="s">
        <v>886</v>
      </c>
      <c r="E766" s="154" t="s">
        <v>3</v>
      </c>
    </row>
    <row r="767" spans="1:5" hidden="1">
      <c r="A767">
        <f t="shared" si="11"/>
        <v>765</v>
      </c>
      <c r="B767" t="s">
        <v>886</v>
      </c>
      <c r="C767" t="s">
        <v>1274</v>
      </c>
      <c r="D767" s="172" t="s">
        <v>886</v>
      </c>
      <c r="E767" s="154" t="s">
        <v>3</v>
      </c>
    </row>
    <row r="768" spans="1:5" hidden="1">
      <c r="A768">
        <f t="shared" si="11"/>
        <v>766</v>
      </c>
      <c r="B768" t="s">
        <v>886</v>
      </c>
      <c r="C768" t="s">
        <v>1275</v>
      </c>
      <c r="D768" s="172" t="s">
        <v>886</v>
      </c>
      <c r="E768" s="154" t="s">
        <v>3</v>
      </c>
    </row>
    <row r="769" spans="1:5" hidden="1">
      <c r="A769">
        <f t="shared" si="11"/>
        <v>767</v>
      </c>
      <c r="B769" t="s">
        <v>886</v>
      </c>
      <c r="C769" t="s">
        <v>1276</v>
      </c>
      <c r="D769" s="172" t="s">
        <v>886</v>
      </c>
      <c r="E769" s="154" t="s">
        <v>3</v>
      </c>
    </row>
    <row r="770" spans="1:5" hidden="1">
      <c r="A770">
        <f t="shared" si="11"/>
        <v>768</v>
      </c>
      <c r="B770" t="s">
        <v>886</v>
      </c>
      <c r="C770" t="s">
        <v>1277</v>
      </c>
      <c r="D770" s="172" t="s">
        <v>886</v>
      </c>
      <c r="E770" s="154" t="s">
        <v>3</v>
      </c>
    </row>
    <row r="771" spans="1:5" hidden="1">
      <c r="A771">
        <f t="shared" si="11"/>
        <v>769</v>
      </c>
      <c r="B771" t="s">
        <v>886</v>
      </c>
      <c r="C771" t="s">
        <v>1535</v>
      </c>
      <c r="D771" s="172" t="s">
        <v>886</v>
      </c>
      <c r="E771" s="154" t="s">
        <v>3</v>
      </c>
    </row>
    <row r="772" spans="1:5" hidden="1">
      <c r="A772">
        <f t="shared" ref="A772:A835" si="12">A771+1</f>
        <v>770</v>
      </c>
      <c r="B772" t="s">
        <v>886</v>
      </c>
      <c r="C772" t="s">
        <v>1278</v>
      </c>
      <c r="D772" s="172" t="s">
        <v>886</v>
      </c>
      <c r="E772" s="154" t="s">
        <v>3</v>
      </c>
    </row>
    <row r="773" spans="1:5" hidden="1">
      <c r="A773">
        <f t="shared" si="12"/>
        <v>771</v>
      </c>
      <c r="B773" t="s">
        <v>886</v>
      </c>
      <c r="C773" t="s">
        <v>1279</v>
      </c>
      <c r="D773" s="172" t="s">
        <v>886</v>
      </c>
      <c r="E773" s="154" t="s">
        <v>3</v>
      </c>
    </row>
    <row r="774" spans="1:5" hidden="1">
      <c r="A774">
        <f t="shared" si="12"/>
        <v>772</v>
      </c>
      <c r="B774" t="s">
        <v>886</v>
      </c>
      <c r="C774" t="s">
        <v>1280</v>
      </c>
      <c r="D774" s="172" t="s">
        <v>886</v>
      </c>
      <c r="E774" s="154" t="s">
        <v>3</v>
      </c>
    </row>
    <row r="775" spans="1:5" hidden="1">
      <c r="A775">
        <f t="shared" si="12"/>
        <v>773</v>
      </c>
      <c r="B775" t="s">
        <v>886</v>
      </c>
      <c r="C775" t="s">
        <v>1281</v>
      </c>
      <c r="D775" s="172" t="s">
        <v>886</v>
      </c>
      <c r="E775" s="154" t="s">
        <v>3</v>
      </c>
    </row>
    <row r="776" spans="1:5" hidden="1">
      <c r="A776">
        <f t="shared" si="12"/>
        <v>774</v>
      </c>
      <c r="B776" t="s">
        <v>886</v>
      </c>
      <c r="C776" t="s">
        <v>1282</v>
      </c>
      <c r="D776" s="172" t="s">
        <v>886</v>
      </c>
      <c r="E776" s="154" t="s">
        <v>3</v>
      </c>
    </row>
    <row r="777" spans="1:5" hidden="1">
      <c r="A777">
        <f t="shared" si="12"/>
        <v>775</v>
      </c>
      <c r="B777" t="s">
        <v>886</v>
      </c>
      <c r="C777" t="s">
        <v>1283</v>
      </c>
      <c r="D777" s="172" t="s">
        <v>886</v>
      </c>
      <c r="E777" s="154" t="s">
        <v>3</v>
      </c>
    </row>
    <row r="778" spans="1:5" hidden="1">
      <c r="A778">
        <f t="shared" si="12"/>
        <v>776</v>
      </c>
      <c r="B778" t="s">
        <v>886</v>
      </c>
      <c r="C778" t="s">
        <v>1284</v>
      </c>
      <c r="D778" s="172" t="s">
        <v>886</v>
      </c>
      <c r="E778" s="154" t="s">
        <v>3</v>
      </c>
    </row>
    <row r="779" spans="1:5" hidden="1">
      <c r="A779">
        <f t="shared" si="12"/>
        <v>777</v>
      </c>
      <c r="B779" t="s">
        <v>886</v>
      </c>
      <c r="C779" t="s">
        <v>1285</v>
      </c>
      <c r="D779" s="172" t="s">
        <v>886</v>
      </c>
      <c r="E779" s="154" t="s">
        <v>3</v>
      </c>
    </row>
    <row r="780" spans="1:5" hidden="1">
      <c r="A780">
        <f t="shared" si="12"/>
        <v>778</v>
      </c>
      <c r="B780" t="s">
        <v>886</v>
      </c>
      <c r="C780" t="s">
        <v>1286</v>
      </c>
      <c r="D780" s="172" t="s">
        <v>886</v>
      </c>
      <c r="E780" s="154" t="s">
        <v>3</v>
      </c>
    </row>
    <row r="781" spans="1:5" hidden="1">
      <c r="A781">
        <f t="shared" si="12"/>
        <v>779</v>
      </c>
      <c r="B781" t="s">
        <v>886</v>
      </c>
      <c r="C781" t="s">
        <v>1287</v>
      </c>
      <c r="D781" s="172" t="s">
        <v>886</v>
      </c>
      <c r="E781" s="154" t="s">
        <v>3</v>
      </c>
    </row>
    <row r="782" spans="1:5" hidden="1">
      <c r="A782">
        <f t="shared" si="12"/>
        <v>780</v>
      </c>
      <c r="B782" t="s">
        <v>886</v>
      </c>
      <c r="C782" t="s">
        <v>1288</v>
      </c>
      <c r="D782" s="172" t="s">
        <v>886</v>
      </c>
      <c r="E782" s="154" t="s">
        <v>3</v>
      </c>
    </row>
    <row r="783" spans="1:5" hidden="1">
      <c r="A783">
        <f t="shared" si="12"/>
        <v>781</v>
      </c>
      <c r="B783" t="s">
        <v>886</v>
      </c>
      <c r="C783" t="s">
        <v>1531</v>
      </c>
      <c r="D783" s="172" t="s">
        <v>886</v>
      </c>
      <c r="E783" s="154" t="s">
        <v>3</v>
      </c>
    </row>
    <row r="784" spans="1:5" hidden="1">
      <c r="A784">
        <f t="shared" si="12"/>
        <v>782</v>
      </c>
      <c r="B784" t="s">
        <v>886</v>
      </c>
      <c r="C784" t="s">
        <v>1529</v>
      </c>
      <c r="D784" s="172" t="s">
        <v>886</v>
      </c>
      <c r="E784" s="154" t="s">
        <v>3</v>
      </c>
    </row>
    <row r="785" spans="1:5" hidden="1">
      <c r="A785">
        <f t="shared" si="12"/>
        <v>783</v>
      </c>
      <c r="B785" t="s">
        <v>886</v>
      </c>
      <c r="C785" t="s">
        <v>1289</v>
      </c>
      <c r="D785" s="172" t="s">
        <v>886</v>
      </c>
      <c r="E785" s="154" t="s">
        <v>3</v>
      </c>
    </row>
    <row r="786" spans="1:5" hidden="1">
      <c r="A786">
        <f t="shared" si="12"/>
        <v>784</v>
      </c>
      <c r="B786" t="s">
        <v>886</v>
      </c>
      <c r="C786" t="s">
        <v>1290</v>
      </c>
      <c r="D786" s="172" t="s">
        <v>886</v>
      </c>
      <c r="E786" s="154" t="s">
        <v>3</v>
      </c>
    </row>
    <row r="787" spans="1:5" hidden="1">
      <c r="A787">
        <f t="shared" si="12"/>
        <v>785</v>
      </c>
      <c r="B787" t="s">
        <v>886</v>
      </c>
      <c r="C787" t="s">
        <v>1291</v>
      </c>
      <c r="D787" s="172" t="s">
        <v>886</v>
      </c>
      <c r="E787" s="154" t="s">
        <v>3</v>
      </c>
    </row>
    <row r="788" spans="1:5" hidden="1">
      <c r="A788">
        <f t="shared" si="12"/>
        <v>786</v>
      </c>
      <c r="B788" t="s">
        <v>886</v>
      </c>
      <c r="C788" t="s">
        <v>1292</v>
      </c>
      <c r="D788" s="172" t="s">
        <v>886</v>
      </c>
      <c r="E788" s="154" t="s">
        <v>3</v>
      </c>
    </row>
    <row r="789" spans="1:5" hidden="1">
      <c r="A789">
        <f t="shared" si="12"/>
        <v>787</v>
      </c>
      <c r="B789" t="s">
        <v>886</v>
      </c>
      <c r="C789" t="s">
        <v>1293</v>
      </c>
      <c r="D789" s="172" t="s">
        <v>886</v>
      </c>
      <c r="E789" s="154" t="s">
        <v>3</v>
      </c>
    </row>
    <row r="790" spans="1:5" hidden="1">
      <c r="A790">
        <f t="shared" si="12"/>
        <v>788</v>
      </c>
      <c r="B790" t="s">
        <v>886</v>
      </c>
      <c r="C790" t="s">
        <v>1294</v>
      </c>
      <c r="D790" s="172" t="s">
        <v>886</v>
      </c>
      <c r="E790" s="154" t="s">
        <v>3</v>
      </c>
    </row>
    <row r="791" spans="1:5" hidden="1">
      <c r="A791">
        <f t="shared" si="12"/>
        <v>789</v>
      </c>
      <c r="B791" t="s">
        <v>886</v>
      </c>
      <c r="C791" t="s">
        <v>1295</v>
      </c>
      <c r="D791" s="172" t="s">
        <v>886</v>
      </c>
      <c r="E791" s="154" t="s">
        <v>3</v>
      </c>
    </row>
    <row r="792" spans="1:5" hidden="1">
      <c r="A792">
        <f t="shared" si="12"/>
        <v>790</v>
      </c>
      <c r="B792" t="s">
        <v>1296</v>
      </c>
      <c r="C792" t="s">
        <v>1297</v>
      </c>
      <c r="D792" s="172" t="s">
        <v>1298</v>
      </c>
      <c r="E792" s="154" t="s">
        <v>3</v>
      </c>
    </row>
    <row r="793" spans="1:5" hidden="1">
      <c r="A793">
        <f t="shared" si="12"/>
        <v>791</v>
      </c>
      <c r="B793" t="s">
        <v>1296</v>
      </c>
      <c r="C793" t="s">
        <v>1299</v>
      </c>
      <c r="D793" s="172" t="s">
        <v>1298</v>
      </c>
      <c r="E793" s="154" t="s">
        <v>3</v>
      </c>
    </row>
    <row r="794" spans="1:5" hidden="1">
      <c r="A794">
        <f t="shared" si="12"/>
        <v>792</v>
      </c>
      <c r="B794" t="s">
        <v>1296</v>
      </c>
      <c r="C794" t="s">
        <v>1301</v>
      </c>
      <c r="D794" s="172" t="s">
        <v>1298</v>
      </c>
      <c r="E794" s="154" t="s">
        <v>3</v>
      </c>
    </row>
    <row r="795" spans="1:5" hidden="1">
      <c r="A795">
        <f t="shared" si="12"/>
        <v>793</v>
      </c>
      <c r="B795" t="s">
        <v>1296</v>
      </c>
      <c r="C795" t="s">
        <v>1302</v>
      </c>
      <c r="D795" s="172" t="s">
        <v>1303</v>
      </c>
      <c r="E795" s="154" t="s">
        <v>3</v>
      </c>
    </row>
    <row r="796" spans="1:5" hidden="1">
      <c r="A796">
        <f t="shared" si="12"/>
        <v>794</v>
      </c>
      <c r="B796" t="s">
        <v>1296</v>
      </c>
      <c r="C796" t="s">
        <v>1304</v>
      </c>
      <c r="D796" s="172" t="s">
        <v>1303</v>
      </c>
      <c r="E796" s="154" t="s">
        <v>3</v>
      </c>
    </row>
    <row r="797" spans="1:5" hidden="1">
      <c r="A797">
        <f t="shared" si="12"/>
        <v>795</v>
      </c>
      <c r="B797" t="s">
        <v>1296</v>
      </c>
      <c r="C797" t="s">
        <v>1305</v>
      </c>
      <c r="D797" s="172" t="s">
        <v>1306</v>
      </c>
      <c r="E797" s="154" t="s">
        <v>3</v>
      </c>
    </row>
    <row r="798" spans="1:5" hidden="1">
      <c r="A798">
        <f t="shared" si="12"/>
        <v>796</v>
      </c>
      <c r="B798" t="s">
        <v>1296</v>
      </c>
      <c r="C798" t="s">
        <v>1307</v>
      </c>
      <c r="D798" s="172" t="s">
        <v>1306</v>
      </c>
      <c r="E798" s="154" t="s">
        <v>3</v>
      </c>
    </row>
    <row r="799" spans="1:5" hidden="1">
      <c r="A799">
        <f t="shared" si="12"/>
        <v>797</v>
      </c>
      <c r="B799" t="s">
        <v>1296</v>
      </c>
      <c r="C799" t="s">
        <v>1308</v>
      </c>
      <c r="D799" s="172" t="s">
        <v>1306</v>
      </c>
      <c r="E799" s="154" t="s">
        <v>3</v>
      </c>
    </row>
    <row r="800" spans="1:5" hidden="1">
      <c r="A800">
        <f t="shared" si="12"/>
        <v>798</v>
      </c>
      <c r="B800" t="s">
        <v>1296</v>
      </c>
      <c r="C800" t="s">
        <v>1309</v>
      </c>
      <c r="D800" s="172" t="s">
        <v>1306</v>
      </c>
      <c r="E800" s="154" t="s">
        <v>3</v>
      </c>
    </row>
    <row r="801" spans="1:5" hidden="1">
      <c r="A801">
        <f t="shared" si="12"/>
        <v>799</v>
      </c>
      <c r="B801" t="s">
        <v>1296</v>
      </c>
      <c r="C801" t="s">
        <v>1310</v>
      </c>
      <c r="D801" s="172" t="s">
        <v>1306</v>
      </c>
      <c r="E801" s="154" t="s">
        <v>3</v>
      </c>
    </row>
    <row r="802" spans="1:5" hidden="1">
      <c r="A802">
        <f t="shared" si="12"/>
        <v>800</v>
      </c>
      <c r="B802" t="s">
        <v>1296</v>
      </c>
      <c r="C802" t="s">
        <v>1311</v>
      </c>
      <c r="D802" s="172" t="s">
        <v>1306</v>
      </c>
      <c r="E802" s="154" t="s">
        <v>3</v>
      </c>
    </row>
    <row r="803" spans="1:5" hidden="1">
      <c r="A803">
        <f t="shared" si="12"/>
        <v>801</v>
      </c>
      <c r="B803" t="s">
        <v>1296</v>
      </c>
      <c r="C803" t="s">
        <v>1312</v>
      </c>
      <c r="D803" s="172" t="s">
        <v>1306</v>
      </c>
      <c r="E803" s="154" t="s">
        <v>3</v>
      </c>
    </row>
    <row r="804" spans="1:5" hidden="1">
      <c r="A804">
        <f t="shared" si="12"/>
        <v>802</v>
      </c>
      <c r="B804" t="s">
        <v>1296</v>
      </c>
      <c r="C804" t="s">
        <v>1313</v>
      </c>
      <c r="D804" s="172" t="s">
        <v>1306</v>
      </c>
      <c r="E804" s="154" t="s">
        <v>3</v>
      </c>
    </row>
    <row r="805" spans="1:5" hidden="1">
      <c r="A805">
        <f t="shared" si="12"/>
        <v>803</v>
      </c>
      <c r="B805" t="s">
        <v>1296</v>
      </c>
      <c r="C805" t="s">
        <v>1314</v>
      </c>
      <c r="D805" s="172" t="s">
        <v>1306</v>
      </c>
      <c r="E805" s="154" t="s">
        <v>3</v>
      </c>
    </row>
    <row r="806" spans="1:5" hidden="1">
      <c r="A806">
        <f t="shared" si="12"/>
        <v>804</v>
      </c>
      <c r="B806" t="s">
        <v>1296</v>
      </c>
      <c r="C806" t="s">
        <v>1315</v>
      </c>
      <c r="D806" s="172" t="s">
        <v>1306</v>
      </c>
      <c r="E806" s="154" t="s">
        <v>3</v>
      </c>
    </row>
    <row r="807" spans="1:5" hidden="1">
      <c r="A807">
        <f t="shared" si="12"/>
        <v>805</v>
      </c>
      <c r="B807" t="s">
        <v>1296</v>
      </c>
      <c r="C807" t="s">
        <v>1316</v>
      </c>
      <c r="D807" s="172" t="s">
        <v>1306</v>
      </c>
      <c r="E807" s="154" t="s">
        <v>3</v>
      </c>
    </row>
    <row r="808" spans="1:5" hidden="1">
      <c r="A808">
        <f t="shared" si="12"/>
        <v>806</v>
      </c>
      <c r="B808" t="s">
        <v>1296</v>
      </c>
      <c r="C808" t="s">
        <v>1317</v>
      </c>
      <c r="D808" s="172" t="s">
        <v>1306</v>
      </c>
      <c r="E808" s="154" t="s">
        <v>3</v>
      </c>
    </row>
    <row r="809" spans="1:5" hidden="1">
      <c r="A809">
        <f t="shared" si="12"/>
        <v>807</v>
      </c>
      <c r="B809" t="s">
        <v>1296</v>
      </c>
      <c r="C809" t="s">
        <v>1318</v>
      </c>
      <c r="D809" s="172" t="s">
        <v>1306</v>
      </c>
      <c r="E809" s="154" t="s">
        <v>3</v>
      </c>
    </row>
    <row r="810" spans="1:5" hidden="1">
      <c r="A810">
        <f t="shared" si="12"/>
        <v>808</v>
      </c>
      <c r="B810" t="s">
        <v>1296</v>
      </c>
      <c r="C810" t="s">
        <v>1319</v>
      </c>
      <c r="D810" s="172" t="s">
        <v>1306</v>
      </c>
      <c r="E810" s="154" t="s">
        <v>3</v>
      </c>
    </row>
    <row r="811" spans="1:5" hidden="1">
      <c r="A811">
        <f t="shared" si="12"/>
        <v>809</v>
      </c>
      <c r="B811" t="s">
        <v>1296</v>
      </c>
      <c r="C811" t="s">
        <v>1320</v>
      </c>
      <c r="D811" s="172" t="s">
        <v>1306</v>
      </c>
      <c r="E811" s="154" t="s">
        <v>3</v>
      </c>
    </row>
    <row r="812" spans="1:5" hidden="1">
      <c r="A812">
        <f t="shared" si="12"/>
        <v>810</v>
      </c>
      <c r="B812" t="s">
        <v>1296</v>
      </c>
      <c r="C812" t="s">
        <v>1321</v>
      </c>
      <c r="D812" s="172" t="s">
        <v>1306</v>
      </c>
      <c r="E812" s="154" t="s">
        <v>3</v>
      </c>
    </row>
    <row r="813" spans="1:5" hidden="1">
      <c r="A813">
        <f t="shared" si="12"/>
        <v>811</v>
      </c>
      <c r="B813" t="s">
        <v>1296</v>
      </c>
      <c r="C813" t="s">
        <v>1322</v>
      </c>
      <c r="D813" s="172" t="s">
        <v>1306</v>
      </c>
      <c r="E813" s="154" t="s">
        <v>3</v>
      </c>
    </row>
    <row r="814" spans="1:5" hidden="1">
      <c r="A814">
        <f t="shared" si="12"/>
        <v>812</v>
      </c>
      <c r="B814" t="s">
        <v>1296</v>
      </c>
      <c r="C814" t="s">
        <v>1323</v>
      </c>
      <c r="D814" s="172" t="s">
        <v>1306</v>
      </c>
      <c r="E814" s="154" t="s">
        <v>3</v>
      </c>
    </row>
    <row r="815" spans="1:5" hidden="1">
      <c r="A815">
        <f t="shared" si="12"/>
        <v>813</v>
      </c>
      <c r="B815" t="s">
        <v>1296</v>
      </c>
      <c r="C815" t="s">
        <v>1324</v>
      </c>
      <c r="D815" s="172" t="s">
        <v>1306</v>
      </c>
      <c r="E815" s="154" t="s">
        <v>3</v>
      </c>
    </row>
    <row r="816" spans="1:5" hidden="1">
      <c r="A816">
        <f t="shared" si="12"/>
        <v>814</v>
      </c>
      <c r="B816" t="s">
        <v>1296</v>
      </c>
      <c r="C816" t="s">
        <v>1325</v>
      </c>
      <c r="D816" s="172" t="s">
        <v>1306</v>
      </c>
      <c r="E816" s="154" t="s">
        <v>3</v>
      </c>
    </row>
    <row r="817" spans="1:5" hidden="1">
      <c r="A817">
        <f t="shared" si="12"/>
        <v>815</v>
      </c>
      <c r="B817" t="s">
        <v>1296</v>
      </c>
      <c r="C817" t="s">
        <v>1326</v>
      </c>
      <c r="D817" s="172" t="s">
        <v>1306</v>
      </c>
      <c r="E817" s="154" t="s">
        <v>3</v>
      </c>
    </row>
    <row r="818" spans="1:5" hidden="1">
      <c r="A818">
        <f t="shared" si="12"/>
        <v>816</v>
      </c>
      <c r="B818" t="s">
        <v>1296</v>
      </c>
      <c r="C818" t="s">
        <v>1327</v>
      </c>
      <c r="D818" s="172" t="s">
        <v>1306</v>
      </c>
      <c r="E818" s="154" t="s">
        <v>3</v>
      </c>
    </row>
    <row r="819" spans="1:5" hidden="1">
      <c r="A819">
        <f t="shared" si="12"/>
        <v>817</v>
      </c>
      <c r="B819" t="s">
        <v>1296</v>
      </c>
      <c r="C819" t="s">
        <v>1328</v>
      </c>
      <c r="D819" s="172" t="s">
        <v>1306</v>
      </c>
      <c r="E819" s="154" t="s">
        <v>3</v>
      </c>
    </row>
    <row r="820" spans="1:5" hidden="1">
      <c r="A820">
        <f t="shared" si="12"/>
        <v>818</v>
      </c>
      <c r="B820" t="s">
        <v>1296</v>
      </c>
      <c r="C820" t="s">
        <v>1329</v>
      </c>
      <c r="D820" s="172" t="s">
        <v>1306</v>
      </c>
      <c r="E820" s="154" t="s">
        <v>3</v>
      </c>
    </row>
    <row r="821" spans="1:5" hidden="1">
      <c r="A821">
        <f t="shared" si="12"/>
        <v>819</v>
      </c>
      <c r="B821" t="s">
        <v>1296</v>
      </c>
      <c r="C821" t="s">
        <v>1330</v>
      </c>
      <c r="D821" s="172" t="s">
        <v>1331</v>
      </c>
      <c r="E821" s="154" t="s">
        <v>3</v>
      </c>
    </row>
    <row r="822" spans="1:5" hidden="1">
      <c r="A822">
        <f t="shared" si="12"/>
        <v>820</v>
      </c>
      <c r="B822" t="s">
        <v>1296</v>
      </c>
      <c r="C822" t="s">
        <v>1332</v>
      </c>
      <c r="D822" s="172" t="s">
        <v>1333</v>
      </c>
      <c r="E822" s="154" t="s">
        <v>3</v>
      </c>
    </row>
    <row r="823" spans="1:5" hidden="1">
      <c r="A823">
        <f t="shared" si="12"/>
        <v>821</v>
      </c>
      <c r="B823" t="s">
        <v>1296</v>
      </c>
      <c r="C823" t="s">
        <v>1334</v>
      </c>
      <c r="D823" s="172" t="s">
        <v>1335</v>
      </c>
      <c r="E823" s="154" t="s">
        <v>3</v>
      </c>
    </row>
    <row r="824" spans="1:5" hidden="1">
      <c r="A824">
        <f t="shared" si="12"/>
        <v>822</v>
      </c>
      <c r="B824" t="s">
        <v>1296</v>
      </c>
      <c r="C824" t="s">
        <v>1336</v>
      </c>
      <c r="D824" s="172" t="s">
        <v>1335</v>
      </c>
      <c r="E824" s="154" t="s">
        <v>3</v>
      </c>
    </row>
    <row r="825" spans="1:5" hidden="1">
      <c r="A825">
        <f t="shared" si="12"/>
        <v>823</v>
      </c>
      <c r="B825" t="s">
        <v>1296</v>
      </c>
      <c r="C825" t="s">
        <v>1337</v>
      </c>
      <c r="D825" s="172" t="s">
        <v>1335</v>
      </c>
      <c r="E825" s="154" t="s">
        <v>3</v>
      </c>
    </row>
    <row r="826" spans="1:5" hidden="1">
      <c r="A826">
        <f t="shared" si="12"/>
        <v>824</v>
      </c>
      <c r="B826" t="s">
        <v>1296</v>
      </c>
      <c r="C826" t="s">
        <v>1338</v>
      </c>
      <c r="D826" s="172" t="s">
        <v>1335</v>
      </c>
      <c r="E826" s="154" t="s">
        <v>3</v>
      </c>
    </row>
    <row r="827" spans="1:5" hidden="1">
      <c r="A827">
        <f t="shared" si="12"/>
        <v>825</v>
      </c>
      <c r="B827" t="s">
        <v>1296</v>
      </c>
      <c r="C827" t="s">
        <v>1339</v>
      </c>
      <c r="D827" s="172" t="s">
        <v>1335</v>
      </c>
      <c r="E827" s="154" t="s">
        <v>3</v>
      </c>
    </row>
    <row r="828" spans="1:5" hidden="1">
      <c r="A828">
        <f t="shared" si="12"/>
        <v>826</v>
      </c>
      <c r="B828" t="s">
        <v>1296</v>
      </c>
      <c r="C828" t="s">
        <v>1340</v>
      </c>
      <c r="D828" s="172" t="s">
        <v>1335</v>
      </c>
      <c r="E828" s="154" t="s">
        <v>3</v>
      </c>
    </row>
    <row r="829" spans="1:5" hidden="1">
      <c r="A829">
        <f t="shared" si="12"/>
        <v>827</v>
      </c>
      <c r="B829" t="s">
        <v>1296</v>
      </c>
      <c r="C829" t="s">
        <v>1341</v>
      </c>
      <c r="D829" s="172" t="s">
        <v>1335</v>
      </c>
      <c r="E829" s="154" t="s">
        <v>3</v>
      </c>
    </row>
    <row r="830" spans="1:5" hidden="1">
      <c r="A830">
        <f t="shared" si="12"/>
        <v>828</v>
      </c>
      <c r="B830" t="s">
        <v>1296</v>
      </c>
      <c r="C830" t="s">
        <v>1342</v>
      </c>
      <c r="D830" s="172" t="s">
        <v>1335</v>
      </c>
      <c r="E830" s="154" t="s">
        <v>3</v>
      </c>
    </row>
    <row r="831" spans="1:5" hidden="1">
      <c r="A831">
        <f t="shared" si="12"/>
        <v>829</v>
      </c>
      <c r="B831" t="s">
        <v>1296</v>
      </c>
      <c r="C831" t="s">
        <v>1343</v>
      </c>
      <c r="D831" s="172" t="s">
        <v>1335</v>
      </c>
      <c r="E831" s="154" t="s">
        <v>3</v>
      </c>
    </row>
    <row r="832" spans="1:5" hidden="1">
      <c r="A832">
        <f t="shared" si="12"/>
        <v>830</v>
      </c>
      <c r="B832" t="s">
        <v>1296</v>
      </c>
      <c r="C832" t="s">
        <v>1344</v>
      </c>
      <c r="D832" s="172" t="s">
        <v>1335</v>
      </c>
      <c r="E832" s="154" t="s">
        <v>3</v>
      </c>
    </row>
    <row r="833" spans="1:5" hidden="1">
      <c r="A833">
        <f t="shared" si="12"/>
        <v>831</v>
      </c>
      <c r="B833" t="s">
        <v>1296</v>
      </c>
      <c r="C833" t="s">
        <v>1345</v>
      </c>
      <c r="D833" s="172" t="s">
        <v>1335</v>
      </c>
      <c r="E833" s="154" t="s">
        <v>3</v>
      </c>
    </row>
    <row r="834" spans="1:5" hidden="1">
      <c r="A834">
        <f t="shared" si="12"/>
        <v>832</v>
      </c>
      <c r="B834" t="s">
        <v>1296</v>
      </c>
      <c r="C834" t="s">
        <v>1346</v>
      </c>
      <c r="D834" s="172" t="s">
        <v>1335</v>
      </c>
      <c r="E834" s="154" t="s">
        <v>3</v>
      </c>
    </row>
    <row r="835" spans="1:5" hidden="1">
      <c r="A835">
        <f t="shared" si="12"/>
        <v>833</v>
      </c>
      <c r="B835" t="s">
        <v>1296</v>
      </c>
      <c r="C835" t="s">
        <v>1347</v>
      </c>
      <c r="D835" s="172" t="s">
        <v>1348</v>
      </c>
      <c r="E835" s="154" t="s">
        <v>3</v>
      </c>
    </row>
    <row r="836" spans="1:5" hidden="1">
      <c r="A836">
        <f t="shared" ref="A836:A899" si="13">A835+1</f>
        <v>834</v>
      </c>
      <c r="B836" t="s">
        <v>1296</v>
      </c>
      <c r="C836" t="s">
        <v>1349</v>
      </c>
      <c r="D836" s="172" t="s">
        <v>1348</v>
      </c>
      <c r="E836" s="154" t="s">
        <v>3</v>
      </c>
    </row>
    <row r="837" spans="1:5" hidden="1">
      <c r="A837">
        <f t="shared" si="13"/>
        <v>835</v>
      </c>
      <c r="B837" t="s">
        <v>1296</v>
      </c>
      <c r="C837" t="s">
        <v>1350</v>
      </c>
      <c r="D837" s="172" t="s">
        <v>1348</v>
      </c>
      <c r="E837" s="154" t="s">
        <v>3</v>
      </c>
    </row>
    <row r="838" spans="1:5" hidden="1">
      <c r="A838">
        <f t="shared" si="13"/>
        <v>836</v>
      </c>
      <c r="B838" t="s">
        <v>1296</v>
      </c>
      <c r="C838" t="s">
        <v>1351</v>
      </c>
      <c r="D838" s="172" t="s">
        <v>1348</v>
      </c>
      <c r="E838" s="154" t="s">
        <v>3</v>
      </c>
    </row>
    <row r="839" spans="1:5" hidden="1">
      <c r="A839">
        <f t="shared" si="13"/>
        <v>837</v>
      </c>
      <c r="B839" t="s">
        <v>1296</v>
      </c>
      <c r="C839" t="s">
        <v>1352</v>
      </c>
      <c r="D839" s="172" t="s">
        <v>1353</v>
      </c>
      <c r="E839" s="154" t="s">
        <v>3</v>
      </c>
    </row>
    <row r="840" spans="1:5" hidden="1">
      <c r="A840">
        <f t="shared" si="13"/>
        <v>838</v>
      </c>
      <c r="B840" t="s">
        <v>1296</v>
      </c>
      <c r="C840" t="s">
        <v>1354</v>
      </c>
      <c r="D840" s="172" t="s">
        <v>1355</v>
      </c>
      <c r="E840" s="154" t="s">
        <v>3</v>
      </c>
    </row>
    <row r="841" spans="1:5" hidden="1">
      <c r="A841">
        <f t="shared" si="13"/>
        <v>839</v>
      </c>
      <c r="B841" t="s">
        <v>1296</v>
      </c>
      <c r="C841" t="s">
        <v>1356</v>
      </c>
      <c r="D841" s="172" t="s">
        <v>1355</v>
      </c>
      <c r="E841" s="154" t="s">
        <v>3</v>
      </c>
    </row>
    <row r="842" spans="1:5" hidden="1">
      <c r="A842">
        <f t="shared" si="13"/>
        <v>840</v>
      </c>
      <c r="B842" t="s">
        <v>1296</v>
      </c>
      <c r="C842" t="s">
        <v>1357</v>
      </c>
      <c r="D842" s="172" t="s">
        <v>1355</v>
      </c>
      <c r="E842" s="154" t="s">
        <v>3</v>
      </c>
    </row>
    <row r="843" spans="1:5" hidden="1">
      <c r="A843">
        <f t="shared" si="13"/>
        <v>841</v>
      </c>
      <c r="B843" t="s">
        <v>1296</v>
      </c>
      <c r="C843" t="s">
        <v>1358</v>
      </c>
      <c r="D843" s="172" t="s">
        <v>1355</v>
      </c>
      <c r="E843" s="154" t="s">
        <v>3</v>
      </c>
    </row>
    <row r="844" spans="1:5" hidden="1">
      <c r="A844">
        <f t="shared" si="13"/>
        <v>842</v>
      </c>
      <c r="B844" t="s">
        <v>1296</v>
      </c>
      <c r="C844" t="s">
        <v>1359</v>
      </c>
      <c r="D844" s="172" t="s">
        <v>1355</v>
      </c>
      <c r="E844" s="154" t="s">
        <v>3</v>
      </c>
    </row>
    <row r="845" spans="1:5" hidden="1">
      <c r="A845">
        <f t="shared" si="13"/>
        <v>843</v>
      </c>
      <c r="B845" t="s">
        <v>1296</v>
      </c>
      <c r="C845" t="s">
        <v>1360</v>
      </c>
      <c r="D845" s="172" t="s">
        <v>1355</v>
      </c>
      <c r="E845" s="154" t="s">
        <v>3</v>
      </c>
    </row>
    <row r="846" spans="1:5" hidden="1">
      <c r="A846">
        <f t="shared" si="13"/>
        <v>844</v>
      </c>
      <c r="B846" t="s">
        <v>1296</v>
      </c>
      <c r="C846" t="s">
        <v>1361</v>
      </c>
      <c r="D846" s="172" t="s">
        <v>1355</v>
      </c>
      <c r="E846" s="154" t="s">
        <v>3</v>
      </c>
    </row>
    <row r="847" spans="1:5" hidden="1">
      <c r="A847">
        <f t="shared" si="13"/>
        <v>845</v>
      </c>
      <c r="B847" t="s">
        <v>1296</v>
      </c>
      <c r="C847" t="s">
        <v>1362</v>
      </c>
      <c r="D847" s="172" t="s">
        <v>1355</v>
      </c>
      <c r="E847" s="154" t="s">
        <v>3</v>
      </c>
    </row>
    <row r="848" spans="1:5" hidden="1">
      <c r="A848">
        <f t="shared" si="13"/>
        <v>846</v>
      </c>
      <c r="B848" t="s">
        <v>1296</v>
      </c>
      <c r="C848" t="s">
        <v>1363</v>
      </c>
      <c r="D848" s="172" t="s">
        <v>1355</v>
      </c>
      <c r="E848" s="154" t="s">
        <v>3</v>
      </c>
    </row>
    <row r="849" spans="1:5" hidden="1">
      <c r="A849">
        <f t="shared" si="13"/>
        <v>847</v>
      </c>
      <c r="B849" t="s">
        <v>1296</v>
      </c>
      <c r="C849" t="s">
        <v>1364</v>
      </c>
      <c r="D849" s="172" t="s">
        <v>1355</v>
      </c>
      <c r="E849" s="154" t="s">
        <v>3</v>
      </c>
    </row>
    <row r="850" spans="1:5" hidden="1">
      <c r="A850">
        <f t="shared" si="13"/>
        <v>848</v>
      </c>
      <c r="B850" t="s">
        <v>1296</v>
      </c>
      <c r="C850" t="s">
        <v>1365</v>
      </c>
      <c r="D850" s="172" t="s">
        <v>1355</v>
      </c>
      <c r="E850" s="154" t="s">
        <v>3</v>
      </c>
    </row>
    <row r="851" spans="1:5" hidden="1">
      <c r="A851">
        <f t="shared" si="13"/>
        <v>849</v>
      </c>
      <c r="B851" t="s">
        <v>1296</v>
      </c>
      <c r="C851" t="s">
        <v>1366</v>
      </c>
      <c r="D851" s="172" t="s">
        <v>1355</v>
      </c>
      <c r="E851" s="154" t="s">
        <v>3</v>
      </c>
    </row>
    <row r="852" spans="1:5" hidden="1">
      <c r="A852">
        <f t="shared" si="13"/>
        <v>850</v>
      </c>
      <c r="B852" t="s">
        <v>1296</v>
      </c>
      <c r="C852" t="s">
        <v>1367</v>
      </c>
      <c r="D852" s="172" t="s">
        <v>1355</v>
      </c>
      <c r="E852" s="154" t="s">
        <v>3</v>
      </c>
    </row>
    <row r="853" spans="1:5" hidden="1">
      <c r="A853">
        <f t="shared" si="13"/>
        <v>851</v>
      </c>
      <c r="B853" t="s">
        <v>1296</v>
      </c>
      <c r="C853" t="s">
        <v>1563</v>
      </c>
      <c r="D853" s="172" t="s">
        <v>1368</v>
      </c>
      <c r="E853" s="154" t="s">
        <v>3</v>
      </c>
    </row>
    <row r="854" spans="1:5" hidden="1">
      <c r="A854">
        <f t="shared" si="13"/>
        <v>852</v>
      </c>
      <c r="B854" t="s">
        <v>1296</v>
      </c>
      <c r="C854" t="s">
        <v>1369</v>
      </c>
      <c r="D854" s="172" t="s">
        <v>1368</v>
      </c>
      <c r="E854" s="154" t="s">
        <v>3</v>
      </c>
    </row>
    <row r="855" spans="1:5" hidden="1">
      <c r="A855">
        <f t="shared" si="13"/>
        <v>853</v>
      </c>
      <c r="B855" t="s">
        <v>1296</v>
      </c>
      <c r="C855" t="s">
        <v>1370</v>
      </c>
      <c r="D855" s="172" t="s">
        <v>1368</v>
      </c>
      <c r="E855" s="154" t="s">
        <v>3</v>
      </c>
    </row>
    <row r="856" spans="1:5" hidden="1">
      <c r="A856">
        <f t="shared" si="13"/>
        <v>854</v>
      </c>
      <c r="B856" t="s">
        <v>1296</v>
      </c>
      <c r="C856" t="s">
        <v>1371</v>
      </c>
      <c r="D856" s="172" t="s">
        <v>1368</v>
      </c>
      <c r="E856" s="154" t="s">
        <v>3</v>
      </c>
    </row>
    <row r="857" spans="1:5" hidden="1">
      <c r="A857">
        <f t="shared" si="13"/>
        <v>855</v>
      </c>
      <c r="B857" t="s">
        <v>1296</v>
      </c>
      <c r="C857" t="s">
        <v>1372</v>
      </c>
      <c r="D857" s="172" t="s">
        <v>1368</v>
      </c>
      <c r="E857" s="154" t="s">
        <v>3</v>
      </c>
    </row>
    <row r="858" spans="1:5" hidden="1">
      <c r="A858">
        <f t="shared" si="13"/>
        <v>856</v>
      </c>
      <c r="B858" t="s">
        <v>1296</v>
      </c>
      <c r="C858" t="s">
        <v>1373</v>
      </c>
      <c r="D858" s="172" t="s">
        <v>1368</v>
      </c>
      <c r="E858" s="154" t="s">
        <v>3</v>
      </c>
    </row>
    <row r="859" spans="1:5" hidden="1">
      <c r="A859">
        <f t="shared" si="13"/>
        <v>857</v>
      </c>
      <c r="B859" t="s">
        <v>1296</v>
      </c>
      <c r="C859" t="s">
        <v>1374</v>
      </c>
      <c r="D859" s="172" t="s">
        <v>1368</v>
      </c>
      <c r="E859" s="154" t="s">
        <v>3</v>
      </c>
    </row>
    <row r="860" spans="1:5" hidden="1">
      <c r="A860">
        <f t="shared" si="13"/>
        <v>858</v>
      </c>
      <c r="B860" t="s">
        <v>1296</v>
      </c>
      <c r="C860" t="s">
        <v>1375</v>
      </c>
      <c r="D860" s="172" t="s">
        <v>1376</v>
      </c>
      <c r="E860" s="154" t="s">
        <v>3</v>
      </c>
    </row>
    <row r="861" spans="1:5" hidden="1">
      <c r="A861">
        <f t="shared" si="13"/>
        <v>859</v>
      </c>
      <c r="B861" t="s">
        <v>1296</v>
      </c>
      <c r="C861" t="s">
        <v>1377</v>
      </c>
      <c r="D861" s="172" t="s">
        <v>1378</v>
      </c>
      <c r="E861" s="154" t="s">
        <v>3</v>
      </c>
    </row>
    <row r="862" spans="1:5" hidden="1">
      <c r="A862">
        <f t="shared" si="13"/>
        <v>860</v>
      </c>
      <c r="B862" t="s">
        <v>1296</v>
      </c>
      <c r="C862" t="s">
        <v>1379</v>
      </c>
      <c r="D862" s="172" t="s">
        <v>1378</v>
      </c>
      <c r="E862" s="154" t="s">
        <v>3</v>
      </c>
    </row>
    <row r="863" spans="1:5" hidden="1">
      <c r="A863">
        <f t="shared" si="13"/>
        <v>861</v>
      </c>
      <c r="B863" t="s">
        <v>1296</v>
      </c>
      <c r="C863" t="s">
        <v>1380</v>
      </c>
      <c r="D863" s="172" t="s">
        <v>1378</v>
      </c>
      <c r="E863" s="154" t="s">
        <v>3</v>
      </c>
    </row>
    <row r="864" spans="1:5" hidden="1">
      <c r="A864">
        <f t="shared" si="13"/>
        <v>862</v>
      </c>
      <c r="B864" t="s">
        <v>1296</v>
      </c>
      <c r="C864" t="s">
        <v>1381</v>
      </c>
      <c r="D864" s="172" t="s">
        <v>1378</v>
      </c>
      <c r="E864" s="154" t="s">
        <v>3</v>
      </c>
    </row>
    <row r="865" spans="1:5" hidden="1">
      <c r="A865">
        <f t="shared" si="13"/>
        <v>863</v>
      </c>
      <c r="B865" t="s">
        <v>1296</v>
      </c>
      <c r="C865" t="s">
        <v>1382</v>
      </c>
      <c r="D865" s="172" t="s">
        <v>1378</v>
      </c>
      <c r="E865" s="154" t="s">
        <v>3</v>
      </c>
    </row>
    <row r="866" spans="1:5" hidden="1">
      <c r="A866">
        <f t="shared" si="13"/>
        <v>864</v>
      </c>
      <c r="B866" t="s">
        <v>1296</v>
      </c>
      <c r="C866" t="s">
        <v>1383</v>
      </c>
      <c r="D866" s="172" t="s">
        <v>1378</v>
      </c>
      <c r="E866" s="154" t="s">
        <v>3</v>
      </c>
    </row>
    <row r="867" spans="1:5" hidden="1">
      <c r="A867">
        <f t="shared" si="13"/>
        <v>865</v>
      </c>
      <c r="B867" t="s">
        <v>1296</v>
      </c>
      <c r="C867" t="s">
        <v>1384</v>
      </c>
      <c r="D867" s="172" t="s">
        <v>1378</v>
      </c>
      <c r="E867" s="154" t="s">
        <v>3</v>
      </c>
    </row>
    <row r="868" spans="1:5" hidden="1">
      <c r="A868">
        <f t="shared" si="13"/>
        <v>866</v>
      </c>
      <c r="B868" t="s">
        <v>1296</v>
      </c>
      <c r="C868" t="s">
        <v>1385</v>
      </c>
      <c r="D868" s="172" t="s">
        <v>1378</v>
      </c>
      <c r="E868" s="154" t="s">
        <v>3</v>
      </c>
    </row>
    <row r="869" spans="1:5" hidden="1">
      <c r="A869">
        <f t="shared" si="13"/>
        <v>867</v>
      </c>
      <c r="B869" t="s">
        <v>1296</v>
      </c>
      <c r="C869" t="s">
        <v>1386</v>
      </c>
      <c r="D869" s="172" t="s">
        <v>1387</v>
      </c>
      <c r="E869" s="154" t="s">
        <v>3</v>
      </c>
    </row>
    <row r="870" spans="1:5" hidden="1">
      <c r="A870">
        <f t="shared" si="13"/>
        <v>868</v>
      </c>
      <c r="B870" t="s">
        <v>1296</v>
      </c>
      <c r="C870" t="s">
        <v>1388</v>
      </c>
      <c r="D870" s="172" t="s">
        <v>1387</v>
      </c>
      <c r="E870" s="154" t="s">
        <v>3</v>
      </c>
    </row>
    <row r="871" spans="1:5" hidden="1">
      <c r="A871">
        <f t="shared" si="13"/>
        <v>869</v>
      </c>
      <c r="B871" t="s">
        <v>1296</v>
      </c>
      <c r="C871" t="s">
        <v>1389</v>
      </c>
      <c r="D871" s="172" t="s">
        <v>1387</v>
      </c>
      <c r="E871" s="154" t="s">
        <v>3</v>
      </c>
    </row>
    <row r="872" spans="1:5" hidden="1">
      <c r="A872">
        <f t="shared" si="13"/>
        <v>870</v>
      </c>
      <c r="B872" t="s">
        <v>1296</v>
      </c>
      <c r="C872" t="s">
        <v>1390</v>
      </c>
      <c r="D872" s="172" t="s">
        <v>1387</v>
      </c>
      <c r="E872" s="154" t="s">
        <v>3</v>
      </c>
    </row>
    <row r="873" spans="1:5" hidden="1">
      <c r="A873">
        <f t="shared" si="13"/>
        <v>871</v>
      </c>
      <c r="B873" t="s">
        <v>1296</v>
      </c>
      <c r="C873" t="s">
        <v>1564</v>
      </c>
      <c r="D873" s="172" t="s">
        <v>1391</v>
      </c>
      <c r="E873" s="154" t="s">
        <v>3</v>
      </c>
    </row>
    <row r="874" spans="1:5" hidden="1">
      <c r="A874">
        <f t="shared" si="13"/>
        <v>872</v>
      </c>
      <c r="B874" t="s">
        <v>1296</v>
      </c>
      <c r="C874" t="s">
        <v>1392</v>
      </c>
      <c r="D874" s="172" t="s">
        <v>1393</v>
      </c>
      <c r="E874" s="154" t="s">
        <v>3</v>
      </c>
    </row>
    <row r="875" spans="1:5" hidden="1">
      <c r="A875">
        <f t="shared" si="13"/>
        <v>873</v>
      </c>
      <c r="B875" t="s">
        <v>1296</v>
      </c>
      <c r="C875" t="s">
        <v>1394</v>
      </c>
      <c r="D875" s="172" t="s">
        <v>1395</v>
      </c>
      <c r="E875" s="154" t="s">
        <v>3</v>
      </c>
    </row>
    <row r="876" spans="1:5" hidden="1">
      <c r="A876">
        <f t="shared" si="13"/>
        <v>874</v>
      </c>
      <c r="B876" t="s">
        <v>1296</v>
      </c>
      <c r="C876" t="s">
        <v>1396</v>
      </c>
      <c r="D876" s="172" t="s">
        <v>1395</v>
      </c>
      <c r="E876" s="154" t="s">
        <v>3</v>
      </c>
    </row>
    <row r="877" spans="1:5" hidden="1">
      <c r="A877">
        <f t="shared" si="13"/>
        <v>875</v>
      </c>
      <c r="B877" t="s">
        <v>1296</v>
      </c>
      <c r="C877" t="s">
        <v>1397</v>
      </c>
      <c r="D877" s="172" t="s">
        <v>1398</v>
      </c>
      <c r="E877" s="154" t="s">
        <v>3</v>
      </c>
    </row>
    <row r="878" spans="1:5" hidden="1">
      <c r="A878">
        <f t="shared" si="13"/>
        <v>876</v>
      </c>
      <c r="B878" t="s">
        <v>1296</v>
      </c>
      <c r="C878" t="s">
        <v>1399</v>
      </c>
      <c r="D878" s="172" t="s">
        <v>1400</v>
      </c>
      <c r="E878" s="154" t="s">
        <v>3</v>
      </c>
    </row>
    <row r="879" spans="1:5" hidden="1">
      <c r="A879">
        <f t="shared" si="13"/>
        <v>877</v>
      </c>
      <c r="B879" t="s">
        <v>1296</v>
      </c>
      <c r="C879" t="s">
        <v>1401</v>
      </c>
      <c r="D879" s="172" t="s">
        <v>1400</v>
      </c>
      <c r="E879" s="154" t="s">
        <v>3</v>
      </c>
    </row>
    <row r="880" spans="1:5" hidden="1">
      <c r="A880">
        <f t="shared" si="13"/>
        <v>878</v>
      </c>
      <c r="B880" t="s">
        <v>1296</v>
      </c>
      <c r="C880" t="s">
        <v>1402</v>
      </c>
      <c r="D880" s="172" t="s">
        <v>1400</v>
      </c>
      <c r="E880" s="154" t="s">
        <v>3</v>
      </c>
    </row>
    <row r="881" spans="1:5" hidden="1">
      <c r="A881">
        <f t="shared" si="13"/>
        <v>879</v>
      </c>
      <c r="B881" t="s">
        <v>1296</v>
      </c>
      <c r="C881" t="s">
        <v>1403</v>
      </c>
      <c r="D881" s="172" t="s">
        <v>1400</v>
      </c>
      <c r="E881" s="154" t="s">
        <v>3</v>
      </c>
    </row>
    <row r="882" spans="1:5" hidden="1">
      <c r="A882">
        <f t="shared" si="13"/>
        <v>880</v>
      </c>
      <c r="B882" t="s">
        <v>1296</v>
      </c>
      <c r="C882" t="s">
        <v>1404</v>
      </c>
      <c r="D882" s="172" t="s">
        <v>1405</v>
      </c>
      <c r="E882" s="154" t="s">
        <v>3</v>
      </c>
    </row>
    <row r="883" spans="1:5" hidden="1">
      <c r="A883">
        <f t="shared" si="13"/>
        <v>881</v>
      </c>
      <c r="B883" t="s">
        <v>1296</v>
      </c>
      <c r="C883" t="s">
        <v>1406</v>
      </c>
      <c r="D883" s="172" t="s">
        <v>1405</v>
      </c>
      <c r="E883" s="154" t="s">
        <v>3</v>
      </c>
    </row>
    <row r="884" spans="1:5" hidden="1">
      <c r="A884">
        <f t="shared" si="13"/>
        <v>882</v>
      </c>
      <c r="B884" t="s">
        <v>1296</v>
      </c>
      <c r="C884" t="s">
        <v>1407</v>
      </c>
      <c r="D884" s="172" t="s">
        <v>1405</v>
      </c>
      <c r="E884" s="154" t="s">
        <v>3</v>
      </c>
    </row>
    <row r="885" spans="1:5" hidden="1">
      <c r="A885">
        <f t="shared" si="13"/>
        <v>883</v>
      </c>
      <c r="B885" t="s">
        <v>1296</v>
      </c>
      <c r="C885" t="s">
        <v>1408</v>
      </c>
      <c r="D885" s="172" t="s">
        <v>1405</v>
      </c>
      <c r="E885" s="154" t="s">
        <v>3</v>
      </c>
    </row>
    <row r="886" spans="1:5" hidden="1">
      <c r="A886">
        <f t="shared" si="13"/>
        <v>884</v>
      </c>
      <c r="B886" t="s">
        <v>1296</v>
      </c>
      <c r="C886" t="s">
        <v>1409</v>
      </c>
      <c r="D886" s="172" t="s">
        <v>1405</v>
      </c>
      <c r="E886" s="154" t="s">
        <v>3</v>
      </c>
    </row>
    <row r="887" spans="1:5" hidden="1">
      <c r="A887">
        <f t="shared" si="13"/>
        <v>885</v>
      </c>
      <c r="B887" t="s">
        <v>1296</v>
      </c>
      <c r="C887" t="s">
        <v>1410</v>
      </c>
      <c r="D887" s="172" t="s">
        <v>1405</v>
      </c>
      <c r="E887" s="154" t="s">
        <v>3</v>
      </c>
    </row>
    <row r="888" spans="1:5" hidden="1">
      <c r="A888">
        <f t="shared" si="13"/>
        <v>886</v>
      </c>
      <c r="B888" t="s">
        <v>1296</v>
      </c>
      <c r="C888" t="s">
        <v>1411</v>
      </c>
      <c r="D888" s="172" t="s">
        <v>1405</v>
      </c>
      <c r="E888" s="154" t="s">
        <v>3</v>
      </c>
    </row>
    <row r="889" spans="1:5" hidden="1">
      <c r="A889">
        <f t="shared" si="13"/>
        <v>887</v>
      </c>
      <c r="B889" t="s">
        <v>1296</v>
      </c>
      <c r="C889" t="s">
        <v>1412</v>
      </c>
      <c r="D889" s="172" t="s">
        <v>1405</v>
      </c>
      <c r="E889" s="154" t="s">
        <v>3</v>
      </c>
    </row>
    <row r="890" spans="1:5" hidden="1">
      <c r="A890">
        <f t="shared" si="13"/>
        <v>888</v>
      </c>
      <c r="B890" t="s">
        <v>1296</v>
      </c>
      <c r="C890" t="s">
        <v>1413</v>
      </c>
      <c r="D890" s="172" t="s">
        <v>1405</v>
      </c>
      <c r="E890" s="154" t="s">
        <v>3</v>
      </c>
    </row>
    <row r="891" spans="1:5" hidden="1">
      <c r="A891">
        <f t="shared" si="13"/>
        <v>889</v>
      </c>
      <c r="B891" t="s">
        <v>1296</v>
      </c>
      <c r="C891" t="s">
        <v>1414</v>
      </c>
      <c r="D891" s="172" t="s">
        <v>1405</v>
      </c>
      <c r="E891" s="154" t="s">
        <v>3</v>
      </c>
    </row>
    <row r="892" spans="1:5" hidden="1">
      <c r="A892">
        <f t="shared" si="13"/>
        <v>890</v>
      </c>
      <c r="B892" t="s">
        <v>1296</v>
      </c>
      <c r="C892" t="s">
        <v>1415</v>
      </c>
      <c r="D892" s="172" t="s">
        <v>1405</v>
      </c>
      <c r="E892" s="154" t="s">
        <v>3</v>
      </c>
    </row>
    <row r="893" spans="1:5" hidden="1">
      <c r="A893">
        <f t="shared" si="13"/>
        <v>891</v>
      </c>
      <c r="B893" t="s">
        <v>1296</v>
      </c>
      <c r="C893" t="s">
        <v>1416</v>
      </c>
      <c r="D893" s="172" t="s">
        <v>1405</v>
      </c>
      <c r="E893" s="154" t="s">
        <v>3</v>
      </c>
    </row>
    <row r="894" spans="1:5" hidden="1">
      <c r="A894">
        <f t="shared" si="13"/>
        <v>892</v>
      </c>
      <c r="B894" t="s">
        <v>1296</v>
      </c>
      <c r="C894" t="s">
        <v>1417</v>
      </c>
      <c r="D894" s="172" t="s">
        <v>1405</v>
      </c>
      <c r="E894" s="154" t="s">
        <v>3</v>
      </c>
    </row>
    <row r="895" spans="1:5" hidden="1">
      <c r="A895">
        <f t="shared" si="13"/>
        <v>893</v>
      </c>
      <c r="B895" t="s">
        <v>1296</v>
      </c>
      <c r="C895" t="s">
        <v>1418</v>
      </c>
      <c r="D895" s="172" t="s">
        <v>1405</v>
      </c>
      <c r="E895" s="154" t="s">
        <v>3</v>
      </c>
    </row>
    <row r="896" spans="1:5" hidden="1">
      <c r="A896">
        <f t="shared" si="13"/>
        <v>894</v>
      </c>
      <c r="B896" t="s">
        <v>1296</v>
      </c>
      <c r="C896" t="s">
        <v>1419</v>
      </c>
      <c r="D896" s="172" t="s">
        <v>1405</v>
      </c>
      <c r="E896" s="154" t="s">
        <v>3</v>
      </c>
    </row>
    <row r="897" spans="1:5" hidden="1">
      <c r="A897">
        <f t="shared" si="13"/>
        <v>895</v>
      </c>
      <c r="B897" t="s">
        <v>1296</v>
      </c>
      <c r="C897" t="s">
        <v>1420</v>
      </c>
      <c r="D897" s="172" t="s">
        <v>1405</v>
      </c>
      <c r="E897" s="154" t="s">
        <v>3</v>
      </c>
    </row>
    <row r="898" spans="1:5" hidden="1">
      <c r="A898">
        <f t="shared" si="13"/>
        <v>896</v>
      </c>
      <c r="B898" t="s">
        <v>1296</v>
      </c>
      <c r="C898" t="s">
        <v>1421</v>
      </c>
      <c r="D898" s="172" t="s">
        <v>1405</v>
      </c>
      <c r="E898" s="154" t="s">
        <v>3</v>
      </c>
    </row>
    <row r="899" spans="1:5" hidden="1">
      <c r="A899">
        <f t="shared" si="13"/>
        <v>897</v>
      </c>
      <c r="B899" t="s">
        <v>1296</v>
      </c>
      <c r="C899" t="s">
        <v>1422</v>
      </c>
      <c r="D899" s="172" t="s">
        <v>1405</v>
      </c>
      <c r="E899" s="154" t="s">
        <v>3</v>
      </c>
    </row>
    <row r="900" spans="1:5" hidden="1">
      <c r="A900">
        <f t="shared" ref="A900:A963" si="14">A899+1</f>
        <v>898</v>
      </c>
      <c r="B900" t="s">
        <v>1296</v>
      </c>
      <c r="C900" t="s">
        <v>1423</v>
      </c>
      <c r="D900" s="172" t="s">
        <v>1405</v>
      </c>
      <c r="E900" s="154" t="s">
        <v>3</v>
      </c>
    </row>
    <row r="901" spans="1:5" hidden="1">
      <c r="A901">
        <f t="shared" si="14"/>
        <v>899</v>
      </c>
      <c r="B901" t="s">
        <v>1296</v>
      </c>
      <c r="C901" t="s">
        <v>1424</v>
      </c>
      <c r="D901" s="172" t="s">
        <v>1405</v>
      </c>
      <c r="E901" s="154" t="s">
        <v>3</v>
      </c>
    </row>
    <row r="902" spans="1:5" hidden="1">
      <c r="A902">
        <f t="shared" si="14"/>
        <v>900</v>
      </c>
      <c r="B902" t="s">
        <v>1296</v>
      </c>
      <c r="C902" t="s">
        <v>1425</v>
      </c>
      <c r="D902" s="172" t="s">
        <v>1405</v>
      </c>
      <c r="E902" s="154" t="s">
        <v>3</v>
      </c>
    </row>
    <row r="903" spans="1:5" hidden="1">
      <c r="A903">
        <f t="shared" si="14"/>
        <v>901</v>
      </c>
      <c r="B903" t="s">
        <v>1296</v>
      </c>
      <c r="C903" t="s">
        <v>1426</v>
      </c>
      <c r="D903" s="172" t="s">
        <v>1405</v>
      </c>
      <c r="E903" s="154" t="s">
        <v>3</v>
      </c>
    </row>
    <row r="904" spans="1:5" hidden="1">
      <c r="A904">
        <f t="shared" si="14"/>
        <v>902</v>
      </c>
      <c r="B904" t="s">
        <v>1296</v>
      </c>
      <c r="C904" t="s">
        <v>1427</v>
      </c>
      <c r="D904" s="172" t="s">
        <v>1405</v>
      </c>
      <c r="E904" s="154" t="s">
        <v>3</v>
      </c>
    </row>
    <row r="905" spans="1:5" hidden="1">
      <c r="A905">
        <f t="shared" si="14"/>
        <v>903</v>
      </c>
      <c r="B905" t="s">
        <v>1296</v>
      </c>
      <c r="C905" t="s">
        <v>1428</v>
      </c>
      <c r="D905" s="172" t="s">
        <v>1405</v>
      </c>
      <c r="E905" s="154" t="s">
        <v>3</v>
      </c>
    </row>
    <row r="906" spans="1:5" hidden="1">
      <c r="A906">
        <f t="shared" si="14"/>
        <v>904</v>
      </c>
      <c r="B906" t="s">
        <v>1296</v>
      </c>
      <c r="C906" t="s">
        <v>1429</v>
      </c>
      <c r="D906" s="172" t="s">
        <v>1405</v>
      </c>
      <c r="E906" s="154" t="s">
        <v>3</v>
      </c>
    </row>
    <row r="907" spans="1:5" hidden="1">
      <c r="A907">
        <f t="shared" si="14"/>
        <v>905</v>
      </c>
      <c r="B907" t="s">
        <v>1296</v>
      </c>
      <c r="C907" t="s">
        <v>1430</v>
      </c>
      <c r="D907" s="172" t="s">
        <v>1405</v>
      </c>
      <c r="E907" s="154" t="s">
        <v>3</v>
      </c>
    </row>
    <row r="908" spans="1:5" hidden="1">
      <c r="A908">
        <f t="shared" si="14"/>
        <v>906</v>
      </c>
      <c r="B908" t="s">
        <v>1296</v>
      </c>
      <c r="C908" t="s">
        <v>1431</v>
      </c>
      <c r="D908" s="172" t="s">
        <v>1405</v>
      </c>
      <c r="E908" s="154" t="s">
        <v>3</v>
      </c>
    </row>
    <row r="909" spans="1:5" hidden="1">
      <c r="A909">
        <f t="shared" si="14"/>
        <v>907</v>
      </c>
      <c r="B909" t="s">
        <v>1296</v>
      </c>
      <c r="C909" t="s">
        <v>1432</v>
      </c>
      <c r="D909" s="172" t="s">
        <v>1405</v>
      </c>
      <c r="E909" s="154" t="s">
        <v>3</v>
      </c>
    </row>
    <row r="910" spans="1:5" hidden="1">
      <c r="A910">
        <f t="shared" si="14"/>
        <v>908</v>
      </c>
      <c r="B910" t="s">
        <v>1296</v>
      </c>
      <c r="C910" t="s">
        <v>1433</v>
      </c>
      <c r="D910" s="172" t="s">
        <v>1405</v>
      </c>
      <c r="E910" s="154" t="s">
        <v>3</v>
      </c>
    </row>
    <row r="911" spans="1:5" hidden="1">
      <c r="A911">
        <f t="shared" si="14"/>
        <v>909</v>
      </c>
      <c r="B911" t="s">
        <v>1296</v>
      </c>
      <c r="C911" t="s">
        <v>1434</v>
      </c>
      <c r="D911" s="172" t="s">
        <v>1405</v>
      </c>
      <c r="E911" s="154" t="s">
        <v>3</v>
      </c>
    </row>
    <row r="912" spans="1:5" hidden="1">
      <c r="A912">
        <f t="shared" si="14"/>
        <v>910</v>
      </c>
      <c r="B912" t="s">
        <v>1296</v>
      </c>
      <c r="C912" t="s">
        <v>1565</v>
      </c>
      <c r="D912" s="172" t="s">
        <v>1405</v>
      </c>
      <c r="E912" s="154" t="s">
        <v>3</v>
      </c>
    </row>
    <row r="913" spans="1:5" hidden="1">
      <c r="A913">
        <f t="shared" si="14"/>
        <v>911</v>
      </c>
      <c r="B913" t="s">
        <v>1296</v>
      </c>
      <c r="C913" t="s">
        <v>1435</v>
      </c>
      <c r="D913" s="172" t="s">
        <v>1405</v>
      </c>
      <c r="E913" s="154" t="s">
        <v>3</v>
      </c>
    </row>
    <row r="914" spans="1:5" hidden="1">
      <c r="A914">
        <f t="shared" si="14"/>
        <v>912</v>
      </c>
      <c r="B914" t="s">
        <v>1296</v>
      </c>
      <c r="C914" t="s">
        <v>1436</v>
      </c>
      <c r="D914" s="172" t="s">
        <v>1405</v>
      </c>
      <c r="E914" s="154" t="s">
        <v>3</v>
      </c>
    </row>
    <row r="915" spans="1:5" hidden="1">
      <c r="A915">
        <f t="shared" si="14"/>
        <v>913</v>
      </c>
      <c r="B915" t="s">
        <v>1296</v>
      </c>
      <c r="C915" t="s">
        <v>1566</v>
      </c>
      <c r="D915" s="172" t="s">
        <v>1405</v>
      </c>
      <c r="E915" s="154" t="s">
        <v>3</v>
      </c>
    </row>
    <row r="916" spans="1:5" hidden="1">
      <c r="A916">
        <f t="shared" si="14"/>
        <v>914</v>
      </c>
      <c r="B916" t="s">
        <v>1296</v>
      </c>
      <c r="C916" t="s">
        <v>1437</v>
      </c>
      <c r="D916" s="172" t="s">
        <v>1405</v>
      </c>
      <c r="E916" s="154" t="s">
        <v>3</v>
      </c>
    </row>
    <row r="917" spans="1:5" hidden="1">
      <c r="A917">
        <f t="shared" si="14"/>
        <v>915</v>
      </c>
      <c r="B917" t="s">
        <v>1296</v>
      </c>
      <c r="C917" t="s">
        <v>1438</v>
      </c>
      <c r="D917" s="172" t="s">
        <v>1405</v>
      </c>
      <c r="E917" s="154" t="s">
        <v>3</v>
      </c>
    </row>
    <row r="918" spans="1:5" hidden="1">
      <c r="A918">
        <f t="shared" si="14"/>
        <v>916</v>
      </c>
      <c r="B918" t="s">
        <v>1296</v>
      </c>
      <c r="C918" t="s">
        <v>1439</v>
      </c>
      <c r="D918" s="172" t="s">
        <v>1405</v>
      </c>
      <c r="E918" s="154" t="s">
        <v>3</v>
      </c>
    </row>
    <row r="919" spans="1:5" hidden="1">
      <c r="A919">
        <f t="shared" si="14"/>
        <v>917</v>
      </c>
      <c r="B919" t="s">
        <v>1296</v>
      </c>
      <c r="C919" t="s">
        <v>1440</v>
      </c>
      <c r="D919" s="172" t="s">
        <v>1405</v>
      </c>
      <c r="E919" s="154" t="s">
        <v>3</v>
      </c>
    </row>
    <row r="920" spans="1:5" hidden="1">
      <c r="A920">
        <f t="shared" si="14"/>
        <v>918</v>
      </c>
      <c r="B920" t="s">
        <v>1296</v>
      </c>
      <c r="C920" t="s">
        <v>1441</v>
      </c>
      <c r="D920" s="172" t="s">
        <v>1405</v>
      </c>
      <c r="E920" s="154" t="s">
        <v>3</v>
      </c>
    </row>
    <row r="921" spans="1:5" hidden="1">
      <c r="A921">
        <f t="shared" si="14"/>
        <v>919</v>
      </c>
      <c r="B921" t="s">
        <v>1296</v>
      </c>
      <c r="C921" t="s">
        <v>1442</v>
      </c>
      <c r="D921" s="172" t="s">
        <v>1405</v>
      </c>
      <c r="E921" s="154" t="s">
        <v>3</v>
      </c>
    </row>
    <row r="922" spans="1:5" hidden="1">
      <c r="A922">
        <f t="shared" si="14"/>
        <v>920</v>
      </c>
      <c r="B922" t="s">
        <v>1296</v>
      </c>
      <c r="C922" t="s">
        <v>1443</v>
      </c>
      <c r="D922" s="172" t="s">
        <v>1405</v>
      </c>
      <c r="E922" s="154" t="s">
        <v>3</v>
      </c>
    </row>
    <row r="923" spans="1:5" hidden="1">
      <c r="A923">
        <f t="shared" si="14"/>
        <v>921</v>
      </c>
      <c r="B923" t="s">
        <v>1296</v>
      </c>
      <c r="C923" t="s">
        <v>1444</v>
      </c>
      <c r="D923" s="172" t="s">
        <v>1405</v>
      </c>
      <c r="E923" s="154" t="s">
        <v>3</v>
      </c>
    </row>
    <row r="924" spans="1:5" hidden="1">
      <c r="A924">
        <f t="shared" si="14"/>
        <v>922</v>
      </c>
      <c r="B924" t="s">
        <v>1296</v>
      </c>
      <c r="C924" t="s">
        <v>1567</v>
      </c>
      <c r="D924" s="172" t="s">
        <v>1405</v>
      </c>
      <c r="E924" s="154" t="s">
        <v>3</v>
      </c>
    </row>
    <row r="925" spans="1:5" hidden="1">
      <c r="A925">
        <f t="shared" si="14"/>
        <v>923</v>
      </c>
      <c r="B925" t="s">
        <v>1296</v>
      </c>
      <c r="C925" t="s">
        <v>1445</v>
      </c>
      <c r="D925" s="172" t="s">
        <v>1405</v>
      </c>
      <c r="E925" s="154" t="s">
        <v>3</v>
      </c>
    </row>
    <row r="926" spans="1:5" hidden="1">
      <c r="A926">
        <f t="shared" si="14"/>
        <v>924</v>
      </c>
      <c r="B926" t="s">
        <v>1296</v>
      </c>
      <c r="C926" t="s">
        <v>1446</v>
      </c>
      <c r="D926" s="172" t="s">
        <v>1405</v>
      </c>
      <c r="E926" s="154" t="s">
        <v>3</v>
      </c>
    </row>
    <row r="927" spans="1:5" hidden="1">
      <c r="A927">
        <f t="shared" si="14"/>
        <v>925</v>
      </c>
      <c r="B927" t="s">
        <v>1296</v>
      </c>
      <c r="C927" t="s">
        <v>1447</v>
      </c>
      <c r="D927" s="172" t="s">
        <v>1405</v>
      </c>
      <c r="E927" s="154" t="s">
        <v>3</v>
      </c>
    </row>
    <row r="928" spans="1:5" hidden="1">
      <c r="A928">
        <f t="shared" si="14"/>
        <v>926</v>
      </c>
      <c r="B928" t="s">
        <v>1296</v>
      </c>
      <c r="C928" t="s">
        <v>1448</v>
      </c>
      <c r="D928" s="172" t="s">
        <v>1405</v>
      </c>
      <c r="E928" s="154" t="s">
        <v>3</v>
      </c>
    </row>
    <row r="929" spans="1:5" hidden="1">
      <c r="A929">
        <f t="shared" si="14"/>
        <v>927</v>
      </c>
      <c r="B929" t="s">
        <v>1296</v>
      </c>
      <c r="C929" t="s">
        <v>1449</v>
      </c>
      <c r="D929" s="172" t="s">
        <v>1405</v>
      </c>
      <c r="E929" s="154" t="s">
        <v>3</v>
      </c>
    </row>
    <row r="930" spans="1:5" hidden="1">
      <c r="A930">
        <f t="shared" si="14"/>
        <v>928</v>
      </c>
      <c r="B930" t="s">
        <v>1296</v>
      </c>
      <c r="C930" t="s">
        <v>1450</v>
      </c>
      <c r="D930" s="172" t="s">
        <v>1405</v>
      </c>
      <c r="E930" s="154" t="s">
        <v>3</v>
      </c>
    </row>
    <row r="931" spans="1:5" hidden="1">
      <c r="A931">
        <f t="shared" si="14"/>
        <v>929</v>
      </c>
      <c r="B931" t="s">
        <v>1296</v>
      </c>
      <c r="C931" t="s">
        <v>1451</v>
      </c>
      <c r="D931" s="172" t="s">
        <v>1405</v>
      </c>
      <c r="E931" s="154" t="s">
        <v>3</v>
      </c>
    </row>
    <row r="932" spans="1:5" hidden="1">
      <c r="A932">
        <f t="shared" si="14"/>
        <v>930</v>
      </c>
      <c r="B932" t="s">
        <v>1296</v>
      </c>
      <c r="C932" t="s">
        <v>1452</v>
      </c>
      <c r="D932" s="172" t="s">
        <v>1405</v>
      </c>
      <c r="E932" s="154" t="s">
        <v>3</v>
      </c>
    </row>
    <row r="933" spans="1:5" hidden="1">
      <c r="A933">
        <f t="shared" si="14"/>
        <v>931</v>
      </c>
      <c r="B933" t="s">
        <v>1296</v>
      </c>
      <c r="C933" t="s">
        <v>1453</v>
      </c>
      <c r="D933" s="172" t="s">
        <v>1405</v>
      </c>
      <c r="E933" s="154" t="s">
        <v>3</v>
      </c>
    </row>
    <row r="934" spans="1:5" hidden="1">
      <c r="A934">
        <f t="shared" si="14"/>
        <v>932</v>
      </c>
      <c r="B934" t="s">
        <v>1296</v>
      </c>
      <c r="C934" t="s">
        <v>1454</v>
      </c>
      <c r="D934" s="172" t="s">
        <v>1405</v>
      </c>
      <c r="E934" s="154" t="s">
        <v>3</v>
      </c>
    </row>
    <row r="935" spans="1:5" hidden="1">
      <c r="A935">
        <f t="shared" si="14"/>
        <v>933</v>
      </c>
      <c r="B935" t="s">
        <v>1296</v>
      </c>
      <c r="C935" t="s">
        <v>1455</v>
      </c>
      <c r="D935" s="172" t="s">
        <v>1405</v>
      </c>
      <c r="E935" s="154" t="s">
        <v>3</v>
      </c>
    </row>
    <row r="936" spans="1:5" hidden="1">
      <c r="A936">
        <f t="shared" si="14"/>
        <v>934</v>
      </c>
      <c r="B936" t="s">
        <v>1296</v>
      </c>
      <c r="C936" t="s">
        <v>1456</v>
      </c>
      <c r="D936" s="172" t="s">
        <v>1405</v>
      </c>
      <c r="E936" s="154" t="s">
        <v>3</v>
      </c>
    </row>
    <row r="937" spans="1:5" hidden="1">
      <c r="A937">
        <f t="shared" si="14"/>
        <v>935</v>
      </c>
      <c r="B937" t="s">
        <v>1296</v>
      </c>
      <c r="C937" t="s">
        <v>1457</v>
      </c>
      <c r="D937" s="172" t="s">
        <v>1405</v>
      </c>
      <c r="E937" s="154" t="s">
        <v>3</v>
      </c>
    </row>
    <row r="938" spans="1:5" hidden="1">
      <c r="A938">
        <f t="shared" si="14"/>
        <v>936</v>
      </c>
      <c r="B938" t="s">
        <v>1296</v>
      </c>
      <c r="C938" t="s">
        <v>1458</v>
      </c>
      <c r="D938" s="172" t="s">
        <v>1405</v>
      </c>
      <c r="E938" s="154" t="s">
        <v>3</v>
      </c>
    </row>
    <row r="939" spans="1:5" hidden="1">
      <c r="A939">
        <f t="shared" si="14"/>
        <v>937</v>
      </c>
      <c r="B939" t="s">
        <v>1296</v>
      </c>
      <c r="C939" t="s">
        <v>1459</v>
      </c>
      <c r="D939" s="172" t="s">
        <v>1405</v>
      </c>
      <c r="E939" s="154" t="s">
        <v>3</v>
      </c>
    </row>
    <row r="940" spans="1:5" hidden="1">
      <c r="A940">
        <f t="shared" si="14"/>
        <v>938</v>
      </c>
      <c r="B940" t="s">
        <v>1296</v>
      </c>
      <c r="C940" t="s">
        <v>1460</v>
      </c>
      <c r="D940" s="172" t="s">
        <v>1405</v>
      </c>
      <c r="E940" s="154" t="s">
        <v>3</v>
      </c>
    </row>
    <row r="941" spans="1:5" hidden="1">
      <c r="A941">
        <f t="shared" si="14"/>
        <v>939</v>
      </c>
      <c r="B941" t="s">
        <v>1296</v>
      </c>
      <c r="C941" t="s">
        <v>1461</v>
      </c>
      <c r="D941" s="172" t="s">
        <v>1405</v>
      </c>
      <c r="E941" s="154" t="s">
        <v>3</v>
      </c>
    </row>
    <row r="942" spans="1:5" hidden="1">
      <c r="A942">
        <f t="shared" si="14"/>
        <v>940</v>
      </c>
      <c r="B942" t="s">
        <v>1296</v>
      </c>
      <c r="C942" t="s">
        <v>1568</v>
      </c>
      <c r="D942" s="172" t="s">
        <v>1405</v>
      </c>
      <c r="E942" s="154" t="s">
        <v>3</v>
      </c>
    </row>
    <row r="943" spans="1:5" hidden="1">
      <c r="A943">
        <f t="shared" si="14"/>
        <v>941</v>
      </c>
      <c r="B943" t="s">
        <v>1296</v>
      </c>
      <c r="C943" t="s">
        <v>1462</v>
      </c>
      <c r="D943" s="172" t="s">
        <v>1405</v>
      </c>
      <c r="E943" s="154" t="s">
        <v>3</v>
      </c>
    </row>
    <row r="944" spans="1:5" hidden="1">
      <c r="A944">
        <f t="shared" si="14"/>
        <v>942</v>
      </c>
      <c r="B944" t="s">
        <v>1296</v>
      </c>
      <c r="C944" t="s">
        <v>1463</v>
      </c>
      <c r="D944" s="172" t="s">
        <v>1405</v>
      </c>
      <c r="E944" s="154" t="s">
        <v>3</v>
      </c>
    </row>
    <row r="945" spans="1:5" hidden="1">
      <c r="A945">
        <f t="shared" si="14"/>
        <v>943</v>
      </c>
      <c r="B945" t="s">
        <v>1296</v>
      </c>
      <c r="C945" t="s">
        <v>1464</v>
      </c>
      <c r="D945" s="172" t="s">
        <v>1405</v>
      </c>
      <c r="E945" s="154" t="s">
        <v>3</v>
      </c>
    </row>
    <row r="946" spans="1:5" hidden="1">
      <c r="A946">
        <f t="shared" si="14"/>
        <v>944</v>
      </c>
      <c r="B946" t="s">
        <v>1296</v>
      </c>
      <c r="C946" t="s">
        <v>1465</v>
      </c>
      <c r="D946" s="172" t="s">
        <v>1405</v>
      </c>
      <c r="E946" s="154" t="s">
        <v>3</v>
      </c>
    </row>
    <row r="947" spans="1:5" hidden="1">
      <c r="A947">
        <f t="shared" si="14"/>
        <v>945</v>
      </c>
      <c r="B947" t="s">
        <v>1296</v>
      </c>
      <c r="C947" t="s">
        <v>1466</v>
      </c>
      <c r="D947" s="172" t="s">
        <v>1405</v>
      </c>
      <c r="E947" s="154" t="s">
        <v>3</v>
      </c>
    </row>
    <row r="948" spans="1:5" hidden="1">
      <c r="A948">
        <f t="shared" si="14"/>
        <v>946</v>
      </c>
      <c r="B948" t="s">
        <v>1296</v>
      </c>
      <c r="C948" t="s">
        <v>1467</v>
      </c>
      <c r="D948" s="172" t="s">
        <v>1405</v>
      </c>
      <c r="E948" s="154" t="s">
        <v>3</v>
      </c>
    </row>
    <row r="949" spans="1:5" hidden="1">
      <c r="A949">
        <f t="shared" si="14"/>
        <v>947</v>
      </c>
      <c r="B949" t="s">
        <v>1296</v>
      </c>
      <c r="C949" t="s">
        <v>1468</v>
      </c>
      <c r="D949" s="172" t="s">
        <v>1405</v>
      </c>
      <c r="E949" s="154" t="s">
        <v>3</v>
      </c>
    </row>
    <row r="950" spans="1:5" hidden="1">
      <c r="A950">
        <f t="shared" si="14"/>
        <v>948</v>
      </c>
      <c r="B950" t="s">
        <v>1296</v>
      </c>
      <c r="C950" t="s">
        <v>1469</v>
      </c>
      <c r="D950" s="172" t="s">
        <v>1405</v>
      </c>
      <c r="E950" s="154" t="s">
        <v>3</v>
      </c>
    </row>
    <row r="951" spans="1:5" hidden="1">
      <c r="A951">
        <f t="shared" si="14"/>
        <v>949</v>
      </c>
      <c r="B951" t="s">
        <v>1296</v>
      </c>
      <c r="C951" t="s">
        <v>1470</v>
      </c>
      <c r="D951" s="172" t="s">
        <v>1405</v>
      </c>
      <c r="E951" s="154" t="s">
        <v>3</v>
      </c>
    </row>
    <row r="952" spans="1:5" hidden="1">
      <c r="A952">
        <f t="shared" si="14"/>
        <v>950</v>
      </c>
      <c r="B952" t="s">
        <v>1296</v>
      </c>
      <c r="C952" t="s">
        <v>1471</v>
      </c>
      <c r="D952" s="172" t="s">
        <v>1472</v>
      </c>
      <c r="E952" s="154" t="s">
        <v>3</v>
      </c>
    </row>
    <row r="953" spans="1:5" hidden="1">
      <c r="A953">
        <f t="shared" si="14"/>
        <v>951</v>
      </c>
      <c r="B953" t="s">
        <v>1296</v>
      </c>
      <c r="C953" t="s">
        <v>1473</v>
      </c>
      <c r="D953" s="172" t="s">
        <v>1474</v>
      </c>
      <c r="E953" s="154" t="s">
        <v>3</v>
      </c>
    </row>
    <row r="954" spans="1:5" hidden="1">
      <c r="A954">
        <f t="shared" si="14"/>
        <v>952</v>
      </c>
      <c r="B954" t="s">
        <v>1296</v>
      </c>
      <c r="C954" t="s">
        <v>1475</v>
      </c>
      <c r="D954" s="172" t="s">
        <v>1476</v>
      </c>
      <c r="E954" s="154" t="s">
        <v>3</v>
      </c>
    </row>
    <row r="955" spans="1:5" hidden="1">
      <c r="A955">
        <f t="shared" si="14"/>
        <v>953</v>
      </c>
      <c r="B955" t="s">
        <v>1296</v>
      </c>
      <c r="C955" t="s">
        <v>1300</v>
      </c>
      <c r="D955" s="172" t="s">
        <v>1569</v>
      </c>
      <c r="E955" s="154" t="s">
        <v>3</v>
      </c>
    </row>
    <row r="956" spans="1:5" hidden="1">
      <c r="A956">
        <f t="shared" si="14"/>
        <v>954</v>
      </c>
      <c r="B956" t="s">
        <v>1477</v>
      </c>
      <c r="C956" t="s">
        <v>1478</v>
      </c>
      <c r="D956" s="172" t="s">
        <v>1479</v>
      </c>
      <c r="E956" s="154" t="s">
        <v>3</v>
      </c>
    </row>
    <row r="957" spans="1:5" hidden="1">
      <c r="A957">
        <f t="shared" si="14"/>
        <v>955</v>
      </c>
      <c r="B957" t="s">
        <v>1477</v>
      </c>
      <c r="C957" t="s">
        <v>1480</v>
      </c>
      <c r="D957" s="172" t="s">
        <v>1479</v>
      </c>
      <c r="E957" s="154" t="s">
        <v>3</v>
      </c>
    </row>
    <row r="958" spans="1:5" hidden="1">
      <c r="A958">
        <f t="shared" si="14"/>
        <v>956</v>
      </c>
      <c r="B958" t="s">
        <v>1477</v>
      </c>
      <c r="C958" t="s">
        <v>1481</v>
      </c>
      <c r="D958" s="172" t="s">
        <v>1479</v>
      </c>
      <c r="E958" s="154" t="s">
        <v>3</v>
      </c>
    </row>
    <row r="959" spans="1:5" hidden="1">
      <c r="A959">
        <f t="shared" si="14"/>
        <v>957</v>
      </c>
      <c r="B959" t="s">
        <v>1477</v>
      </c>
      <c r="C959" t="s">
        <v>1482</v>
      </c>
      <c r="D959" s="172" t="s">
        <v>1479</v>
      </c>
      <c r="E959" s="154" t="s">
        <v>3</v>
      </c>
    </row>
    <row r="960" spans="1:5" hidden="1">
      <c r="A960">
        <f t="shared" si="14"/>
        <v>958</v>
      </c>
      <c r="B960" t="s">
        <v>1477</v>
      </c>
      <c r="C960" t="s">
        <v>1483</v>
      </c>
      <c r="D960" s="172" t="s">
        <v>1479</v>
      </c>
      <c r="E960" s="154" t="s">
        <v>3</v>
      </c>
    </row>
    <row r="961" spans="1:5" hidden="1">
      <c r="A961">
        <f t="shared" si="14"/>
        <v>959</v>
      </c>
      <c r="B961" t="s">
        <v>1477</v>
      </c>
      <c r="C961" t="s">
        <v>1484</v>
      </c>
      <c r="D961" s="172" t="s">
        <v>1479</v>
      </c>
      <c r="E961" s="154" t="s">
        <v>3</v>
      </c>
    </row>
    <row r="962" spans="1:5" hidden="1">
      <c r="A962">
        <f t="shared" si="14"/>
        <v>960</v>
      </c>
      <c r="B962" t="s">
        <v>1477</v>
      </c>
      <c r="C962" t="s">
        <v>1485</v>
      </c>
      <c r="D962" s="172" t="s">
        <v>1479</v>
      </c>
      <c r="E962" s="154" t="s">
        <v>3</v>
      </c>
    </row>
    <row r="963" spans="1:5" hidden="1">
      <c r="A963">
        <f t="shared" si="14"/>
        <v>961</v>
      </c>
      <c r="B963" t="s">
        <v>1477</v>
      </c>
      <c r="C963" t="s">
        <v>1486</v>
      </c>
      <c r="D963" s="172" t="s">
        <v>1479</v>
      </c>
      <c r="E963" s="154" t="s">
        <v>3</v>
      </c>
    </row>
    <row r="964" spans="1:5" hidden="1">
      <c r="A964">
        <f t="shared" ref="A964:A976" si="15">A963+1</f>
        <v>962</v>
      </c>
      <c r="B964" t="s">
        <v>1477</v>
      </c>
      <c r="C964" t="s">
        <v>1487</v>
      </c>
      <c r="D964" s="172" t="s">
        <v>1479</v>
      </c>
      <c r="E964" s="154" t="s">
        <v>3</v>
      </c>
    </row>
    <row r="965" spans="1:5" hidden="1">
      <c r="A965">
        <f t="shared" si="15"/>
        <v>963</v>
      </c>
      <c r="B965" t="s">
        <v>1477</v>
      </c>
      <c r="C965" t="s">
        <v>1488</v>
      </c>
      <c r="D965" s="172" t="s">
        <v>1479</v>
      </c>
      <c r="E965" s="154" t="s">
        <v>3</v>
      </c>
    </row>
    <row r="966" spans="1:5" hidden="1">
      <c r="A966">
        <f t="shared" si="15"/>
        <v>964</v>
      </c>
      <c r="B966" t="s">
        <v>1477</v>
      </c>
      <c r="C966" t="s">
        <v>1489</v>
      </c>
      <c r="D966" s="172" t="s">
        <v>1479</v>
      </c>
      <c r="E966" s="154" t="s">
        <v>3</v>
      </c>
    </row>
    <row r="967" spans="1:5" hidden="1">
      <c r="A967">
        <f t="shared" si="15"/>
        <v>965</v>
      </c>
      <c r="B967" t="s">
        <v>1477</v>
      </c>
      <c r="C967" t="s">
        <v>1490</v>
      </c>
      <c r="D967" s="172" t="s">
        <v>1479</v>
      </c>
      <c r="E967" s="154" t="s">
        <v>3</v>
      </c>
    </row>
    <row r="968" spans="1:5" hidden="1">
      <c r="A968">
        <f t="shared" si="15"/>
        <v>966</v>
      </c>
      <c r="B968" t="s">
        <v>1477</v>
      </c>
      <c r="C968" t="s">
        <v>1491</v>
      </c>
      <c r="D968" s="172" t="s">
        <v>1479</v>
      </c>
      <c r="E968" s="154" t="s">
        <v>3</v>
      </c>
    </row>
    <row r="969" spans="1:5" hidden="1">
      <c r="A969">
        <f t="shared" si="15"/>
        <v>967</v>
      </c>
      <c r="B969" t="s">
        <v>1477</v>
      </c>
      <c r="C969" t="s">
        <v>1492</v>
      </c>
      <c r="D969" s="172" t="s">
        <v>1479</v>
      </c>
      <c r="E969" s="154" t="s">
        <v>3</v>
      </c>
    </row>
    <row r="970" spans="1:5" hidden="1">
      <c r="A970">
        <f t="shared" si="15"/>
        <v>968</v>
      </c>
      <c r="B970" t="s">
        <v>1477</v>
      </c>
      <c r="C970" t="s">
        <v>1493</v>
      </c>
      <c r="D970" s="172" t="s">
        <v>1479</v>
      </c>
      <c r="E970" s="154" t="s">
        <v>3</v>
      </c>
    </row>
    <row r="971" spans="1:5" hidden="1">
      <c r="A971">
        <f t="shared" si="15"/>
        <v>969</v>
      </c>
      <c r="B971" t="s">
        <v>1477</v>
      </c>
      <c r="C971" t="s">
        <v>1494</v>
      </c>
      <c r="D971" s="172" t="s">
        <v>1479</v>
      </c>
      <c r="E971" s="154" t="s">
        <v>3</v>
      </c>
    </row>
    <row r="972" spans="1:5" hidden="1">
      <c r="A972">
        <f t="shared" si="15"/>
        <v>970</v>
      </c>
      <c r="B972" t="s">
        <v>1477</v>
      </c>
      <c r="C972" t="s">
        <v>1526</v>
      </c>
      <c r="D972" s="172" t="s">
        <v>1479</v>
      </c>
      <c r="E972" s="154" t="s">
        <v>3</v>
      </c>
    </row>
    <row r="973" spans="1:5" hidden="1">
      <c r="A973">
        <f t="shared" si="15"/>
        <v>971</v>
      </c>
      <c r="B973" t="s">
        <v>1477</v>
      </c>
      <c r="C973" t="s">
        <v>1495</v>
      </c>
      <c r="D973" s="172" t="s">
        <v>1496</v>
      </c>
      <c r="E973" s="154" t="s">
        <v>3</v>
      </c>
    </row>
    <row r="974" spans="1:5" hidden="1">
      <c r="A974">
        <f t="shared" si="15"/>
        <v>972</v>
      </c>
      <c r="B974" t="s">
        <v>1477</v>
      </c>
      <c r="C974" t="s">
        <v>1497</v>
      </c>
      <c r="D974" s="172" t="s">
        <v>1496</v>
      </c>
      <c r="E974" s="154" t="s">
        <v>3</v>
      </c>
    </row>
    <row r="975" spans="1:5" hidden="1">
      <c r="A975">
        <f t="shared" si="15"/>
        <v>973</v>
      </c>
      <c r="B975" t="s">
        <v>1477</v>
      </c>
      <c r="C975" t="s">
        <v>1498</v>
      </c>
      <c r="D975" s="172" t="s">
        <v>1496</v>
      </c>
      <c r="E975" s="154" t="s">
        <v>3</v>
      </c>
    </row>
    <row r="976" spans="1:5" hidden="1">
      <c r="A976">
        <f t="shared" si="15"/>
        <v>974</v>
      </c>
      <c r="B976" t="s">
        <v>1477</v>
      </c>
      <c r="C976" t="s">
        <v>1499</v>
      </c>
      <c r="D976" s="172" t="s">
        <v>1500</v>
      </c>
      <c r="E976" s="154" t="s">
        <v>3</v>
      </c>
    </row>
    <row r="977" spans="1:5" hidden="1">
      <c r="A977">
        <f>IF(B977="","",A976+1)</f>
        <v>975</v>
      </c>
      <c r="B977" t="s">
        <v>1477</v>
      </c>
      <c r="C977" s="215" t="s">
        <v>1501</v>
      </c>
      <c r="D977" s="172" t="s">
        <v>1500</v>
      </c>
      <c r="E977" s="154" t="s">
        <v>3</v>
      </c>
    </row>
    <row r="978" spans="1:5">
      <c r="A978" t="str">
        <f>IF(B978="","",A977+1)</f>
        <v/>
      </c>
    </row>
    <row r="979" spans="1:5">
      <c r="A979" t="str">
        <f t="shared" ref="A979:A1042" si="16">IF(B979="","",A978+1)</f>
        <v/>
      </c>
    </row>
    <row r="980" spans="1:5">
      <c r="A980" t="str">
        <f t="shared" si="16"/>
        <v/>
      </c>
    </row>
    <row r="981" spans="1:5">
      <c r="A981" t="str">
        <f t="shared" si="16"/>
        <v/>
      </c>
    </row>
    <row r="982" spans="1:5">
      <c r="A982" t="str">
        <f t="shared" si="16"/>
        <v/>
      </c>
    </row>
    <row r="983" spans="1:5">
      <c r="A983" t="str">
        <f t="shared" si="16"/>
        <v/>
      </c>
    </row>
    <row r="984" spans="1:5">
      <c r="A984" t="str">
        <f t="shared" si="16"/>
        <v/>
      </c>
    </row>
    <row r="985" spans="1:5">
      <c r="A985" t="str">
        <f t="shared" si="16"/>
        <v/>
      </c>
    </row>
    <row r="986" spans="1:5">
      <c r="A986" t="str">
        <f t="shared" si="16"/>
        <v/>
      </c>
    </row>
    <row r="987" spans="1:5">
      <c r="A987" t="str">
        <f t="shared" si="16"/>
        <v/>
      </c>
    </row>
    <row r="988" spans="1:5">
      <c r="A988" t="str">
        <f t="shared" si="16"/>
        <v/>
      </c>
    </row>
    <row r="989" spans="1:5">
      <c r="A989" t="str">
        <f t="shared" si="16"/>
        <v/>
      </c>
    </row>
    <row r="990" spans="1:5">
      <c r="A990" t="str">
        <f t="shared" si="16"/>
        <v/>
      </c>
    </row>
    <row r="991" spans="1:5">
      <c r="A991" t="str">
        <f t="shared" si="16"/>
        <v/>
      </c>
    </row>
    <row r="992" spans="1:5">
      <c r="A992" t="str">
        <f t="shared" si="16"/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si="16"/>
        <v/>
      </c>
    </row>
    <row r="1032" spans="1:1">
      <c r="A1032" t="str">
        <f t="shared" si="16"/>
        <v/>
      </c>
    </row>
    <row r="1033" spans="1:1">
      <c r="A1033" t="str">
        <f t="shared" si="16"/>
        <v/>
      </c>
    </row>
    <row r="1034" spans="1:1">
      <c r="A1034" t="str">
        <f t="shared" si="16"/>
        <v/>
      </c>
    </row>
    <row r="1035" spans="1:1">
      <c r="A1035" t="str">
        <f t="shared" si="16"/>
        <v/>
      </c>
    </row>
    <row r="1036" spans="1:1">
      <c r="A1036" t="str">
        <f t="shared" si="16"/>
        <v/>
      </c>
    </row>
    <row r="1037" spans="1:1">
      <c r="A1037" t="str">
        <f t="shared" si="16"/>
        <v/>
      </c>
    </row>
    <row r="1038" spans="1:1">
      <c r="A1038" t="str">
        <f t="shared" si="16"/>
        <v/>
      </c>
    </row>
    <row r="1039" spans="1:1">
      <c r="A1039" t="str">
        <f t="shared" si="16"/>
        <v/>
      </c>
    </row>
    <row r="1040" spans="1:1">
      <c r="A1040" t="str">
        <f t="shared" si="16"/>
        <v/>
      </c>
    </row>
    <row r="1041" spans="1:1">
      <c r="A1041" t="str">
        <f t="shared" si="16"/>
        <v/>
      </c>
    </row>
    <row r="1042" spans="1:1">
      <c r="A1042" t="str">
        <f t="shared" si="16"/>
        <v/>
      </c>
    </row>
    <row r="1043" spans="1:1">
      <c r="A1043" t="str">
        <f t="shared" ref="A1043:A1075" si="17">IF(B1043="","",A1042+1)</f>
        <v/>
      </c>
    </row>
    <row r="1044" spans="1:1">
      <c r="A1044" t="str">
        <f t="shared" si="17"/>
        <v/>
      </c>
    </row>
    <row r="1045" spans="1:1">
      <c r="A1045" t="str">
        <f t="shared" si="17"/>
        <v/>
      </c>
    </row>
    <row r="1046" spans="1:1">
      <c r="A1046" t="str">
        <f t="shared" si="17"/>
        <v/>
      </c>
    </row>
    <row r="1047" spans="1:1">
      <c r="A1047" t="str">
        <f t="shared" si="17"/>
        <v/>
      </c>
    </row>
    <row r="1048" spans="1:1">
      <c r="A1048" t="str">
        <f t="shared" si="17"/>
        <v/>
      </c>
    </row>
    <row r="1049" spans="1:1">
      <c r="A1049" t="str">
        <f t="shared" si="17"/>
        <v/>
      </c>
    </row>
    <row r="1050" spans="1:1">
      <c r="A1050" t="str">
        <f t="shared" si="17"/>
        <v/>
      </c>
    </row>
    <row r="1051" spans="1:1">
      <c r="A1051" t="str">
        <f t="shared" si="17"/>
        <v/>
      </c>
    </row>
    <row r="1052" spans="1:1">
      <c r="A1052" t="str">
        <f t="shared" si="17"/>
        <v/>
      </c>
    </row>
    <row r="1053" spans="1:1">
      <c r="A1053" t="str">
        <f t="shared" si="17"/>
        <v/>
      </c>
    </row>
    <row r="1054" spans="1:1">
      <c r="A1054" t="str">
        <f t="shared" si="17"/>
        <v/>
      </c>
    </row>
    <row r="1055" spans="1:1">
      <c r="A1055" t="str">
        <f t="shared" si="17"/>
        <v/>
      </c>
    </row>
    <row r="1056" spans="1:1">
      <c r="A1056" t="str">
        <f t="shared" si="17"/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si="17"/>
        <v/>
      </c>
    </row>
  </sheetData>
  <dataConsolidate link="1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0ECC-D298-4DC4-8748-C64FE4C6CD14}">
  <sheetPr codeName="Sheet11">
    <tabColor theme="4" tint="0.59999389629810485"/>
  </sheetPr>
  <dimension ref="A1:K61"/>
  <sheetViews>
    <sheetView showGridLines="0" showRowColHeaders="0" topLeftCell="D1" workbookViewId="0">
      <pane ySplit="6" topLeftCell="A7" activePane="bottomLeft" state="frozen"/>
      <selection activeCell="B1" sqref="B1:J1"/>
      <selection pane="bottomLeft"/>
    </sheetView>
  </sheetViews>
  <sheetFormatPr defaultRowHeight="14.4"/>
  <cols>
    <col min="1" max="1" width="30.88671875" style="110" bestFit="1" customWidth="1"/>
    <col min="2" max="2" width="16.77734375" style="108" customWidth="1"/>
    <col min="3" max="3" width="16.77734375" customWidth="1"/>
    <col min="4" max="4" width="11.6640625" style="106" customWidth="1"/>
    <col min="5" max="6" width="16.77734375" customWidth="1"/>
    <col min="7" max="7" width="11.6640625" style="106" customWidth="1"/>
    <col min="8" max="8" width="16.77734375" customWidth="1"/>
    <col min="9" max="9" width="11.6640625" style="106" customWidth="1"/>
    <col min="10" max="10" width="2.77734375" style="106" customWidth="1"/>
  </cols>
  <sheetData>
    <row r="1" spans="1:11" ht="15.6">
      <c r="A1" s="1" t="str" cm="1">
        <f t="array" ref="A1">IdentifyQuarter('Create Report'!E4,'Create Report'!E5)</f>
        <v>30-Jun-20</v>
      </c>
      <c r="B1" s="242" t="str" cm="1">
        <f t="array" ref="B1">CCName('Create Report'!E3)</f>
        <v>University Memorial Center</v>
      </c>
      <c r="C1" s="242"/>
      <c r="D1" s="242"/>
      <c r="E1" s="242"/>
      <c r="F1" s="242"/>
      <c r="G1" s="242"/>
      <c r="H1" s="242"/>
      <c r="I1" s="242"/>
      <c r="J1" s="242"/>
    </row>
    <row r="2" spans="1:11" ht="15.6">
      <c r="A2"/>
      <c r="B2" s="243" t="s">
        <v>104</v>
      </c>
      <c r="C2" s="243"/>
      <c r="D2" s="243"/>
      <c r="E2" s="243"/>
      <c r="F2" s="243"/>
      <c r="G2" s="243"/>
      <c r="H2" s="243"/>
      <c r="I2" s="243"/>
      <c r="J2" s="243"/>
    </row>
    <row r="3" spans="1:11">
      <c r="A3"/>
      <c r="B3" s="2" t="s">
        <v>105</v>
      </c>
      <c r="C3" s="2" t="s">
        <v>106</v>
      </c>
      <c r="D3" s="3" t="s">
        <v>107</v>
      </c>
      <c r="E3" s="2" t="s">
        <v>108</v>
      </c>
      <c r="F3" s="2" t="s">
        <v>109</v>
      </c>
      <c r="G3" s="3" t="s">
        <v>110</v>
      </c>
      <c r="H3" s="2" t="s">
        <v>111</v>
      </c>
      <c r="I3" s="3" t="s">
        <v>112</v>
      </c>
      <c r="J3" s="244" t="s">
        <v>113</v>
      </c>
      <c r="K3" s="4"/>
    </row>
    <row r="4" spans="1:11">
      <c r="A4" s="5"/>
      <c r="B4" s="6"/>
      <c r="C4" s="6" t="s">
        <v>114</v>
      </c>
      <c r="D4" s="7"/>
      <c r="E4" s="6"/>
      <c r="F4" s="6" t="s">
        <v>115</v>
      </c>
      <c r="G4" s="7" t="s">
        <v>115</v>
      </c>
      <c r="H4" s="6" t="s">
        <v>116</v>
      </c>
      <c r="I4" s="7" t="s">
        <v>117</v>
      </c>
      <c r="J4" s="245"/>
      <c r="K4" s="4"/>
    </row>
    <row r="5" spans="1:11">
      <c r="A5" s="8"/>
      <c r="B5" s="6" t="s">
        <v>118</v>
      </c>
      <c r="C5" s="6" t="s">
        <v>119</v>
      </c>
      <c r="D5" s="7" t="s">
        <v>120</v>
      </c>
      <c r="E5" s="6" t="s">
        <v>121</v>
      </c>
      <c r="F5" s="6" t="s">
        <v>122</v>
      </c>
      <c r="G5" s="7" t="s">
        <v>123</v>
      </c>
      <c r="H5" s="6" t="s">
        <v>121</v>
      </c>
      <c r="I5" s="7" t="s">
        <v>123</v>
      </c>
      <c r="J5" s="245"/>
      <c r="K5" s="4"/>
    </row>
    <row r="6" spans="1:11">
      <c r="A6" s="9"/>
      <c r="B6" s="10"/>
      <c r="C6" s="10" t="s">
        <v>124</v>
      </c>
      <c r="D6" s="11" t="s">
        <v>125</v>
      </c>
      <c r="E6" s="12"/>
      <c r="F6" s="12" t="s">
        <v>126</v>
      </c>
      <c r="G6" s="11" t="s">
        <v>127</v>
      </c>
      <c r="H6" s="12"/>
      <c r="I6" s="11" t="s">
        <v>128</v>
      </c>
      <c r="J6" s="246"/>
      <c r="K6" s="4"/>
    </row>
    <row r="7" spans="1:11">
      <c r="A7" s="13" t="s">
        <v>129</v>
      </c>
      <c r="B7" s="14"/>
      <c r="C7" s="15"/>
      <c r="D7" s="3"/>
      <c r="E7" s="16"/>
      <c r="F7" s="16"/>
      <c r="G7" s="3"/>
      <c r="H7" s="16"/>
      <c r="I7" s="3"/>
      <c r="J7" s="17"/>
      <c r="K7" s="4"/>
    </row>
    <row r="8" spans="1:11">
      <c r="A8" s="18" t="s">
        <v>130</v>
      </c>
      <c r="B8" s="19">
        <v>0</v>
      </c>
      <c r="C8" s="19">
        <v>0</v>
      </c>
      <c r="D8" s="20" t="str" cm="1">
        <f t="array" ref="D8">SeasonalBudPct(B8,C8)</f>
        <v/>
      </c>
      <c r="E8" s="19">
        <v>0</v>
      </c>
      <c r="F8" s="19" t="str" cm="1">
        <f t="array" ref="F8">BudgetDolVariance(C8,E8)</f>
        <v/>
      </c>
      <c r="G8" s="20" t="str" cm="1">
        <f t="array" ref="G8">BudgetPctVariance(C8,E8)</f>
        <v/>
      </c>
      <c r="H8" s="19">
        <v>0</v>
      </c>
      <c r="I8" s="21" t="str" cm="1">
        <f t="array" ref="I8">BudgetPctVariance(H8,E8)</f>
        <v/>
      </c>
      <c r="J8" s="22"/>
      <c r="K8" s="4"/>
    </row>
    <row r="9" spans="1:11">
      <c r="A9" s="23" t="s">
        <v>131</v>
      </c>
      <c r="B9" s="24">
        <v>0</v>
      </c>
      <c r="C9" s="25">
        <v>0</v>
      </c>
      <c r="D9" s="26" t="str" cm="1">
        <f t="array" ref="D9">SeasonalBudPct(B9,C9)</f>
        <v/>
      </c>
      <c r="E9" s="24">
        <v>0</v>
      </c>
      <c r="F9" s="24" t="str" cm="1">
        <f t="array" ref="F9">BudgetDolVariance(C9,E9)</f>
        <v/>
      </c>
      <c r="G9" s="26" t="str" cm="1">
        <f t="array" ref="G9">BudgetPctVariance(C9,E9)</f>
        <v/>
      </c>
      <c r="H9" s="24">
        <v>0</v>
      </c>
      <c r="I9" s="27" t="str" cm="1">
        <f t="array" ref="I9">BudgetPctVariance(H9,E9)</f>
        <v/>
      </c>
      <c r="J9" s="28"/>
      <c r="K9" s="4"/>
    </row>
    <row r="10" spans="1:11">
      <c r="A10" s="23" t="s">
        <v>132</v>
      </c>
      <c r="B10" s="24">
        <v>0</v>
      </c>
      <c r="C10" s="25">
        <v>0</v>
      </c>
      <c r="D10" s="26" t="str" cm="1">
        <f t="array" ref="D10">SeasonalBudPct(B10,C10)</f>
        <v/>
      </c>
      <c r="E10" s="24">
        <v>0</v>
      </c>
      <c r="F10" s="24" t="str" cm="1">
        <f t="array" ref="F10">BudgetDolVariance(C10,E10)</f>
        <v/>
      </c>
      <c r="G10" s="26" t="str" cm="1">
        <f t="array" ref="G10">BudgetPctVariance(C10,E10)</f>
        <v/>
      </c>
      <c r="H10" s="24">
        <v>0</v>
      </c>
      <c r="I10" s="27" t="str" cm="1">
        <f t="array" ref="I10">BudgetPctVariance(H10,E10)</f>
        <v/>
      </c>
      <c r="J10" s="28"/>
      <c r="K10" s="4"/>
    </row>
    <row r="11" spans="1:11" ht="15.6">
      <c r="A11" s="29" t="s">
        <v>133</v>
      </c>
      <c r="B11" s="30">
        <v>0</v>
      </c>
      <c r="C11" s="31">
        <v>0</v>
      </c>
      <c r="D11" s="32" t="str" cm="1">
        <f t="array" ref="D11">SeasonalBudPct(B11,C11)</f>
        <v/>
      </c>
      <c r="E11" s="30">
        <v>0</v>
      </c>
      <c r="F11" s="30" t="str" cm="1">
        <f t="array" ref="F11">BudgetDolVariance(C11,E11)</f>
        <v/>
      </c>
      <c r="G11" s="32" t="str" cm="1">
        <f t="array" ref="G11">BudgetPctVariance(C11,E11)</f>
        <v/>
      </c>
      <c r="H11" s="30">
        <v>0</v>
      </c>
      <c r="I11" s="33" t="str" cm="1">
        <f t="array" ref="I11">BudgetPctVariance(H11,E11)</f>
        <v/>
      </c>
      <c r="J11" s="34"/>
      <c r="K11" s="35"/>
    </row>
    <row r="12" spans="1:11" ht="16.2" thickBot="1">
      <c r="A12" s="36" t="s">
        <v>134</v>
      </c>
      <c r="B12" s="37">
        <f>SUM(B8:B11)</f>
        <v>0</v>
      </c>
      <c r="C12" s="37">
        <f>SUM(C8:C11)</f>
        <v>0</v>
      </c>
      <c r="D12" s="38" t="str" cm="1">
        <f t="array" ref="D12">SeasonalBudPct(B12,C12)</f>
        <v/>
      </c>
      <c r="E12" s="37">
        <f>SUM(E8:E11)</f>
        <v>0</v>
      </c>
      <c r="F12" s="37" t="str" cm="1">
        <f t="array" ref="F12">BudgetDolVariance(C12,E12)</f>
        <v/>
      </c>
      <c r="G12" s="38" t="str" cm="1">
        <f t="array" ref="G12">BudgetPctVariance(C12,E12)</f>
        <v/>
      </c>
      <c r="H12" s="37">
        <f>SUM(H8:H11)</f>
        <v>0</v>
      </c>
      <c r="I12" s="39" t="str" cm="1">
        <f t="array" ref="I12">BudgetPctVariance(H12,E12)</f>
        <v/>
      </c>
      <c r="J12" s="40"/>
    </row>
    <row r="13" spans="1:11" ht="15" thickTop="1">
      <c r="A13" s="41"/>
      <c r="B13" s="42"/>
      <c r="C13" s="43"/>
      <c r="D13" s="44"/>
      <c r="E13" s="42"/>
      <c r="F13" s="43"/>
      <c r="G13" s="44"/>
      <c r="H13" s="43"/>
      <c r="I13" s="45"/>
      <c r="J13" s="46"/>
      <c r="K13" s="47"/>
    </row>
    <row r="14" spans="1:11">
      <c r="A14" s="13" t="s">
        <v>135</v>
      </c>
      <c r="B14" s="48"/>
      <c r="C14" s="49"/>
      <c r="D14" s="50"/>
      <c r="E14" s="48"/>
      <c r="F14" s="49"/>
      <c r="G14" s="50"/>
      <c r="H14" s="49"/>
      <c r="I14" s="51"/>
      <c r="J14" s="52"/>
      <c r="K14" s="47"/>
    </row>
    <row r="15" spans="1:11">
      <c r="A15" s="18" t="s">
        <v>136</v>
      </c>
      <c r="B15" s="19">
        <v>0</v>
      </c>
      <c r="C15" s="19">
        <v>0</v>
      </c>
      <c r="D15" s="20" t="str" cm="1">
        <f t="array" ref="D15">SeasonalBudPct(B15,C15)</f>
        <v/>
      </c>
      <c r="E15" s="19">
        <v>0</v>
      </c>
      <c r="F15" s="19" t="str" cm="1">
        <f t="array" ref="F15">BudgetDolVariance(C15,E15)</f>
        <v/>
      </c>
      <c r="G15" s="20" t="str" cm="1">
        <f t="array" ref="G15">BudgetPctVariance(C15,E15)</f>
        <v/>
      </c>
      <c r="H15" s="19">
        <v>0</v>
      </c>
      <c r="I15" s="21" t="str" cm="1">
        <f t="array" ref="I15">BudgetPctVariance(H15,E15)</f>
        <v/>
      </c>
      <c r="J15" s="53"/>
      <c r="K15" s="54"/>
    </row>
    <row r="16" spans="1:11">
      <c r="A16" s="23" t="s">
        <v>137</v>
      </c>
      <c r="B16" s="24">
        <v>0</v>
      </c>
      <c r="C16" s="24">
        <v>0</v>
      </c>
      <c r="D16" s="26" t="str" cm="1">
        <f t="array" ref="D16">SeasonalBudPct(B16,C16)</f>
        <v/>
      </c>
      <c r="E16" s="24">
        <v>0</v>
      </c>
      <c r="F16" s="24" t="str" cm="1">
        <f t="array" ref="F16">BudgetDolVariance(C16,E16)</f>
        <v/>
      </c>
      <c r="G16" s="26" t="str" cm="1">
        <f t="array" ref="G16">BudgetPctVariance(C16,E16)</f>
        <v/>
      </c>
      <c r="H16" s="24">
        <v>0</v>
      </c>
      <c r="I16" s="27" t="str" cm="1">
        <f t="array" ref="I16">BudgetPctVariance(H16,E16)</f>
        <v/>
      </c>
      <c r="J16" s="28"/>
      <c r="K16" s="54"/>
    </row>
    <row r="17" spans="1:11">
      <c r="A17" s="55" t="s">
        <v>138</v>
      </c>
      <c r="B17" s="56">
        <v>0</v>
      </c>
      <c r="C17" s="57">
        <v>0</v>
      </c>
      <c r="D17" s="58" t="str" cm="1">
        <f t="array" ref="D17">SeasonalBudPct(B17,C17)</f>
        <v/>
      </c>
      <c r="E17" s="56">
        <v>0</v>
      </c>
      <c r="F17" s="57" t="str" cm="1">
        <f t="array" ref="F17">BudgetDolVariance(C17,E17)</f>
        <v/>
      </c>
      <c r="G17" s="58" t="str" cm="1">
        <f t="array" ref="G17">BudgetPctVariance(C17,E17)</f>
        <v/>
      </c>
      <c r="H17" s="57">
        <v>0</v>
      </c>
      <c r="I17" s="59" t="str" cm="1">
        <f t="array" ref="I17">BudgetPctVariance(H17,E17)</f>
        <v/>
      </c>
      <c r="J17" s="60"/>
      <c r="K17" s="54"/>
    </row>
    <row r="18" spans="1:11">
      <c r="A18" s="23" t="s">
        <v>139</v>
      </c>
      <c r="B18" s="24">
        <v>0</v>
      </c>
      <c r="C18" s="24">
        <v>0</v>
      </c>
      <c r="D18" s="61" t="str" cm="1">
        <f t="array" ref="D18">SeasonalBudPct(B18,C18)</f>
        <v/>
      </c>
      <c r="E18" s="24">
        <v>0</v>
      </c>
      <c r="F18" s="24" t="str" cm="1">
        <f t="array" ref="F18">BudgetDolVariance(C18,E18)</f>
        <v/>
      </c>
      <c r="G18" s="26" t="str" cm="1">
        <f t="array" ref="G18">BudgetPctVariance(C18,E18)</f>
        <v/>
      </c>
      <c r="H18" s="24">
        <v>0</v>
      </c>
      <c r="I18" s="27" t="str" cm="1">
        <f t="array" ref="I18">BudgetPctVariance(H18,E18)</f>
        <v/>
      </c>
      <c r="J18" s="28"/>
      <c r="K18" s="54"/>
    </row>
    <row r="19" spans="1:11">
      <c r="A19" s="23" t="s">
        <v>140</v>
      </c>
      <c r="B19" s="24">
        <v>0</v>
      </c>
      <c r="C19" s="24">
        <v>0</v>
      </c>
      <c r="D19" s="26" t="str" cm="1">
        <f t="array" ref="D19">SeasonalBudPct(B19,C19)</f>
        <v/>
      </c>
      <c r="E19" s="24">
        <v>0</v>
      </c>
      <c r="F19" s="24" t="str" cm="1">
        <f t="array" ref="F19">BudgetDolVariance(C19,E19)</f>
        <v/>
      </c>
      <c r="G19" s="26" t="str" cm="1">
        <f t="array" ref="G19">BudgetPctVariance(C19,E19)</f>
        <v/>
      </c>
      <c r="H19" s="24">
        <v>0</v>
      </c>
      <c r="I19" s="27" t="str" cm="1">
        <f t="array" ref="I19">BudgetPctVariance(H19,E19)</f>
        <v/>
      </c>
      <c r="J19" s="28"/>
      <c r="K19" s="54"/>
    </row>
    <row r="20" spans="1:11">
      <c r="A20" s="29" t="s">
        <v>141</v>
      </c>
      <c r="B20" s="30">
        <v>0</v>
      </c>
      <c r="C20" s="30">
        <v>0</v>
      </c>
      <c r="D20" s="32" t="str" cm="1">
        <f t="array" ref="D20">SeasonalBudPct(B20,C20)</f>
        <v/>
      </c>
      <c r="E20" s="30">
        <v>0</v>
      </c>
      <c r="F20" s="30" t="str" cm="1">
        <f t="array" ref="F20">BudgetDolVariance(C20,E20)</f>
        <v/>
      </c>
      <c r="G20" s="32" t="str" cm="1">
        <f t="array" ref="G20">BudgetPctVariance(C20,E20)</f>
        <v/>
      </c>
      <c r="H20" s="30">
        <v>0</v>
      </c>
      <c r="I20" s="33" t="str" cm="1">
        <f t="array" ref="I20">BudgetPctVariance(H20,E20)</f>
        <v/>
      </c>
      <c r="J20" s="34"/>
      <c r="K20" s="54"/>
    </row>
    <row r="21" spans="1:11">
      <c r="A21" s="62" t="s">
        <v>142</v>
      </c>
      <c r="B21" s="63">
        <f>SUM(B15:B20)</f>
        <v>0</v>
      </c>
      <c r="C21" s="64">
        <f>SUM(C15:C20)</f>
        <v>0</v>
      </c>
      <c r="D21" s="65" t="str" cm="1">
        <f t="array" ref="D21">SeasonalBudPct(B21,C21)</f>
        <v/>
      </c>
      <c r="E21" s="63">
        <f>SUM(E15:E20)</f>
        <v>0</v>
      </c>
      <c r="F21" s="63" t="str" cm="1">
        <f t="array" ref="F21">BudgetDolVariance(C21,E21)</f>
        <v/>
      </c>
      <c r="G21" s="65" t="str" cm="1">
        <f t="array" ref="G21">BudgetPctVariance(C21,E21)</f>
        <v/>
      </c>
      <c r="H21" s="63">
        <f>SUM(H15:H20)</f>
        <v>0</v>
      </c>
      <c r="I21" s="66" t="str" cm="1">
        <f t="array" ref="I21">BudgetPctVariance(H21,E21)</f>
        <v/>
      </c>
      <c r="J21" s="67"/>
      <c r="K21" s="47"/>
    </row>
    <row r="22" spans="1:11">
      <c r="A22" s="68" t="s">
        <v>143</v>
      </c>
      <c r="B22" s="69"/>
      <c r="C22" s="69"/>
      <c r="D22" s="70"/>
      <c r="E22" s="69"/>
      <c r="F22" s="69"/>
      <c r="G22" s="70"/>
      <c r="H22" s="69"/>
      <c r="I22" s="71"/>
      <c r="J22" s="72"/>
      <c r="K22" s="47"/>
    </row>
    <row r="23" spans="1:11">
      <c r="A23" s="73" t="s">
        <v>144</v>
      </c>
      <c r="B23" s="74">
        <v>0</v>
      </c>
      <c r="C23" s="74">
        <v>0</v>
      </c>
      <c r="D23" s="75" t="str" cm="1">
        <f t="array" ref="D23">SeasonalBudPct($B$23,C23)</f>
        <v/>
      </c>
      <c r="E23" s="74">
        <v>0</v>
      </c>
      <c r="F23" s="74" t="str" cm="1">
        <f t="array" ref="F23">BudgetDolVariance(C23,E23)</f>
        <v/>
      </c>
      <c r="G23" s="75" t="str" cm="1">
        <f t="array" ref="G23">BudgetPctVariance(C23,E23)</f>
        <v/>
      </c>
      <c r="H23" s="74">
        <v>0</v>
      </c>
      <c r="I23" s="76" t="str" cm="1">
        <f t="array" ref="I23">BudgetPctVariance(H23,E23)</f>
        <v/>
      </c>
      <c r="J23" s="77"/>
      <c r="K23" s="54"/>
    </row>
    <row r="24" spans="1:11">
      <c r="A24" s="23" t="s">
        <v>145</v>
      </c>
      <c r="B24" s="24">
        <v>0</v>
      </c>
      <c r="C24" s="24">
        <v>0</v>
      </c>
      <c r="D24" s="26" t="str" cm="1">
        <f t="array" ref="D24">SeasonalBudPct($B$24,C24)</f>
        <v/>
      </c>
      <c r="E24" s="24">
        <v>0</v>
      </c>
      <c r="F24" s="24" t="str" cm="1">
        <f t="array" ref="F24">BudgetDolVariance(C24,E24)</f>
        <v/>
      </c>
      <c r="G24" s="26" t="str" cm="1">
        <f t="array" ref="G24">BudgetPctVariance(C24,E24)</f>
        <v/>
      </c>
      <c r="H24" s="24">
        <v>0</v>
      </c>
      <c r="I24" s="27" t="str" cm="1">
        <f t="array" ref="I24">BudgetPctVariance(H24,E24)</f>
        <v/>
      </c>
      <c r="J24" s="28"/>
      <c r="K24" s="54"/>
    </row>
    <row r="25" spans="1:11">
      <c r="A25" s="23" t="s">
        <v>146</v>
      </c>
      <c r="B25" s="24">
        <v>0</v>
      </c>
      <c r="C25" s="24">
        <v>0</v>
      </c>
      <c r="D25" s="26" t="str" cm="1">
        <f t="array" ref="D25">SeasonalBudPct($B$23,C25)</f>
        <v/>
      </c>
      <c r="E25" s="24">
        <v>0</v>
      </c>
      <c r="F25" s="24" t="str" cm="1">
        <f t="array" ref="F25">BudgetDolVariance(C25,E25)</f>
        <v/>
      </c>
      <c r="G25" s="26" t="str" cm="1">
        <f t="array" ref="G25">BudgetPctVariance(C25,E25)</f>
        <v/>
      </c>
      <c r="H25" s="24">
        <v>0</v>
      </c>
      <c r="I25" s="27" t="str" cm="1">
        <f t="array" ref="I25">BudgetPctVariance(H25,E25)</f>
        <v/>
      </c>
      <c r="J25" s="28"/>
      <c r="K25" s="54"/>
    </row>
    <row r="26" spans="1:11">
      <c r="A26" s="23" t="s">
        <v>147</v>
      </c>
      <c r="B26" s="24">
        <v>0</v>
      </c>
      <c r="C26" s="24">
        <v>0</v>
      </c>
      <c r="D26" s="26" t="str" cm="1">
        <f t="array" ref="D26">SeasonalBudPct($B$23,C26)</f>
        <v/>
      </c>
      <c r="E26" s="24">
        <v>0</v>
      </c>
      <c r="F26" s="24" t="str" cm="1">
        <f t="array" ref="F26">BudgetDolVariance(C26,E26)</f>
        <v/>
      </c>
      <c r="G26" s="26" t="str" cm="1">
        <f t="array" ref="G26">BudgetPctVariance(C26,E26)</f>
        <v/>
      </c>
      <c r="H26" s="24">
        <v>0</v>
      </c>
      <c r="I26" s="27" t="str" cm="1">
        <f t="array" ref="I26">BudgetPctVariance(H26,E26)</f>
        <v/>
      </c>
      <c r="J26" s="28"/>
      <c r="K26" s="54"/>
    </row>
    <row r="27" spans="1:11">
      <c r="A27" s="23" t="s">
        <v>148</v>
      </c>
      <c r="B27" s="24">
        <v>0</v>
      </c>
      <c r="C27" s="24">
        <v>0</v>
      </c>
      <c r="D27" s="26" t="str" cm="1">
        <f t="array" ref="D27">SeasonalBudPct($B$23,C27)</f>
        <v/>
      </c>
      <c r="E27" s="24">
        <v>0</v>
      </c>
      <c r="F27" s="24" t="str" cm="1">
        <f t="array" ref="F27">BudgetDolVariance(C27,E27)</f>
        <v/>
      </c>
      <c r="G27" s="26" t="str" cm="1">
        <f t="array" ref="G27">BudgetPctVariance(C27,E27)</f>
        <v/>
      </c>
      <c r="H27" s="24">
        <v>0</v>
      </c>
      <c r="I27" s="27" t="str" cm="1">
        <f t="array" ref="I27">BudgetPctVariance(H27,E27)</f>
        <v/>
      </c>
      <c r="J27" s="28"/>
      <c r="K27" s="54"/>
    </row>
    <row r="28" spans="1:11">
      <c r="A28" s="23" t="s">
        <v>149</v>
      </c>
      <c r="B28" s="24">
        <v>0</v>
      </c>
      <c r="C28" s="24">
        <v>0</v>
      </c>
      <c r="D28" s="26" t="str" cm="1">
        <f t="array" ref="D28">SeasonalBudPct($B$23,C28)</f>
        <v/>
      </c>
      <c r="E28" s="24">
        <v>0</v>
      </c>
      <c r="F28" s="24" t="str" cm="1">
        <f t="array" ref="F28">BudgetDolVariance(C28,E28)</f>
        <v/>
      </c>
      <c r="G28" s="26" t="str" cm="1">
        <f t="array" ref="G28">BudgetPctVariance(C28,E28)</f>
        <v/>
      </c>
      <c r="H28" s="24">
        <v>0</v>
      </c>
      <c r="I28" s="27" t="str" cm="1">
        <f t="array" ref="I28">BudgetPctVariance(H28,E28)</f>
        <v/>
      </c>
      <c r="J28" s="28"/>
      <c r="K28" s="54"/>
    </row>
    <row r="29" spans="1:11">
      <c r="A29" s="29" t="s">
        <v>150</v>
      </c>
      <c r="B29" s="30">
        <v>0</v>
      </c>
      <c r="C29" s="30">
        <v>0</v>
      </c>
      <c r="D29" s="32" t="str" cm="1">
        <f t="array" ref="D29">SeasonalBudPct($B$23,C29)</f>
        <v/>
      </c>
      <c r="E29" s="30">
        <v>0</v>
      </c>
      <c r="F29" s="30" t="str" cm="1">
        <f t="array" ref="F29">BudgetDolVariance(C29,E29)</f>
        <v/>
      </c>
      <c r="G29" s="32" t="str" cm="1">
        <f t="array" ref="G29">BudgetPctVariance(C29,E29)</f>
        <v/>
      </c>
      <c r="H29" s="30">
        <v>0</v>
      </c>
      <c r="I29" s="33" t="str" cm="1">
        <f t="array" ref="I29">BudgetPctVariance(H29,E29)</f>
        <v/>
      </c>
      <c r="J29" s="34"/>
      <c r="K29" s="54"/>
    </row>
    <row r="30" spans="1:11">
      <c r="A30" s="62" t="s">
        <v>151</v>
      </c>
      <c r="B30" s="63">
        <f>SUM(B23:B29)</f>
        <v>0</v>
      </c>
      <c r="C30" s="64">
        <f>SUM(C23:C29)</f>
        <v>0</v>
      </c>
      <c r="D30" s="65" t="str" cm="1">
        <f t="array" ref="D30">SeasonalBudPct(B30,C30)</f>
        <v/>
      </c>
      <c r="E30" s="78">
        <f>SUM(E23:E29)</f>
        <v>0</v>
      </c>
      <c r="F30" s="63" t="str" cm="1">
        <f t="array" ref="F30">BudgetDolVariance(C30,E30)</f>
        <v/>
      </c>
      <c r="G30" s="65" t="str" cm="1">
        <f t="array" ref="G30">BudgetPctVariance(C30,E30)</f>
        <v/>
      </c>
      <c r="H30" s="63">
        <f>SUM(H23:H29)</f>
        <v>0</v>
      </c>
      <c r="I30" s="66" t="str" cm="1">
        <f t="array" ref="I30">BudgetPctVariance(H30,E30)</f>
        <v/>
      </c>
      <c r="J30" s="79"/>
      <c r="K30" s="47"/>
    </row>
    <row r="31" spans="1:11">
      <c r="A31" s="68" t="s">
        <v>152</v>
      </c>
      <c r="B31" s="49"/>
      <c r="C31" s="80"/>
      <c r="D31" s="65"/>
      <c r="E31" s="80"/>
      <c r="F31" s="49"/>
      <c r="G31" s="65"/>
      <c r="H31" s="49"/>
      <c r="I31" s="3"/>
      <c r="J31" s="81"/>
      <c r="K31" s="47"/>
    </row>
    <row r="32" spans="1:11">
      <c r="A32" s="18" t="s">
        <v>153</v>
      </c>
      <c r="B32" s="19">
        <v>0</v>
      </c>
      <c r="C32" s="19">
        <v>0</v>
      </c>
      <c r="D32" s="20" t="str" cm="1">
        <f t="array" ref="D32">SeasonalBudPct($B$32,C32)</f>
        <v/>
      </c>
      <c r="E32" s="19">
        <v>0</v>
      </c>
      <c r="F32" s="19" t="str" cm="1">
        <f t="array" ref="F32">BudgetDolVariance(C32,E32)</f>
        <v/>
      </c>
      <c r="G32" s="20" t="str" cm="1">
        <f t="array" ref="G32">BudgetPctVariance(C32,E32)</f>
        <v/>
      </c>
      <c r="H32" s="19">
        <v>0</v>
      </c>
      <c r="I32" s="21" t="str" cm="1">
        <f t="array" ref="I32">BudgetPctVariance(H32,E32)</f>
        <v/>
      </c>
      <c r="J32" s="53"/>
      <c r="K32" s="54"/>
    </row>
    <row r="33" spans="1:11">
      <c r="A33" s="29" t="s">
        <v>154</v>
      </c>
      <c r="B33" s="30">
        <v>0</v>
      </c>
      <c r="C33" s="30">
        <v>0</v>
      </c>
      <c r="D33" s="32" t="str" cm="1">
        <f t="array" ref="D33">SeasonalBudPct($B$32,C33)</f>
        <v/>
      </c>
      <c r="E33" s="30">
        <v>0</v>
      </c>
      <c r="F33" s="30" t="str" cm="1">
        <f t="array" ref="F33">BudgetDolVariance(C33,E33)</f>
        <v/>
      </c>
      <c r="G33" s="32" t="str" cm="1">
        <f t="array" ref="G33">BudgetPctVariance(C33,E33)</f>
        <v/>
      </c>
      <c r="H33" s="30">
        <v>0</v>
      </c>
      <c r="I33" s="33" t="str" cm="1">
        <f t="array" ref="I33">BudgetPctVariance(H33,E33)</f>
        <v/>
      </c>
      <c r="J33" s="34"/>
      <c r="K33" s="54"/>
    </row>
    <row r="34" spans="1:11">
      <c r="A34" s="62" t="s">
        <v>155</v>
      </c>
      <c r="B34" s="63">
        <f>SUM(B32:B33)</f>
        <v>0</v>
      </c>
      <c r="C34" s="64">
        <f>SUM(C32:C33)</f>
        <v>0</v>
      </c>
      <c r="D34" s="65" t="str" cm="1">
        <f t="array" ref="D34">SeasonalBudPct(B34,C34)</f>
        <v/>
      </c>
      <c r="E34" s="63">
        <f>SUM(E32:E33)</f>
        <v>0</v>
      </c>
      <c r="F34" s="63" t="str" cm="1">
        <f t="array" ref="F34">BudgetDolVariance(C34,E34)</f>
        <v/>
      </c>
      <c r="G34" s="65" t="str" cm="1">
        <f t="array" ref="G34">BudgetPctVariance(C34,E34)</f>
        <v/>
      </c>
      <c r="H34" s="63">
        <f>SUM(H32:H33)</f>
        <v>0</v>
      </c>
      <c r="I34" s="66" t="str" cm="1">
        <f t="array" ref="I34">BudgetPctVariance(H34,E34)</f>
        <v/>
      </c>
      <c r="J34" s="79"/>
      <c r="K34" s="47"/>
    </row>
    <row r="35" spans="1:11">
      <c r="A35" s="68" t="s">
        <v>156</v>
      </c>
      <c r="B35" s="80"/>
      <c r="C35" s="49"/>
      <c r="D35" s="82"/>
      <c r="E35" s="80"/>
      <c r="F35" s="49"/>
      <c r="G35" s="82"/>
      <c r="H35" s="80"/>
      <c r="I35" s="83"/>
      <c r="J35" s="81"/>
      <c r="K35" s="47"/>
    </row>
    <row r="36" spans="1:11">
      <c r="A36" s="18" t="s">
        <v>157</v>
      </c>
      <c r="B36" s="19">
        <v>0</v>
      </c>
      <c r="C36" s="19">
        <v>0</v>
      </c>
      <c r="D36" s="20" t="str" cm="1">
        <f t="array" ref="D36">SeasonalBudPct(B36,C36)</f>
        <v/>
      </c>
      <c r="E36" s="19">
        <v>0</v>
      </c>
      <c r="F36" s="19" t="str" cm="1">
        <f t="array" ref="F36">BudgetDolVariance(C36,E36)</f>
        <v/>
      </c>
      <c r="G36" s="20" t="str" cm="1">
        <f t="array" ref="G36">BudgetPctVariance(C36,E36)</f>
        <v/>
      </c>
      <c r="H36" s="19">
        <v>0</v>
      </c>
      <c r="I36" s="84" t="str" cm="1">
        <f t="array" ref="I36">BudgetPctVariance(H36,E36)</f>
        <v/>
      </c>
      <c r="J36" s="53"/>
      <c r="K36" s="54"/>
    </row>
    <row r="37" spans="1:11">
      <c r="A37" s="23" t="s">
        <v>158</v>
      </c>
      <c r="B37" s="24">
        <v>0</v>
      </c>
      <c r="C37" s="24">
        <v>0</v>
      </c>
      <c r="D37" s="26" t="str" cm="1">
        <f t="array" ref="D37">SeasonalBudPct(B37,C37)</f>
        <v/>
      </c>
      <c r="E37" s="24">
        <v>0</v>
      </c>
      <c r="F37" s="24" t="str" cm="1">
        <f t="array" ref="F37">BudgetDolVariance(C37,E37)</f>
        <v/>
      </c>
      <c r="G37" s="26" t="str" cm="1">
        <f t="array" ref="G37">BudgetPctVariance(C37,E37)</f>
        <v/>
      </c>
      <c r="H37" s="24">
        <v>0</v>
      </c>
      <c r="I37" s="85" t="str" cm="1">
        <f t="array" ref="I37">BudgetPctVariance(H37,E37)</f>
        <v/>
      </c>
      <c r="J37" s="28"/>
      <c r="K37" s="54"/>
    </row>
    <row r="38" spans="1:11">
      <c r="A38" s="23" t="s">
        <v>33</v>
      </c>
      <c r="B38" s="24">
        <v>0</v>
      </c>
      <c r="C38" s="24">
        <v>0</v>
      </c>
      <c r="D38" s="26" t="str" cm="1">
        <f t="array" ref="D38">SeasonalBudPct(B38,C38)</f>
        <v/>
      </c>
      <c r="E38" s="24">
        <v>0</v>
      </c>
      <c r="F38" s="24" t="str" cm="1">
        <f t="array" ref="F38">BudgetDolVariance(C38,E38)</f>
        <v/>
      </c>
      <c r="G38" s="26" t="str" cm="1">
        <f t="array" ref="G38">BudgetPctVariance(C38,E38)</f>
        <v/>
      </c>
      <c r="H38" s="24">
        <v>0</v>
      </c>
      <c r="I38" s="85" t="str" cm="1">
        <f t="array" ref="I38">BudgetPctVariance(H38,E38)</f>
        <v/>
      </c>
      <c r="J38" s="28"/>
      <c r="K38" s="54"/>
    </row>
    <row r="39" spans="1:11">
      <c r="A39" s="86" t="s">
        <v>159</v>
      </c>
      <c r="B39" s="57">
        <v>0</v>
      </c>
      <c r="C39" s="57">
        <v>0</v>
      </c>
      <c r="D39" s="87" t="str" cm="1">
        <f t="array" ref="D39">SeasonalBudPct(B39,C39)</f>
        <v/>
      </c>
      <c r="E39" s="57">
        <v>0</v>
      </c>
      <c r="F39" s="57" t="str" cm="1">
        <f t="array" ref="F39">BudgetDolVariance(C39,E39)</f>
        <v/>
      </c>
      <c r="G39" s="87" t="str" cm="1">
        <f t="array" ref="G39">BudgetPctVariance(C39,E39)</f>
        <v/>
      </c>
      <c r="H39" s="57">
        <v>0</v>
      </c>
      <c r="I39" s="88" t="str" cm="1">
        <f t="array" ref="I39">BudgetPctVariance(H39,E39)</f>
        <v/>
      </c>
      <c r="J39" s="60"/>
      <c r="K39" s="54"/>
    </row>
    <row r="40" spans="1:11">
      <c r="A40" s="23" t="s">
        <v>160</v>
      </c>
      <c r="B40" s="24">
        <v>0</v>
      </c>
      <c r="C40" s="24">
        <v>0</v>
      </c>
      <c r="D40" s="26" t="str" cm="1">
        <f t="array" ref="D40">SeasonalBudPct(B40,C40)</f>
        <v/>
      </c>
      <c r="E40" s="24">
        <v>0</v>
      </c>
      <c r="F40" s="24" t="str" cm="1">
        <f t="array" ref="F40">BudgetDolVariance(C40,E40)</f>
        <v/>
      </c>
      <c r="G40" s="26" t="str" cm="1">
        <f t="array" ref="G40">BudgetPctVariance(C40,E40)</f>
        <v/>
      </c>
      <c r="H40" s="24">
        <v>0</v>
      </c>
      <c r="I40" s="85" t="str" cm="1">
        <f t="array" ref="I40">BudgetPctVariance(H40,E40)</f>
        <v/>
      </c>
      <c r="J40" s="28"/>
      <c r="K40" s="54"/>
    </row>
    <row r="41" spans="1:11">
      <c r="A41" s="29" t="s">
        <v>161</v>
      </c>
      <c r="B41" s="30">
        <v>0</v>
      </c>
      <c r="C41" s="30">
        <v>0</v>
      </c>
      <c r="D41" s="32" t="str" cm="1">
        <f t="array" ref="D41">SeasonalBudPct(B41,C41)</f>
        <v/>
      </c>
      <c r="E41" s="30">
        <v>0</v>
      </c>
      <c r="F41" s="30" t="str" cm="1">
        <f t="array" ref="F41">BudgetDolVariance(C41,E41)</f>
        <v/>
      </c>
      <c r="G41" s="32" t="str" cm="1">
        <f t="array" ref="G41">BudgetPctVariance(C41,E41)</f>
        <v/>
      </c>
      <c r="H41" s="30">
        <v>0</v>
      </c>
      <c r="I41" s="89" t="str" cm="1">
        <f t="array" ref="I41">BudgetPctVariance(H41,E41)</f>
        <v/>
      </c>
      <c r="J41" s="34"/>
      <c r="K41" s="47"/>
    </row>
    <row r="42" spans="1:11" ht="15.6">
      <c r="A42" s="90" t="s">
        <v>162</v>
      </c>
      <c r="B42" s="78">
        <f>SUM(B36:B41)</f>
        <v>0</v>
      </c>
      <c r="C42" s="91">
        <f>SUM(C36:C41)</f>
        <v>0</v>
      </c>
      <c r="D42" s="65" t="str" cm="1">
        <f t="array" ref="D42">SeasonalBudPct(B42,C42)</f>
        <v/>
      </c>
      <c r="E42" s="78">
        <f>SUM(E36:E41)</f>
        <v>0</v>
      </c>
      <c r="F42" s="63" t="str" cm="1">
        <f t="array" ref="F42">BudgetDolVariance(C42,E42)</f>
        <v/>
      </c>
      <c r="G42" s="92" t="str" cm="1">
        <f t="array" ref="G42">BudgetPctVariance(C42,E42)</f>
        <v/>
      </c>
      <c r="H42" s="49">
        <f>SUM(H36:H41)</f>
        <v>0</v>
      </c>
      <c r="I42" s="66" t="str" cm="1">
        <f t="array" ref="I42">BudgetPctVariance(H42,E42)</f>
        <v/>
      </c>
      <c r="J42" s="79"/>
      <c r="K42" s="93"/>
    </row>
    <row r="43" spans="1:11" ht="16.2" thickBot="1">
      <c r="A43" s="36" t="s">
        <v>163</v>
      </c>
      <c r="B43" s="37">
        <f>SUM(B21,B30,B34,B42)</f>
        <v>0</v>
      </c>
      <c r="C43" s="37">
        <f>SUM(C21,C30,C34,C42)</f>
        <v>0</v>
      </c>
      <c r="D43" s="38" t="str" cm="1">
        <f t="array" ref="D43">SeasonalBudPct(B43,C43)</f>
        <v/>
      </c>
      <c r="E43" s="37">
        <f>SUM(E21,E30,E34,E42)</f>
        <v>0</v>
      </c>
      <c r="F43" s="37" t="str" cm="1">
        <f t="array" ref="F43">BudgetDolVariance(C43,E43)</f>
        <v/>
      </c>
      <c r="G43" s="38" t="str" cm="1">
        <f t="array" ref="G43">BudgetPctVariance(C43,E43)</f>
        <v/>
      </c>
      <c r="H43" s="37">
        <f>SUM(H21,H30,H34,H42)</f>
        <v>0</v>
      </c>
      <c r="I43" s="38" t="str" cm="1">
        <f t="array" ref="I43">BudgetPctVariance(H43,E43)</f>
        <v/>
      </c>
      <c r="J43" s="40"/>
      <c r="K43" s="47"/>
    </row>
    <row r="44" spans="1:11" ht="15" thickTop="1">
      <c r="A44" s="94" t="s">
        <v>164</v>
      </c>
      <c r="B44" s="95"/>
      <c r="C44" s="95"/>
      <c r="D44" s="96"/>
      <c r="E44" s="95"/>
      <c r="F44" s="95"/>
      <c r="G44" s="96"/>
      <c r="H44" s="95"/>
      <c r="I44" s="97"/>
      <c r="J44" s="98"/>
      <c r="K44" s="47"/>
    </row>
    <row r="45" spans="1:11">
      <c r="A45" s="18" t="s">
        <v>165</v>
      </c>
      <c r="B45" s="19">
        <v>0</v>
      </c>
      <c r="C45" s="19">
        <v>0</v>
      </c>
      <c r="D45" s="20" t="str" cm="1">
        <f t="array" ref="D45">SeasonalBudPct(B45,C45)</f>
        <v/>
      </c>
      <c r="E45" s="19">
        <v>0</v>
      </c>
      <c r="F45" s="19" t="str" cm="1">
        <f t="array" ref="F45">BudgetDolVariance(C45,E45)</f>
        <v/>
      </c>
      <c r="G45" s="20" t="str" cm="1">
        <f t="array" ref="G45">BudgetPctVariance(C45,E45)</f>
        <v/>
      </c>
      <c r="H45" s="19">
        <v>0</v>
      </c>
      <c r="I45" s="84" t="str" cm="1">
        <f t="array" ref="I45">BudgetPctVariance(H45,E45)</f>
        <v/>
      </c>
      <c r="J45" s="53"/>
      <c r="K45" s="54"/>
    </row>
    <row r="46" spans="1:11">
      <c r="A46" s="29" t="s">
        <v>166</v>
      </c>
      <c r="B46" s="30">
        <v>0</v>
      </c>
      <c r="C46" s="30">
        <v>0</v>
      </c>
      <c r="D46" s="32" t="str" cm="1">
        <f t="array" ref="D46">SeasonalBudPct(B46,C46)</f>
        <v/>
      </c>
      <c r="E46" s="30">
        <v>0</v>
      </c>
      <c r="F46" s="30" t="str" cm="1">
        <f t="array" ref="F46">BudgetDolVariance(C46,E46)</f>
        <v/>
      </c>
      <c r="G46" s="32" t="str" cm="1">
        <f t="array" ref="G46">BudgetPctVariance(C46,E46)</f>
        <v/>
      </c>
      <c r="H46" s="30">
        <v>0</v>
      </c>
      <c r="I46" s="89" t="str" cm="1">
        <f t="array" ref="I46">BudgetPctVariance(H46,E46)</f>
        <v/>
      </c>
      <c r="J46" s="34"/>
      <c r="K46" s="54"/>
    </row>
    <row r="47" spans="1:11" ht="15.6">
      <c r="A47" s="99" t="s">
        <v>167</v>
      </c>
      <c r="B47" s="16">
        <f>SUM(B45:B46)</f>
        <v>0</v>
      </c>
      <c r="C47" s="100">
        <f>SUM(C45:C46)</f>
        <v>0</v>
      </c>
      <c r="D47" s="82" t="str" cm="1">
        <f t="array" ref="D47">SeasonalBudPct(B47,C47)</f>
        <v/>
      </c>
      <c r="E47" s="16">
        <f>SUM(E45:E46)</f>
        <v>0</v>
      </c>
      <c r="F47" s="16" t="str" cm="1">
        <f t="array" ref="F47">BudgetDolVariance(C47,E47)</f>
        <v/>
      </c>
      <c r="G47" s="82" t="str" cm="1">
        <f t="array" ref="G47">BudgetPctVariance(C47,E47)</f>
        <v/>
      </c>
      <c r="H47" s="16">
        <f>SUM(H45:H46)</f>
        <v>0</v>
      </c>
      <c r="I47" s="101" t="str" cm="1">
        <f t="array" ref="I47">BudgetPctVariance(H47,E47)</f>
        <v/>
      </c>
      <c r="J47" s="102"/>
      <c r="K47" s="35"/>
    </row>
    <row r="48" spans="1:11" ht="16.2" thickBot="1">
      <c r="A48" s="36" t="s">
        <v>168</v>
      </c>
      <c r="B48" s="37">
        <f>SUM(B12,B43,B47)</f>
        <v>0</v>
      </c>
      <c r="C48" s="37">
        <f>SUM(C12,C43,C47)</f>
        <v>0</v>
      </c>
      <c r="D48" s="38" t="str" cm="1">
        <f t="array" ref="D48">SeasonalBudPct(B48,C48)</f>
        <v/>
      </c>
      <c r="E48" s="37">
        <f>SUM(E12,E43,E47)</f>
        <v>0</v>
      </c>
      <c r="F48" s="37" t="str" cm="1">
        <f t="array" ref="F48">BudgetDolVariance(C48,E48)</f>
        <v/>
      </c>
      <c r="G48" s="38" t="str" cm="1">
        <f t="array" ref="G48">BudgetPctVariance(C48,E48)</f>
        <v/>
      </c>
      <c r="H48" s="37">
        <f>SUM(H12,H43,H47)</f>
        <v>0</v>
      </c>
      <c r="I48" s="103" t="str" cm="1">
        <f t="array" ref="I48">BudgetPctVariance(H48,E48)</f>
        <v/>
      </c>
      <c r="J48" s="40"/>
    </row>
    <row r="49" spans="1:10" ht="15" thickTop="1">
      <c r="A49" s="104"/>
      <c r="B49" s="42"/>
      <c r="C49" s="42"/>
      <c r="D49" s="105"/>
      <c r="E49" s="42"/>
      <c r="H49" s="42"/>
      <c r="J49" s="107"/>
    </row>
    <row r="50" spans="1:10">
      <c r="A50"/>
      <c r="B50"/>
    </row>
    <row r="51" spans="1:10">
      <c r="A51" s="108" t="s">
        <v>169</v>
      </c>
      <c r="B51" s="109"/>
    </row>
    <row r="52" spans="1:10">
      <c r="B52" s="109"/>
    </row>
    <row r="53" spans="1:10">
      <c r="B53" s="109"/>
    </row>
    <row r="54" spans="1:10">
      <c r="B54" s="109"/>
    </row>
    <row r="55" spans="1:10">
      <c r="B55" s="109"/>
    </row>
    <row r="56" spans="1:10">
      <c r="B56" s="109"/>
    </row>
    <row r="57" spans="1:10">
      <c r="B57" s="109"/>
    </row>
    <row r="58" spans="1:10">
      <c r="B58" s="109"/>
    </row>
    <row r="59" spans="1:10">
      <c r="B59" s="109"/>
    </row>
    <row r="60" spans="1:10">
      <c r="B60" s="109"/>
    </row>
    <row r="61" spans="1:10">
      <c r="B61" s="109"/>
    </row>
  </sheetData>
  <mergeCells count="3">
    <mergeCell ref="B1:J1"/>
    <mergeCell ref="B2:J2"/>
    <mergeCell ref="J3:J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74479-7A1E-4BFE-86B9-C7C393627078}">
  <sheetPr codeName="Sheet12">
    <tabColor theme="4" tint="0.59999389629810485"/>
  </sheetPr>
  <dimension ref="A1:M49"/>
  <sheetViews>
    <sheetView showGridLines="0" showRowColHeaders="0" workbookViewId="0">
      <pane ySplit="6" topLeftCell="A7" activePane="bottomLeft" state="frozen"/>
      <selection pane="bottomLeft"/>
    </sheetView>
  </sheetViews>
  <sheetFormatPr defaultRowHeight="14.4"/>
  <cols>
    <col min="1" max="1" width="32.44140625" bestFit="1" customWidth="1"/>
    <col min="2" max="2" width="16.77734375" customWidth="1"/>
    <col min="3" max="3" width="13.44140625" customWidth="1"/>
    <col min="4" max="4" width="16.77734375" customWidth="1"/>
    <col min="5" max="5" width="13.44140625" customWidth="1"/>
    <col min="6" max="6" width="16.77734375" customWidth="1"/>
    <col min="7" max="7" width="13.44140625" customWidth="1"/>
    <col min="8" max="8" width="16.77734375" customWidth="1"/>
    <col min="9" max="9" width="13.44140625" customWidth="1"/>
    <col min="10" max="10" width="16.77734375" customWidth="1"/>
    <col min="11" max="11" width="13.44140625" customWidth="1"/>
    <col min="12" max="12" width="16.77734375" customWidth="1"/>
    <col min="13" max="13" width="13.44140625" customWidth="1"/>
  </cols>
  <sheetData>
    <row r="1" spans="1:13" ht="15.6">
      <c r="A1" s="111" t="str" cm="1">
        <f t="array" ref="A1">CCName('Create Report'!E8)</f>
        <v>CU Student Government - Proper</v>
      </c>
      <c r="B1" s="112"/>
      <c r="C1" s="112"/>
      <c r="D1" s="112"/>
      <c r="E1" s="112"/>
      <c r="F1" s="112"/>
      <c r="G1" s="112"/>
      <c r="H1" s="112"/>
      <c r="I1" s="112"/>
      <c r="J1" s="112"/>
      <c r="L1" s="112"/>
      <c r="M1" s="112"/>
    </row>
    <row r="2" spans="1:13" ht="15.6">
      <c r="A2" s="113" t="s">
        <v>104</v>
      </c>
      <c r="B2" s="114"/>
      <c r="C2" s="114"/>
      <c r="D2" s="114"/>
      <c r="E2" s="114"/>
      <c r="F2" s="114"/>
      <c r="G2" s="114"/>
      <c r="H2" s="114"/>
      <c r="I2" s="114"/>
      <c r="J2" s="114"/>
      <c r="L2" s="114"/>
      <c r="M2" s="114"/>
    </row>
    <row r="3" spans="1:13" s="115" customFormat="1">
      <c r="B3" s="116" t="s">
        <v>118</v>
      </c>
      <c r="C3" s="117" t="s">
        <v>170</v>
      </c>
      <c r="D3" s="116" t="s">
        <v>171</v>
      </c>
      <c r="E3" s="117" t="s">
        <v>171</v>
      </c>
      <c r="F3" s="116" t="s">
        <v>172</v>
      </c>
      <c r="G3" s="117" t="s">
        <v>172</v>
      </c>
      <c r="H3" s="116" t="s">
        <v>173</v>
      </c>
      <c r="I3" s="117" t="s">
        <v>173</v>
      </c>
      <c r="J3" s="116" t="s">
        <v>174</v>
      </c>
      <c r="K3" s="118" t="s">
        <v>174</v>
      </c>
      <c r="L3" s="116" t="s">
        <v>175</v>
      </c>
      <c r="M3" s="118" t="s">
        <v>175</v>
      </c>
    </row>
    <row r="4" spans="1:13">
      <c r="A4" s="5"/>
      <c r="B4" s="119" t="str">
        <f>_xlfn.CONCAT("FY ",'Create Report'!E9+'Create Report'!E10)</f>
        <v>FY 20</v>
      </c>
      <c r="C4" s="120" t="s">
        <v>119</v>
      </c>
      <c r="D4" s="119" t="s">
        <v>176</v>
      </c>
      <c r="E4" s="119" t="s">
        <v>177</v>
      </c>
      <c r="F4" s="119" t="s">
        <v>176</v>
      </c>
      <c r="G4" s="119" t="s">
        <v>177</v>
      </c>
      <c r="H4" s="119" t="s">
        <v>176</v>
      </c>
      <c r="I4" s="119" t="s">
        <v>177</v>
      </c>
      <c r="J4" s="119" t="s">
        <v>176</v>
      </c>
      <c r="K4" s="119" t="s">
        <v>177</v>
      </c>
      <c r="L4" s="119" t="s">
        <v>178</v>
      </c>
      <c r="M4" s="119" t="s">
        <v>179</v>
      </c>
    </row>
    <row r="5" spans="1:13">
      <c r="A5" s="8"/>
      <c r="B5" s="119"/>
      <c r="C5" s="120" t="s">
        <v>180</v>
      </c>
      <c r="D5" s="119"/>
      <c r="E5" s="120" t="s">
        <v>180</v>
      </c>
      <c r="F5" s="119"/>
      <c r="G5" s="120" t="s">
        <v>180</v>
      </c>
      <c r="H5" s="119"/>
      <c r="I5" s="120" t="s">
        <v>180</v>
      </c>
      <c r="J5" s="119"/>
      <c r="K5" s="119" t="s">
        <v>180</v>
      </c>
      <c r="L5" s="119"/>
      <c r="M5" s="119" t="s">
        <v>180</v>
      </c>
    </row>
    <row r="6" spans="1:13">
      <c r="A6" s="121"/>
      <c r="B6" s="122"/>
      <c r="C6" s="123"/>
      <c r="D6" s="122"/>
      <c r="E6" s="123"/>
      <c r="F6" s="122"/>
      <c r="G6" s="123"/>
      <c r="H6" s="122"/>
      <c r="I6" s="123"/>
      <c r="J6" s="122"/>
      <c r="K6" s="122"/>
      <c r="L6" s="122"/>
      <c r="M6" s="122"/>
    </row>
    <row r="7" spans="1:13">
      <c r="A7" s="13" t="s">
        <v>129</v>
      </c>
      <c r="B7" s="124"/>
      <c r="C7" s="125"/>
      <c r="D7" s="124"/>
      <c r="E7" s="125"/>
      <c r="F7" s="124"/>
      <c r="G7" s="125"/>
      <c r="H7" s="124"/>
      <c r="I7" s="125"/>
      <c r="J7" s="124"/>
      <c r="K7" s="124"/>
      <c r="L7" s="124"/>
      <c r="M7" s="124"/>
    </row>
    <row r="8" spans="1:13">
      <c r="A8" s="126" t="s">
        <v>130</v>
      </c>
      <c r="B8" s="127">
        <v>0</v>
      </c>
      <c r="C8" s="128">
        <v>0</v>
      </c>
      <c r="D8" s="129">
        <v>0</v>
      </c>
      <c r="E8" s="128">
        <v>0</v>
      </c>
      <c r="F8" s="129">
        <v>0</v>
      </c>
      <c r="G8" s="128">
        <v>0</v>
      </c>
      <c r="H8" s="129">
        <v>0</v>
      </c>
      <c r="I8" s="128">
        <v>0</v>
      </c>
      <c r="J8" s="129">
        <v>0</v>
      </c>
      <c r="K8" s="130">
        <v>0</v>
      </c>
      <c r="L8" s="127">
        <f>SUM(D8,F8,H8,J8)</f>
        <v>0</v>
      </c>
      <c r="M8" s="130">
        <f>SUM(E8,G8,I8,K8)</f>
        <v>0</v>
      </c>
    </row>
    <row r="9" spans="1:13">
      <c r="A9" s="131" t="s">
        <v>131</v>
      </c>
      <c r="B9" s="127">
        <v>0</v>
      </c>
      <c r="C9" s="132">
        <v>0</v>
      </c>
      <c r="D9" s="129">
        <v>0</v>
      </c>
      <c r="E9" s="132">
        <v>0</v>
      </c>
      <c r="F9" s="129">
        <v>0</v>
      </c>
      <c r="G9" s="132">
        <v>0</v>
      </c>
      <c r="H9" s="129">
        <v>0</v>
      </c>
      <c r="I9" s="132">
        <v>0</v>
      </c>
      <c r="J9" s="129">
        <v>0</v>
      </c>
      <c r="K9" s="133">
        <v>0</v>
      </c>
      <c r="L9" s="127">
        <f>SUM(D9,F9,H9,J9)</f>
        <v>0</v>
      </c>
      <c r="M9" s="133">
        <f>SUM(E9,G9,I9,K9)</f>
        <v>0</v>
      </c>
    </row>
    <row r="10" spans="1:13">
      <c r="A10" s="131" t="s">
        <v>132</v>
      </c>
      <c r="B10" s="127">
        <v>0</v>
      </c>
      <c r="C10" s="132">
        <v>0</v>
      </c>
      <c r="D10" s="129">
        <v>0</v>
      </c>
      <c r="E10" s="132">
        <v>0</v>
      </c>
      <c r="F10" s="129">
        <v>0</v>
      </c>
      <c r="G10" s="132">
        <v>0</v>
      </c>
      <c r="H10" s="129">
        <v>0</v>
      </c>
      <c r="I10" s="132">
        <v>0</v>
      </c>
      <c r="J10" s="129">
        <v>0</v>
      </c>
      <c r="K10" s="133">
        <v>0</v>
      </c>
      <c r="L10" s="127">
        <f>SUM(D10,F10,H10,J10)</f>
        <v>0</v>
      </c>
      <c r="M10" s="133">
        <f>SUM(E10,G10,I10,K10)</f>
        <v>0</v>
      </c>
    </row>
    <row r="11" spans="1:13">
      <c r="A11" s="134" t="s">
        <v>133</v>
      </c>
      <c r="B11" s="135">
        <v>0</v>
      </c>
      <c r="C11" s="132">
        <v>0</v>
      </c>
      <c r="D11" s="136">
        <v>0</v>
      </c>
      <c r="E11" s="132">
        <v>0</v>
      </c>
      <c r="F11" s="136">
        <v>0</v>
      </c>
      <c r="G11" s="132">
        <v>0</v>
      </c>
      <c r="H11" s="136">
        <v>0</v>
      </c>
      <c r="I11" s="132">
        <v>0</v>
      </c>
      <c r="J11" s="136">
        <v>0</v>
      </c>
      <c r="K11" s="133">
        <v>0</v>
      </c>
      <c r="L11" s="135">
        <f>SUM(D11,F11,H11,J11)</f>
        <v>0</v>
      </c>
      <c r="M11" s="133">
        <f>SUM(E11,G11,I11,K11)</f>
        <v>0</v>
      </c>
    </row>
    <row r="12" spans="1:13" ht="16.2" thickBot="1">
      <c r="A12" s="137" t="s">
        <v>134</v>
      </c>
      <c r="B12" s="138">
        <f>SUM(B8:B11)</f>
        <v>0</v>
      </c>
      <c r="C12" s="139">
        <f t="shared" ref="C12:K12" si="0">SUM(C8:C11)</f>
        <v>0</v>
      </c>
      <c r="D12" s="138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8">
        <f t="shared" si="0"/>
        <v>0</v>
      </c>
      <c r="I12" s="139">
        <f t="shared" si="0"/>
        <v>0</v>
      </c>
      <c r="J12" s="138">
        <f t="shared" si="0"/>
        <v>0</v>
      </c>
      <c r="K12" s="138">
        <f t="shared" si="0"/>
        <v>0</v>
      </c>
      <c r="L12" s="138">
        <f>SUM(L8:L11)</f>
        <v>0</v>
      </c>
      <c r="M12" s="138">
        <f t="shared" ref="M12" si="1">SUM(M8:M11)</f>
        <v>0</v>
      </c>
    </row>
    <row r="13" spans="1:13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</row>
    <row r="14" spans="1:13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</row>
    <row r="15" spans="1:13">
      <c r="A15" s="126" t="s">
        <v>136</v>
      </c>
      <c r="B15" s="141">
        <v>0</v>
      </c>
      <c r="C15" s="128">
        <v>0</v>
      </c>
      <c r="D15" s="129">
        <v>0</v>
      </c>
      <c r="E15" s="128">
        <v>0</v>
      </c>
      <c r="F15" s="129">
        <v>0</v>
      </c>
      <c r="G15" s="128">
        <v>0</v>
      </c>
      <c r="H15" s="129">
        <v>0</v>
      </c>
      <c r="I15" s="128">
        <v>0</v>
      </c>
      <c r="J15" s="129">
        <v>0</v>
      </c>
      <c r="K15" s="142">
        <v>0</v>
      </c>
      <c r="L15" s="141">
        <f>SUM(D15,F15,H15,J15)</f>
        <v>0</v>
      </c>
      <c r="M15" s="142">
        <f>SUM(E15,G15,I15,K15)</f>
        <v>0</v>
      </c>
    </row>
    <row r="16" spans="1:13">
      <c r="A16" s="131" t="s">
        <v>137</v>
      </c>
      <c r="B16" s="127">
        <v>0</v>
      </c>
      <c r="C16" s="128">
        <v>0</v>
      </c>
      <c r="D16" s="129">
        <v>0</v>
      </c>
      <c r="E16" s="128">
        <v>0</v>
      </c>
      <c r="F16" s="129">
        <v>0</v>
      </c>
      <c r="G16" s="128">
        <v>0</v>
      </c>
      <c r="H16" s="129">
        <v>0</v>
      </c>
      <c r="I16" s="128">
        <v>0</v>
      </c>
      <c r="J16" s="129">
        <v>0</v>
      </c>
      <c r="K16" s="130">
        <v>0</v>
      </c>
      <c r="L16" s="127">
        <f>SUM(D16,F16,H16,J16)</f>
        <v>0</v>
      </c>
      <c r="M16" s="130">
        <f>SUM(E16,G16,I16,K16)</f>
        <v>0</v>
      </c>
    </row>
    <row r="17" spans="1:13">
      <c r="A17" s="143" t="s">
        <v>138</v>
      </c>
      <c r="B17" s="144">
        <v>0</v>
      </c>
      <c r="C17" s="145">
        <v>0</v>
      </c>
      <c r="D17" s="146">
        <v>0</v>
      </c>
      <c r="E17" s="145">
        <v>0</v>
      </c>
      <c r="F17" s="146">
        <v>0</v>
      </c>
      <c r="G17" s="145">
        <v>0</v>
      </c>
      <c r="H17" s="146">
        <v>0</v>
      </c>
      <c r="I17" s="145">
        <v>0</v>
      </c>
      <c r="J17" s="146">
        <v>0</v>
      </c>
      <c r="K17" s="56">
        <v>0</v>
      </c>
      <c r="L17" s="144">
        <f>SUM(D17,F17,H17,J17)</f>
        <v>0</v>
      </c>
      <c r="M17" s="56">
        <f>SUM(E17,G17,I17,K17)</f>
        <v>0</v>
      </c>
    </row>
    <row r="18" spans="1:13">
      <c r="A18" s="131" t="s">
        <v>139</v>
      </c>
      <c r="B18" s="127">
        <v>0</v>
      </c>
      <c r="C18" s="128">
        <v>0</v>
      </c>
      <c r="D18" s="129">
        <v>0</v>
      </c>
      <c r="E18" s="128">
        <v>0</v>
      </c>
      <c r="F18" s="129">
        <v>0</v>
      </c>
      <c r="G18" s="128">
        <v>0</v>
      </c>
      <c r="H18" s="129">
        <v>0</v>
      </c>
      <c r="I18" s="128">
        <v>0</v>
      </c>
      <c r="J18" s="129">
        <v>0</v>
      </c>
      <c r="K18" s="130">
        <v>0</v>
      </c>
      <c r="L18" s="127">
        <f>SUM(D18,F18,H18,J18)</f>
        <v>0</v>
      </c>
      <c r="M18" s="130">
        <f>SUM(E18,G18,I18,K18)</f>
        <v>0</v>
      </c>
    </row>
    <row r="19" spans="1:13">
      <c r="A19" s="131" t="s">
        <v>140</v>
      </c>
      <c r="B19" s="127">
        <v>0</v>
      </c>
      <c r="C19" s="128">
        <v>0</v>
      </c>
      <c r="D19" s="129">
        <v>0</v>
      </c>
      <c r="E19" s="128">
        <v>0</v>
      </c>
      <c r="F19" s="129">
        <v>0</v>
      </c>
      <c r="G19" s="128">
        <v>0</v>
      </c>
      <c r="H19" s="129">
        <v>0</v>
      </c>
      <c r="I19" s="128">
        <v>0</v>
      </c>
      <c r="J19" s="129">
        <v>0</v>
      </c>
      <c r="K19" s="130">
        <v>0</v>
      </c>
      <c r="L19" s="127">
        <f>SUM(D19,F19,H19,J19)</f>
        <v>0</v>
      </c>
      <c r="M19" s="130">
        <f>SUM(E19,G19,I19,K19)</f>
        <v>0</v>
      </c>
    </row>
    <row r="20" spans="1:13">
      <c r="A20" s="134" t="s">
        <v>141</v>
      </c>
      <c r="B20" s="135">
        <v>0</v>
      </c>
      <c r="C20" s="147">
        <v>0</v>
      </c>
      <c r="D20" s="136">
        <v>0</v>
      </c>
      <c r="E20" s="147">
        <v>0</v>
      </c>
      <c r="F20" s="136">
        <v>0</v>
      </c>
      <c r="G20" s="147">
        <v>0</v>
      </c>
      <c r="H20" s="136">
        <v>0</v>
      </c>
      <c r="I20" s="147">
        <v>0</v>
      </c>
      <c r="J20" s="136">
        <v>0</v>
      </c>
      <c r="K20" s="148">
        <v>0</v>
      </c>
      <c r="L20" s="135">
        <f>SUM(D20,F20,H20,J20)</f>
        <v>0</v>
      </c>
      <c r="M20" s="148">
        <f>SUM(E20,G20,I20,K20)</f>
        <v>0</v>
      </c>
    </row>
    <row r="21" spans="1:13">
      <c r="A21" s="62" t="s">
        <v>142</v>
      </c>
      <c r="B21" s="78">
        <f t="shared" ref="B21:M21" si="2">SUM(B15:B20)</f>
        <v>0</v>
      </c>
      <c r="C21" s="91">
        <f t="shared" si="2"/>
        <v>0</v>
      </c>
      <c r="D21" s="78">
        <f t="shared" si="2"/>
        <v>0</v>
      </c>
      <c r="E21" s="149">
        <f t="shared" si="2"/>
        <v>0</v>
      </c>
      <c r="F21" s="78">
        <f t="shared" si="2"/>
        <v>0</v>
      </c>
      <c r="G21" s="91">
        <f t="shared" si="2"/>
        <v>0</v>
      </c>
      <c r="H21" s="78">
        <f t="shared" si="2"/>
        <v>0</v>
      </c>
      <c r="I21" s="91">
        <f t="shared" si="2"/>
        <v>0</v>
      </c>
      <c r="J21" s="78">
        <f t="shared" si="2"/>
        <v>0</v>
      </c>
      <c r="K21" s="150">
        <f t="shared" si="2"/>
        <v>0</v>
      </c>
      <c r="L21" s="78">
        <f t="shared" si="2"/>
        <v>0</v>
      </c>
      <c r="M21" s="150">
        <f t="shared" si="2"/>
        <v>0</v>
      </c>
    </row>
    <row r="22" spans="1:13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</row>
    <row r="23" spans="1:13">
      <c r="A23" s="126" t="s">
        <v>144</v>
      </c>
      <c r="B23" s="141">
        <v>0</v>
      </c>
      <c r="C23" s="128">
        <v>0</v>
      </c>
      <c r="D23" s="129">
        <v>0</v>
      </c>
      <c r="E23" s="128">
        <v>0</v>
      </c>
      <c r="F23" s="129">
        <v>0</v>
      </c>
      <c r="G23" s="128">
        <v>0</v>
      </c>
      <c r="H23" s="129">
        <v>0</v>
      </c>
      <c r="I23" s="128">
        <v>0</v>
      </c>
      <c r="J23" s="129">
        <v>0</v>
      </c>
      <c r="K23" s="142">
        <v>0</v>
      </c>
      <c r="L23" s="141">
        <f>SUM(D23,F23,H23,J23)</f>
        <v>0</v>
      </c>
      <c r="M23" s="142">
        <f>SUM(E23,G23,I23,K23)</f>
        <v>0</v>
      </c>
    </row>
    <row r="24" spans="1:13">
      <c r="A24" s="131" t="s">
        <v>145</v>
      </c>
      <c r="B24" s="127">
        <v>0</v>
      </c>
      <c r="C24" s="128">
        <v>0</v>
      </c>
      <c r="D24" s="129">
        <v>0</v>
      </c>
      <c r="E24" s="128">
        <v>0</v>
      </c>
      <c r="F24" s="129">
        <v>0</v>
      </c>
      <c r="G24" s="128">
        <v>0</v>
      </c>
      <c r="H24" s="129">
        <v>0</v>
      </c>
      <c r="I24" s="128">
        <v>0</v>
      </c>
      <c r="J24" s="129">
        <v>0</v>
      </c>
      <c r="K24" s="130">
        <v>0</v>
      </c>
      <c r="L24" s="127">
        <f>SUM(D24,F24,H24,J24)</f>
        <v>0</v>
      </c>
      <c r="M24" s="130">
        <f>SUM(E24,G24,I24,K24)</f>
        <v>0</v>
      </c>
    </row>
    <row r="25" spans="1:13">
      <c r="A25" s="131" t="s">
        <v>146</v>
      </c>
      <c r="B25" s="127">
        <v>0</v>
      </c>
      <c r="C25" s="128">
        <v>0</v>
      </c>
      <c r="D25" s="129">
        <v>0</v>
      </c>
      <c r="E25" s="128">
        <v>0</v>
      </c>
      <c r="F25" s="129">
        <v>0</v>
      </c>
      <c r="G25" s="128">
        <v>0</v>
      </c>
      <c r="H25" s="129">
        <v>0</v>
      </c>
      <c r="I25" s="128">
        <v>0</v>
      </c>
      <c r="J25" s="129">
        <v>0</v>
      </c>
      <c r="K25" s="130">
        <v>0</v>
      </c>
      <c r="L25" s="127">
        <f>SUM(D25,F25,H25,J25)</f>
        <v>0</v>
      </c>
      <c r="M25" s="130">
        <f>SUM(E25,G25,I25,K25)</f>
        <v>0</v>
      </c>
    </row>
    <row r="26" spans="1:13">
      <c r="A26" s="131" t="s">
        <v>147</v>
      </c>
      <c r="B26" s="127">
        <v>0</v>
      </c>
      <c r="C26" s="128">
        <v>0</v>
      </c>
      <c r="D26" s="129">
        <v>0</v>
      </c>
      <c r="E26" s="128">
        <v>0</v>
      </c>
      <c r="F26" s="129">
        <v>0</v>
      </c>
      <c r="G26" s="128">
        <v>0</v>
      </c>
      <c r="H26" s="129">
        <v>0</v>
      </c>
      <c r="I26" s="128">
        <v>0</v>
      </c>
      <c r="J26" s="129">
        <v>0</v>
      </c>
      <c r="K26" s="130">
        <v>0</v>
      </c>
      <c r="L26" s="127">
        <f>SUM(D26,F26,H26,J26)</f>
        <v>0</v>
      </c>
      <c r="M26" s="130">
        <f>SUM(E26,G26,I26,K26)</f>
        <v>0</v>
      </c>
    </row>
    <row r="27" spans="1:13">
      <c r="A27" s="131" t="s">
        <v>148</v>
      </c>
      <c r="B27" s="127">
        <v>0</v>
      </c>
      <c r="C27" s="128">
        <v>0</v>
      </c>
      <c r="D27" s="129">
        <v>0</v>
      </c>
      <c r="E27" s="128">
        <v>0</v>
      </c>
      <c r="F27" s="129">
        <v>0</v>
      </c>
      <c r="G27" s="128">
        <v>0</v>
      </c>
      <c r="H27" s="129">
        <v>0</v>
      </c>
      <c r="I27" s="128">
        <v>0</v>
      </c>
      <c r="J27" s="129">
        <v>0</v>
      </c>
      <c r="K27" s="130">
        <v>0</v>
      </c>
      <c r="L27" s="127">
        <f>SUM(D27,F27,H27,J27)</f>
        <v>0</v>
      </c>
      <c r="M27" s="130">
        <f>SUM(E27,G27,I27,K27)</f>
        <v>0</v>
      </c>
    </row>
    <row r="28" spans="1:13">
      <c r="A28" s="131" t="s">
        <v>149</v>
      </c>
      <c r="B28" s="127">
        <v>0</v>
      </c>
      <c r="C28" s="128">
        <v>0</v>
      </c>
      <c r="D28" s="129">
        <v>0</v>
      </c>
      <c r="E28" s="128">
        <v>0</v>
      </c>
      <c r="F28" s="129">
        <v>0</v>
      </c>
      <c r="G28" s="128">
        <v>0</v>
      </c>
      <c r="H28" s="129">
        <v>0</v>
      </c>
      <c r="I28" s="128">
        <v>0</v>
      </c>
      <c r="J28" s="129">
        <v>0</v>
      </c>
      <c r="K28" s="130">
        <v>0</v>
      </c>
      <c r="L28" s="127">
        <f>SUM(D28,F28,H28,J28)</f>
        <v>0</v>
      </c>
      <c r="M28" s="130">
        <f>SUM(E28,G28,I28,K28)</f>
        <v>0</v>
      </c>
    </row>
    <row r="29" spans="1:13">
      <c r="A29" s="134" t="s">
        <v>150</v>
      </c>
      <c r="B29" s="135">
        <v>0</v>
      </c>
      <c r="C29" s="147">
        <v>0</v>
      </c>
      <c r="D29" s="136">
        <v>0</v>
      </c>
      <c r="E29" s="147">
        <v>0</v>
      </c>
      <c r="F29" s="136">
        <v>0</v>
      </c>
      <c r="G29" s="147">
        <v>0</v>
      </c>
      <c r="H29" s="136">
        <v>0</v>
      </c>
      <c r="I29" s="147">
        <v>0</v>
      </c>
      <c r="J29" s="136">
        <v>0</v>
      </c>
      <c r="K29" s="148">
        <v>0</v>
      </c>
      <c r="L29" s="135">
        <f>SUM(D29,F29,H29,J29)</f>
        <v>0</v>
      </c>
      <c r="M29" s="148">
        <f>SUM(E29,G29,I29,K29)</f>
        <v>0</v>
      </c>
    </row>
    <row r="30" spans="1:13">
      <c r="A30" s="62" t="s">
        <v>151</v>
      </c>
      <c r="B30" s="78">
        <f t="shared" ref="B30:M30" si="3">SUM(B23:B29)</f>
        <v>0</v>
      </c>
      <c r="C30" s="91">
        <f t="shared" si="3"/>
        <v>0</v>
      </c>
      <c r="D30" s="78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78">
        <f t="shared" si="3"/>
        <v>0</v>
      </c>
      <c r="I30" s="91">
        <f t="shared" si="3"/>
        <v>0</v>
      </c>
      <c r="J30" s="78">
        <f t="shared" si="3"/>
        <v>0</v>
      </c>
      <c r="K30" s="150">
        <f t="shared" si="3"/>
        <v>0</v>
      </c>
      <c r="L30" s="78">
        <f t="shared" si="3"/>
        <v>0</v>
      </c>
      <c r="M30" s="150">
        <f t="shared" si="3"/>
        <v>0</v>
      </c>
    </row>
    <row r="31" spans="1:13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49"/>
      <c r="M31" s="80"/>
    </row>
    <row r="32" spans="1:13">
      <c r="A32" s="126" t="s">
        <v>153</v>
      </c>
      <c r="B32" s="141">
        <v>0</v>
      </c>
      <c r="C32" s="128">
        <v>0</v>
      </c>
      <c r="D32" s="129">
        <v>0</v>
      </c>
      <c r="E32" s="128">
        <v>0</v>
      </c>
      <c r="F32" s="129">
        <v>0</v>
      </c>
      <c r="G32" s="128">
        <v>0</v>
      </c>
      <c r="H32" s="129">
        <v>0</v>
      </c>
      <c r="I32" s="128">
        <v>0</v>
      </c>
      <c r="J32" s="129">
        <v>0</v>
      </c>
      <c r="K32" s="142">
        <v>0</v>
      </c>
      <c r="L32" s="141">
        <f>SUM(D32,F32,H32,J32)</f>
        <v>0</v>
      </c>
      <c r="M32" s="142">
        <f>SUM(E32,G32,I32,K32)</f>
        <v>0</v>
      </c>
    </row>
    <row r="33" spans="1:13">
      <c r="A33" s="134" t="s">
        <v>154</v>
      </c>
      <c r="B33" s="135">
        <v>0</v>
      </c>
      <c r="C33" s="147">
        <v>0</v>
      </c>
      <c r="D33" s="136">
        <v>0</v>
      </c>
      <c r="E33" s="147">
        <v>0</v>
      </c>
      <c r="F33" s="136">
        <v>0</v>
      </c>
      <c r="G33" s="147">
        <v>0</v>
      </c>
      <c r="H33" s="136">
        <v>0</v>
      </c>
      <c r="I33" s="147">
        <v>0</v>
      </c>
      <c r="J33" s="136">
        <v>0</v>
      </c>
      <c r="K33" s="148">
        <v>0</v>
      </c>
      <c r="L33" s="135">
        <f>SUM(D33,F33,H33,J33)</f>
        <v>0</v>
      </c>
      <c r="M33" s="148">
        <f>SUM(E33,G33,I33,K33)</f>
        <v>0</v>
      </c>
    </row>
    <row r="34" spans="1:13">
      <c r="A34" s="62" t="s">
        <v>155</v>
      </c>
      <c r="B34" s="78">
        <f t="shared" ref="B34:M34" si="4">SUM(B32:B33)</f>
        <v>0</v>
      </c>
      <c r="C34" s="91">
        <f t="shared" si="4"/>
        <v>0</v>
      </c>
      <c r="D34" s="78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78">
        <f t="shared" si="4"/>
        <v>0</v>
      </c>
      <c r="I34" s="91">
        <f t="shared" si="4"/>
        <v>0</v>
      </c>
      <c r="J34" s="78">
        <f t="shared" si="4"/>
        <v>0</v>
      </c>
      <c r="K34" s="150">
        <f t="shared" si="4"/>
        <v>0</v>
      </c>
      <c r="L34" s="78">
        <f t="shared" si="4"/>
        <v>0</v>
      </c>
      <c r="M34" s="150">
        <f t="shared" si="4"/>
        <v>0</v>
      </c>
    </row>
    <row r="35" spans="1:13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</row>
    <row r="36" spans="1:13">
      <c r="A36" s="126" t="s">
        <v>157</v>
      </c>
      <c r="B36" s="141">
        <v>0</v>
      </c>
      <c r="C36" s="128">
        <v>0</v>
      </c>
      <c r="D36" s="129">
        <v>0</v>
      </c>
      <c r="E36" s="128">
        <v>0</v>
      </c>
      <c r="F36" s="129">
        <v>0</v>
      </c>
      <c r="G36" s="128">
        <v>0</v>
      </c>
      <c r="H36" s="129">
        <v>0</v>
      </c>
      <c r="I36" s="128">
        <v>0</v>
      </c>
      <c r="J36" s="129">
        <v>0</v>
      </c>
      <c r="K36" s="142">
        <v>0</v>
      </c>
      <c r="L36" s="141">
        <f>SUM(D36,F36,H36,J36)</f>
        <v>0</v>
      </c>
      <c r="M36" s="142">
        <f>SUM(E36,G36,I36,K36)</f>
        <v>0</v>
      </c>
    </row>
    <row r="37" spans="1:13">
      <c r="A37" s="131" t="s">
        <v>158</v>
      </c>
      <c r="B37" s="127">
        <v>0</v>
      </c>
      <c r="C37" s="128">
        <v>0</v>
      </c>
      <c r="D37" s="129">
        <v>0</v>
      </c>
      <c r="E37" s="128">
        <v>0</v>
      </c>
      <c r="F37" s="129">
        <v>0</v>
      </c>
      <c r="G37" s="128">
        <v>0</v>
      </c>
      <c r="H37" s="129">
        <v>0</v>
      </c>
      <c r="I37" s="128">
        <v>0</v>
      </c>
      <c r="J37" s="129">
        <v>0</v>
      </c>
      <c r="K37" s="130">
        <v>0</v>
      </c>
      <c r="L37" s="127">
        <f>SUM(D37,F37,H37,J37)</f>
        <v>0</v>
      </c>
      <c r="M37" s="130">
        <f>SUM(E37,G37,I37,K37)</f>
        <v>0</v>
      </c>
    </row>
    <row r="38" spans="1:13">
      <c r="A38" s="131" t="s">
        <v>33</v>
      </c>
      <c r="B38" s="127">
        <v>0</v>
      </c>
      <c r="C38" s="128">
        <v>0</v>
      </c>
      <c r="D38" s="129">
        <v>0</v>
      </c>
      <c r="E38" s="128">
        <v>0</v>
      </c>
      <c r="F38" s="129">
        <v>0</v>
      </c>
      <c r="G38" s="128">
        <v>0</v>
      </c>
      <c r="H38" s="129">
        <v>0</v>
      </c>
      <c r="I38" s="128">
        <v>0</v>
      </c>
      <c r="J38" s="129">
        <v>0</v>
      </c>
      <c r="K38" s="130">
        <v>0</v>
      </c>
      <c r="L38" s="127">
        <f>SUM(D38,F38,H38,J38)</f>
        <v>0</v>
      </c>
      <c r="M38" s="130">
        <f>SUM(E38,G38,I38,K38)</f>
        <v>0</v>
      </c>
    </row>
    <row r="39" spans="1:13">
      <c r="A39" s="143" t="s">
        <v>159</v>
      </c>
      <c r="B39" s="144">
        <v>0</v>
      </c>
      <c r="C39" s="145">
        <v>0</v>
      </c>
      <c r="D39" s="146">
        <v>0</v>
      </c>
      <c r="E39" s="145">
        <v>0</v>
      </c>
      <c r="F39" s="146">
        <v>0</v>
      </c>
      <c r="G39" s="145">
        <v>0</v>
      </c>
      <c r="H39" s="146">
        <v>0</v>
      </c>
      <c r="I39" s="145">
        <v>0</v>
      </c>
      <c r="J39" s="146">
        <v>0</v>
      </c>
      <c r="K39" s="56">
        <v>0</v>
      </c>
      <c r="L39" s="144">
        <f>SUM(D39,F39,H39,J39)</f>
        <v>0</v>
      </c>
      <c r="M39" s="56">
        <f>SUM(E39,G39,I39,K39)</f>
        <v>0</v>
      </c>
    </row>
    <row r="40" spans="1:13">
      <c r="A40" s="131" t="s">
        <v>160</v>
      </c>
      <c r="B40" s="127">
        <v>0</v>
      </c>
      <c r="C40" s="128">
        <v>0</v>
      </c>
      <c r="D40" s="129">
        <v>0</v>
      </c>
      <c r="E40" s="128">
        <v>0</v>
      </c>
      <c r="F40" s="129">
        <v>0</v>
      </c>
      <c r="G40" s="128">
        <v>0</v>
      </c>
      <c r="H40" s="129">
        <v>0</v>
      </c>
      <c r="I40" s="128">
        <v>0</v>
      </c>
      <c r="J40" s="129">
        <v>0</v>
      </c>
      <c r="K40" s="130">
        <v>0</v>
      </c>
      <c r="L40" s="127">
        <f>SUM(D40,F40,H40,J40)</f>
        <v>0</v>
      </c>
      <c r="M40" s="130">
        <f>SUM(E40,G40,I40,K40)</f>
        <v>0</v>
      </c>
    </row>
    <row r="41" spans="1:13">
      <c r="A41" s="134" t="s">
        <v>161</v>
      </c>
      <c r="B41" s="135">
        <v>0</v>
      </c>
      <c r="C41" s="147">
        <v>0</v>
      </c>
      <c r="D41" s="136">
        <v>0</v>
      </c>
      <c r="E41" s="147">
        <v>0</v>
      </c>
      <c r="F41" s="136">
        <v>0</v>
      </c>
      <c r="G41" s="147">
        <v>0</v>
      </c>
      <c r="H41" s="136">
        <v>0</v>
      </c>
      <c r="I41" s="147">
        <v>0</v>
      </c>
      <c r="J41" s="136">
        <v>0</v>
      </c>
      <c r="K41" s="148">
        <v>0</v>
      </c>
      <c r="L41" s="135">
        <f>SUM(D41,F41,H41,J41)</f>
        <v>0</v>
      </c>
      <c r="M41" s="148">
        <f>SUM(E41,G41,I41,K41)</f>
        <v>0</v>
      </c>
    </row>
    <row r="42" spans="1:13">
      <c r="A42" s="62" t="s">
        <v>162</v>
      </c>
      <c r="B42" s="78">
        <f t="shared" ref="B42:M42" si="5">SUM(B36:B41)</f>
        <v>0</v>
      </c>
      <c r="C42" s="149">
        <f t="shared" si="5"/>
        <v>0</v>
      </c>
      <c r="D42" s="151">
        <f t="shared" si="5"/>
        <v>0</v>
      </c>
      <c r="E42" s="149">
        <f t="shared" si="5"/>
        <v>0</v>
      </c>
      <c r="F42" s="151">
        <f t="shared" si="5"/>
        <v>0</v>
      </c>
      <c r="G42" s="149">
        <f t="shared" si="5"/>
        <v>0</v>
      </c>
      <c r="H42" s="151">
        <f t="shared" si="5"/>
        <v>0</v>
      </c>
      <c r="I42" s="149">
        <f t="shared" si="5"/>
        <v>0</v>
      </c>
      <c r="J42" s="151">
        <f t="shared" si="5"/>
        <v>0</v>
      </c>
      <c r="K42" s="152">
        <f t="shared" si="5"/>
        <v>0</v>
      </c>
      <c r="L42" s="78">
        <f t="shared" si="5"/>
        <v>0</v>
      </c>
      <c r="M42" s="152">
        <f t="shared" si="5"/>
        <v>0</v>
      </c>
    </row>
    <row r="43" spans="1:13" ht="16.2" thickBot="1">
      <c r="A43" s="137" t="s">
        <v>163</v>
      </c>
      <c r="B43" s="138">
        <f>SUM(B21,B30,B34,B42)</f>
        <v>0</v>
      </c>
      <c r="C43" s="139">
        <f t="shared" ref="C43:K43" si="6">SUM(C21,C30,C34,C42)</f>
        <v>0</v>
      </c>
      <c r="D43" s="138">
        <f t="shared" si="6"/>
        <v>0</v>
      </c>
      <c r="E43" s="139">
        <f t="shared" si="6"/>
        <v>0</v>
      </c>
      <c r="F43" s="138">
        <f t="shared" si="6"/>
        <v>0</v>
      </c>
      <c r="G43" s="139">
        <f t="shared" si="6"/>
        <v>0</v>
      </c>
      <c r="H43" s="138">
        <f t="shared" si="6"/>
        <v>0</v>
      </c>
      <c r="I43" s="139">
        <f t="shared" si="6"/>
        <v>0</v>
      </c>
      <c r="J43" s="138">
        <f t="shared" si="6"/>
        <v>0</v>
      </c>
      <c r="K43" s="138">
        <f t="shared" si="6"/>
        <v>0</v>
      </c>
      <c r="L43" s="138">
        <f>SUM(L21,L30,L34,L42)</f>
        <v>0</v>
      </c>
      <c r="M43" s="138">
        <f t="shared" ref="M43" si="7">SUM(M21,M30,M34,M42)</f>
        <v>0</v>
      </c>
    </row>
    <row r="44" spans="1:13" ht="15" thickTop="1">
      <c r="A44" s="94" t="s">
        <v>164</v>
      </c>
      <c r="B44" s="95"/>
      <c r="C44" s="48"/>
      <c r="D44" s="95"/>
      <c r="E44" s="48"/>
      <c r="F44" s="95"/>
      <c r="G44" s="48"/>
      <c r="H44" s="95"/>
      <c r="I44" s="48"/>
      <c r="J44" s="95"/>
      <c r="K44" s="48"/>
      <c r="L44" s="95"/>
      <c r="M44" s="48"/>
    </row>
    <row r="45" spans="1:13">
      <c r="A45" s="126" t="s">
        <v>165</v>
      </c>
      <c r="B45" s="141">
        <v>0</v>
      </c>
      <c r="C45" s="128">
        <v>0</v>
      </c>
      <c r="D45" s="129">
        <v>0</v>
      </c>
      <c r="E45" s="128">
        <v>0</v>
      </c>
      <c r="F45" s="129">
        <v>0</v>
      </c>
      <c r="G45" s="128">
        <v>0</v>
      </c>
      <c r="H45" s="129">
        <v>0</v>
      </c>
      <c r="I45" s="128">
        <v>0</v>
      </c>
      <c r="J45" s="129">
        <v>0</v>
      </c>
      <c r="K45" s="142">
        <v>0</v>
      </c>
      <c r="L45" s="141">
        <f>SUM(D45,F45,H45,J45)</f>
        <v>0</v>
      </c>
      <c r="M45" s="142">
        <f>SUM(E45,G45,I45,K45)</f>
        <v>0</v>
      </c>
    </row>
    <row r="46" spans="1:13">
      <c r="A46" s="134" t="s">
        <v>166</v>
      </c>
      <c r="B46" s="135">
        <v>0</v>
      </c>
      <c r="C46" s="147">
        <v>0</v>
      </c>
      <c r="D46" s="136">
        <v>0</v>
      </c>
      <c r="E46" s="147">
        <v>0</v>
      </c>
      <c r="F46" s="136">
        <v>0</v>
      </c>
      <c r="G46" s="147">
        <v>0</v>
      </c>
      <c r="H46" s="136">
        <v>0</v>
      </c>
      <c r="I46" s="147">
        <v>0</v>
      </c>
      <c r="J46" s="136">
        <v>0</v>
      </c>
      <c r="K46" s="148">
        <v>0</v>
      </c>
      <c r="L46" s="135">
        <f>SUM(D46,F46,H46,J46)</f>
        <v>0</v>
      </c>
      <c r="M46" s="148">
        <f>SUM(E46,G46,I46,K46)</f>
        <v>0</v>
      </c>
    </row>
    <row r="47" spans="1:13">
      <c r="A47" s="99" t="s">
        <v>167</v>
      </c>
      <c r="B47" s="153">
        <f t="shared" ref="B47:M47" si="8">SUM(B45:B46)</f>
        <v>0</v>
      </c>
      <c r="C47" s="91">
        <f t="shared" si="8"/>
        <v>0</v>
      </c>
      <c r="D47" s="78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78">
        <f t="shared" si="8"/>
        <v>0</v>
      </c>
      <c r="I47" s="91">
        <f t="shared" si="8"/>
        <v>0</v>
      </c>
      <c r="J47" s="78">
        <f t="shared" si="8"/>
        <v>0</v>
      </c>
      <c r="K47" s="150">
        <f t="shared" si="8"/>
        <v>0</v>
      </c>
      <c r="L47" s="153">
        <f t="shared" si="8"/>
        <v>0</v>
      </c>
      <c r="M47" s="150">
        <f t="shared" si="8"/>
        <v>0</v>
      </c>
    </row>
    <row r="48" spans="1:13" ht="16.2" thickBot="1">
      <c r="A48" s="137" t="s">
        <v>168</v>
      </c>
      <c r="B48" s="138">
        <f>SUM(B12,B43,B47)</f>
        <v>0</v>
      </c>
      <c r="C48" s="139">
        <f t="shared" ref="C48:K48" si="9">SUM(C12,C43,C47)</f>
        <v>0</v>
      </c>
      <c r="D48" s="138">
        <f t="shared" si="9"/>
        <v>0</v>
      </c>
      <c r="E48" s="139">
        <f t="shared" si="9"/>
        <v>0</v>
      </c>
      <c r="F48" s="138">
        <f t="shared" si="9"/>
        <v>0</v>
      </c>
      <c r="G48" s="139">
        <f t="shared" si="9"/>
        <v>0</v>
      </c>
      <c r="H48" s="138">
        <f t="shared" si="9"/>
        <v>0</v>
      </c>
      <c r="I48" s="139">
        <f t="shared" si="9"/>
        <v>0</v>
      </c>
      <c r="J48" s="138">
        <f t="shared" si="9"/>
        <v>0</v>
      </c>
      <c r="K48" s="138">
        <f t="shared" si="9"/>
        <v>0</v>
      </c>
      <c r="L48" s="138">
        <f>SUM(L12,L43,L47)</f>
        <v>0</v>
      </c>
      <c r="M48" s="138">
        <f t="shared" ref="M48" si="10">SUM(M12,M43,M47)</f>
        <v>0</v>
      </c>
    </row>
    <row r="49" spans="1:13" ht="15" thickTop="1">
      <c r="A49" s="104"/>
      <c r="B49" s="42"/>
      <c r="C49" s="43"/>
      <c r="D49" s="42"/>
      <c r="E49" s="43"/>
      <c r="F49" s="42"/>
      <c r="G49" s="43"/>
      <c r="H49" s="42"/>
      <c r="I49" s="43"/>
      <c r="J49" s="42"/>
      <c r="K49" s="43"/>
      <c r="L49" s="42"/>
      <c r="M49" s="43"/>
    </row>
  </sheetData>
  <conditionalFormatting sqref="B36:M43 B32:M34 B23:M30 B15:M21">
    <cfRule type="cellIs" dxfId="287" priority="445" operator="lessThan">
      <formula>-0.01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BF7FA-A3EB-48E4-88E7-0C481E111C4E}">
  <sheetPr codeName="Sheet3">
    <tabColor theme="5" tint="0.79998168889431442"/>
  </sheetPr>
  <dimension ref="A1:H600"/>
  <sheetViews>
    <sheetView showGridLines="0" showRowColHeaders="0" workbookViewId="0"/>
  </sheetViews>
  <sheetFormatPr defaultRowHeight="14.4"/>
  <cols>
    <col min="1" max="1" width="5.109375" customWidth="1"/>
    <col min="2" max="3" width="19" customWidth="1"/>
    <col min="4" max="4" width="14.21875" style="195" customWidth="1"/>
    <col min="5" max="5" width="5.44140625" style="195" customWidth="1"/>
    <col min="6" max="6" width="14.21875" style="195" customWidth="1"/>
    <col min="7" max="7" width="5.44140625" style="195" customWidth="1"/>
    <col min="8" max="8" width="14.21875" style="195" customWidth="1"/>
  </cols>
  <sheetData>
    <row r="1" spans="1:8">
      <c r="A1" s="168" t="s">
        <v>1583</v>
      </c>
      <c r="D1"/>
      <c r="E1"/>
      <c r="F1"/>
      <c r="G1"/>
      <c r="H1"/>
    </row>
    <row r="2" spans="1:8">
      <c r="A2" s="168" t="s">
        <v>1525</v>
      </c>
      <c r="D2"/>
      <c r="E2"/>
      <c r="F2"/>
      <c r="G2"/>
      <c r="H2"/>
    </row>
    <row r="3" spans="1:8">
      <c r="A3" s="168"/>
      <c r="D3" s="192" t="s">
        <v>118</v>
      </c>
      <c r="E3"/>
      <c r="F3" s="192" t="s">
        <v>177</v>
      </c>
      <c r="G3"/>
      <c r="H3" s="192" t="s">
        <v>1517</v>
      </c>
    </row>
    <row r="4" spans="1:8">
      <c r="D4" s="193">
        <v>7122</v>
      </c>
      <c r="E4"/>
      <c r="F4" s="193" t="s">
        <v>1525</v>
      </c>
      <c r="G4"/>
      <c r="H4" s="193">
        <v>7487</v>
      </c>
    </row>
    <row r="5" spans="1:8" ht="18">
      <c r="A5" s="194" t="s">
        <v>1523</v>
      </c>
      <c r="D5"/>
      <c r="E5"/>
      <c r="F5"/>
      <c r="G5"/>
      <c r="H5"/>
    </row>
    <row r="7" spans="1:8" ht="15" thickBot="1">
      <c r="A7" s="168" t="s">
        <v>1518</v>
      </c>
      <c r="D7" s="196">
        <v>0</v>
      </c>
      <c r="F7" s="196">
        <f>D7</f>
        <v>0</v>
      </c>
      <c r="H7" s="196">
        <f>D7</f>
        <v>0</v>
      </c>
    </row>
    <row r="8" spans="1:8" ht="15" thickTop="1"/>
    <row r="9" spans="1:8">
      <c r="A9" s="168" t="s">
        <v>1512</v>
      </c>
      <c r="D9" s="197">
        <v>0</v>
      </c>
      <c r="F9" s="197">
        <v>0</v>
      </c>
      <c r="H9" s="197">
        <v>0</v>
      </c>
    </row>
    <row r="11" spans="1:8">
      <c r="A11" s="168" t="s">
        <v>1513</v>
      </c>
      <c r="D11" s="197">
        <v>0</v>
      </c>
      <c r="F11" s="197">
        <v>0</v>
      </c>
      <c r="H11" s="197">
        <v>0</v>
      </c>
    </row>
    <row r="13" spans="1:8">
      <c r="A13" s="168" t="s">
        <v>1519</v>
      </c>
    </row>
    <row r="14" spans="1:8">
      <c r="A14" s="165"/>
      <c r="D14" s="197"/>
    </row>
    <row r="15" spans="1:8">
      <c r="A15" s="165"/>
      <c r="D15" s="198">
        <f>SUM(D13:D14)</f>
        <v>0</v>
      </c>
      <c r="F15" s="198">
        <f>SUM(F13:F14)</f>
        <v>0</v>
      </c>
      <c r="H15" s="198">
        <f>SUM(H13:H14)</f>
        <v>0</v>
      </c>
    </row>
    <row r="17" spans="1:8" ht="15" thickBot="1">
      <c r="A17" s="168" t="s">
        <v>1520</v>
      </c>
      <c r="D17" s="199">
        <f>SUM(D7,D9,D11,D15)</f>
        <v>0</v>
      </c>
      <c r="F17" s="199">
        <f>SUM(F7,F9,F11,F15)</f>
        <v>0</v>
      </c>
      <c r="H17" s="199">
        <f>SUM(H7,H9,H11,H15)</f>
        <v>0</v>
      </c>
    </row>
    <row r="18" spans="1:8" ht="15" thickTop="1"/>
    <row r="19" spans="1:8">
      <c r="A19" s="168" t="s">
        <v>1521</v>
      </c>
    </row>
    <row r="20" spans="1:8">
      <c r="A20" s="200"/>
      <c r="D20" s="197"/>
    </row>
    <row r="21" spans="1:8">
      <c r="D21" s="198">
        <f>SUM(D19:D20)</f>
        <v>0</v>
      </c>
      <c r="F21" s="198">
        <f>SUM(F19:F20)</f>
        <v>0</v>
      </c>
      <c r="H21" s="198">
        <f>SUM(H19:H20)</f>
        <v>0</v>
      </c>
    </row>
    <row r="23" spans="1:8" ht="15" thickBot="1">
      <c r="A23" s="168" t="s">
        <v>1522</v>
      </c>
      <c r="D23" s="196">
        <f>D17+D21</f>
        <v>0</v>
      </c>
      <c r="F23" s="196">
        <f>F17+F21</f>
        <v>0</v>
      </c>
      <c r="H23" s="196">
        <f>H17+H21</f>
        <v>0</v>
      </c>
    </row>
    <row r="24" spans="1:8" ht="15" thickTop="1">
      <c r="A24" s="201"/>
      <c r="B24" s="201"/>
      <c r="C24" s="201"/>
      <c r="D24" s="197"/>
      <c r="E24" s="197"/>
      <c r="F24" s="197"/>
      <c r="G24" s="197"/>
      <c r="H24" s="197"/>
    </row>
    <row r="25" spans="1:8">
      <c r="D25"/>
      <c r="E25"/>
      <c r="F25"/>
      <c r="G25"/>
      <c r="H25"/>
    </row>
    <row r="26" spans="1:8">
      <c r="D26"/>
      <c r="E26"/>
      <c r="F26"/>
      <c r="G26"/>
      <c r="H26"/>
    </row>
    <row r="27" spans="1:8">
      <c r="D27"/>
      <c r="E27"/>
      <c r="F27"/>
      <c r="G27"/>
      <c r="H27"/>
    </row>
    <row r="28" spans="1:8">
      <c r="D28"/>
      <c r="E28"/>
      <c r="F28"/>
      <c r="G28"/>
      <c r="H28"/>
    </row>
    <row r="29" spans="1:8">
      <c r="D29"/>
      <c r="E29"/>
      <c r="F29"/>
      <c r="G29"/>
      <c r="H29"/>
    </row>
    <row r="30" spans="1:8">
      <c r="D30"/>
      <c r="E30"/>
      <c r="F30"/>
      <c r="G30"/>
      <c r="H30"/>
    </row>
    <row r="31" spans="1:8">
      <c r="D31"/>
      <c r="E31"/>
      <c r="F31"/>
      <c r="G31"/>
      <c r="H31"/>
    </row>
    <row r="32" spans="1:8">
      <c r="D32"/>
      <c r="E32"/>
      <c r="F32"/>
      <c r="G32"/>
      <c r="H32"/>
    </row>
    <row r="33" spans="4:8">
      <c r="D33"/>
      <c r="E33"/>
      <c r="F33"/>
      <c r="G33"/>
      <c r="H33"/>
    </row>
    <row r="34" spans="4:8">
      <c r="D34"/>
      <c r="E34"/>
      <c r="F34"/>
      <c r="G34"/>
      <c r="H34"/>
    </row>
    <row r="35" spans="4:8">
      <c r="D35"/>
      <c r="E35"/>
      <c r="F35"/>
      <c r="G35"/>
      <c r="H35"/>
    </row>
    <row r="36" spans="4:8">
      <c r="D36"/>
      <c r="E36"/>
      <c r="F36"/>
      <c r="G36"/>
      <c r="H36"/>
    </row>
    <row r="37" spans="4:8">
      <c r="D37"/>
      <c r="E37"/>
      <c r="F37"/>
      <c r="G37"/>
      <c r="H37"/>
    </row>
    <row r="38" spans="4:8">
      <c r="D38"/>
      <c r="E38"/>
      <c r="F38"/>
      <c r="G38"/>
      <c r="H38"/>
    </row>
    <row r="39" spans="4:8">
      <c r="D39"/>
      <c r="E39"/>
      <c r="F39"/>
      <c r="G39"/>
      <c r="H39"/>
    </row>
    <row r="40" spans="4:8">
      <c r="D40"/>
      <c r="E40"/>
      <c r="F40"/>
      <c r="G40"/>
      <c r="H40"/>
    </row>
    <row r="41" spans="4:8">
      <c r="D41"/>
      <c r="E41"/>
      <c r="F41"/>
      <c r="G41"/>
      <c r="H41"/>
    </row>
    <row r="42" spans="4:8">
      <c r="D42"/>
      <c r="E42"/>
      <c r="F42"/>
      <c r="G42"/>
      <c r="H42"/>
    </row>
    <row r="43" spans="4:8">
      <c r="D43"/>
      <c r="E43"/>
      <c r="F43"/>
      <c r="G43"/>
      <c r="H43"/>
    </row>
    <row r="44" spans="4:8">
      <c r="D44"/>
      <c r="E44"/>
      <c r="F44"/>
      <c r="G44"/>
      <c r="H44"/>
    </row>
    <row r="45" spans="4:8">
      <c r="D45"/>
      <c r="E45"/>
      <c r="F45"/>
      <c r="G45"/>
      <c r="H45"/>
    </row>
    <row r="46" spans="4:8">
      <c r="D46"/>
      <c r="E46"/>
      <c r="F46"/>
      <c r="G46"/>
      <c r="H46"/>
    </row>
    <row r="47" spans="4:8">
      <c r="D47"/>
      <c r="E47"/>
      <c r="F47"/>
      <c r="G47"/>
      <c r="H47"/>
    </row>
    <row r="48" spans="4:8">
      <c r="D48"/>
      <c r="E48"/>
      <c r="F48"/>
      <c r="G48"/>
      <c r="H48"/>
    </row>
    <row r="49" spans="4:8">
      <c r="D49"/>
      <c r="E49"/>
      <c r="F49"/>
      <c r="G49"/>
      <c r="H49"/>
    </row>
    <row r="50" spans="4:8">
      <c r="D50"/>
      <c r="E50"/>
      <c r="F50"/>
      <c r="G50"/>
      <c r="H50"/>
    </row>
    <row r="51" spans="4:8">
      <c r="D51"/>
      <c r="E51"/>
      <c r="F51"/>
      <c r="G51"/>
      <c r="H51"/>
    </row>
    <row r="52" spans="4:8">
      <c r="D52"/>
      <c r="E52"/>
      <c r="F52"/>
      <c r="G52"/>
      <c r="H52"/>
    </row>
    <row r="53" spans="4:8">
      <c r="D53"/>
      <c r="E53"/>
      <c r="F53"/>
      <c r="G53"/>
      <c r="H53"/>
    </row>
    <row r="54" spans="4:8">
      <c r="D54"/>
      <c r="E54"/>
      <c r="F54"/>
      <c r="G54"/>
      <c r="H54"/>
    </row>
    <row r="55" spans="4:8">
      <c r="D55"/>
      <c r="E55"/>
      <c r="F55"/>
      <c r="G55"/>
      <c r="H55"/>
    </row>
    <row r="56" spans="4:8">
      <c r="D56"/>
      <c r="E56"/>
      <c r="F56"/>
      <c r="G56"/>
      <c r="H56"/>
    </row>
    <row r="57" spans="4:8">
      <c r="D57"/>
      <c r="E57"/>
      <c r="F57"/>
      <c r="G57"/>
      <c r="H57"/>
    </row>
    <row r="58" spans="4:8">
      <c r="D58"/>
      <c r="E58"/>
      <c r="F58"/>
      <c r="G58"/>
      <c r="H58"/>
    </row>
    <row r="59" spans="4:8">
      <c r="D59"/>
      <c r="E59"/>
      <c r="F59"/>
      <c r="G59"/>
      <c r="H59"/>
    </row>
    <row r="60" spans="4:8">
      <c r="D60"/>
      <c r="E60"/>
      <c r="F60"/>
      <c r="G60"/>
      <c r="H60"/>
    </row>
    <row r="61" spans="4:8">
      <c r="D61"/>
      <c r="E61"/>
      <c r="F61"/>
      <c r="G61"/>
      <c r="H61"/>
    </row>
    <row r="62" spans="4:8">
      <c r="D62"/>
      <c r="E62"/>
      <c r="F62"/>
      <c r="G62"/>
      <c r="H62"/>
    </row>
    <row r="63" spans="4:8">
      <c r="D63"/>
      <c r="E63"/>
      <c r="F63"/>
      <c r="G63"/>
      <c r="H63"/>
    </row>
    <row r="64" spans="4:8">
      <c r="D64"/>
      <c r="E64"/>
      <c r="F64"/>
      <c r="G64"/>
      <c r="H64"/>
    </row>
    <row r="65" spans="4:8">
      <c r="D65"/>
      <c r="E65"/>
      <c r="F65"/>
      <c r="G65"/>
      <c r="H65"/>
    </row>
    <row r="66" spans="4:8">
      <c r="D66"/>
      <c r="E66"/>
      <c r="F66"/>
      <c r="G66"/>
      <c r="H66"/>
    </row>
    <row r="67" spans="4:8">
      <c r="D67"/>
      <c r="E67"/>
      <c r="F67"/>
      <c r="G67"/>
      <c r="H67"/>
    </row>
    <row r="68" spans="4:8">
      <c r="D68"/>
      <c r="E68"/>
      <c r="F68"/>
      <c r="G68"/>
      <c r="H68"/>
    </row>
    <row r="69" spans="4:8">
      <c r="D69"/>
      <c r="E69"/>
      <c r="F69"/>
      <c r="G69"/>
      <c r="H69"/>
    </row>
    <row r="70" spans="4:8">
      <c r="D70"/>
      <c r="E70"/>
      <c r="F70"/>
      <c r="G70"/>
      <c r="H70"/>
    </row>
    <row r="71" spans="4:8">
      <c r="D71"/>
      <c r="E71"/>
      <c r="F71"/>
      <c r="G71"/>
      <c r="H71"/>
    </row>
    <row r="72" spans="4:8">
      <c r="D72"/>
      <c r="E72"/>
      <c r="F72"/>
      <c r="G72"/>
      <c r="H72"/>
    </row>
    <row r="73" spans="4:8">
      <c r="D73"/>
      <c r="E73"/>
      <c r="F73"/>
      <c r="G73"/>
      <c r="H73"/>
    </row>
    <row r="74" spans="4:8">
      <c r="D74"/>
      <c r="E74"/>
      <c r="F74"/>
      <c r="G74"/>
      <c r="H74"/>
    </row>
    <row r="75" spans="4:8">
      <c r="D75"/>
      <c r="E75"/>
      <c r="F75"/>
      <c r="G75"/>
      <c r="H75"/>
    </row>
    <row r="76" spans="4:8">
      <c r="D76"/>
      <c r="E76"/>
      <c r="F76"/>
      <c r="G76"/>
      <c r="H76"/>
    </row>
    <row r="77" spans="4:8">
      <c r="D77"/>
      <c r="E77"/>
      <c r="F77"/>
      <c r="G77"/>
      <c r="H77"/>
    </row>
    <row r="78" spans="4:8">
      <c r="D78"/>
      <c r="E78"/>
      <c r="F78"/>
      <c r="G78"/>
      <c r="H78"/>
    </row>
    <row r="79" spans="4:8">
      <c r="D79"/>
      <c r="E79"/>
      <c r="F79"/>
      <c r="G79"/>
      <c r="H79"/>
    </row>
    <row r="80" spans="4:8">
      <c r="D80"/>
      <c r="E80"/>
      <c r="F80"/>
      <c r="G80"/>
      <c r="H80"/>
    </row>
    <row r="81" spans="4:8">
      <c r="D81"/>
      <c r="E81"/>
      <c r="F81"/>
      <c r="G81"/>
      <c r="H81"/>
    </row>
    <row r="82" spans="4:8">
      <c r="D82"/>
      <c r="E82"/>
      <c r="F82"/>
      <c r="G82"/>
      <c r="H82"/>
    </row>
    <row r="83" spans="4:8">
      <c r="D83"/>
      <c r="E83"/>
      <c r="F83"/>
      <c r="G83"/>
      <c r="H83"/>
    </row>
    <row r="84" spans="4:8">
      <c r="D84"/>
      <c r="E84"/>
      <c r="F84"/>
      <c r="G84"/>
      <c r="H84"/>
    </row>
    <row r="85" spans="4:8">
      <c r="D85"/>
      <c r="E85"/>
      <c r="F85"/>
      <c r="G85"/>
      <c r="H85"/>
    </row>
    <row r="86" spans="4:8">
      <c r="D86"/>
      <c r="E86"/>
      <c r="F86"/>
      <c r="G86"/>
      <c r="H86"/>
    </row>
    <row r="87" spans="4:8">
      <c r="D87"/>
      <c r="E87"/>
      <c r="F87"/>
      <c r="G87"/>
      <c r="H87"/>
    </row>
    <row r="88" spans="4:8">
      <c r="D88"/>
      <c r="E88"/>
      <c r="F88"/>
      <c r="G88"/>
      <c r="H88"/>
    </row>
    <row r="89" spans="4:8">
      <c r="D89"/>
      <c r="E89"/>
      <c r="F89"/>
      <c r="G89"/>
      <c r="H89"/>
    </row>
    <row r="90" spans="4:8">
      <c r="D90"/>
      <c r="E90"/>
      <c r="F90"/>
      <c r="G90"/>
      <c r="H90"/>
    </row>
    <row r="91" spans="4:8">
      <c r="D91"/>
      <c r="E91"/>
      <c r="F91"/>
      <c r="G91"/>
      <c r="H91"/>
    </row>
    <row r="92" spans="4:8">
      <c r="D92"/>
      <c r="E92"/>
      <c r="F92"/>
      <c r="G92"/>
      <c r="H92"/>
    </row>
    <row r="93" spans="4:8">
      <c r="D93"/>
      <c r="E93"/>
      <c r="F93"/>
      <c r="G93"/>
      <c r="H93"/>
    </row>
    <row r="94" spans="4:8">
      <c r="D94"/>
      <c r="E94"/>
      <c r="F94"/>
      <c r="G94"/>
      <c r="H94"/>
    </row>
    <row r="95" spans="4:8">
      <c r="D95"/>
      <c r="E95"/>
      <c r="F95"/>
      <c r="G95"/>
      <c r="H95"/>
    </row>
    <row r="96" spans="4:8">
      <c r="D96"/>
      <c r="E96"/>
      <c r="F96"/>
      <c r="G96"/>
      <c r="H96"/>
    </row>
    <row r="97" spans="4:8">
      <c r="D97"/>
      <c r="E97"/>
      <c r="F97"/>
      <c r="G97"/>
      <c r="H97"/>
    </row>
    <row r="98" spans="4:8">
      <c r="D98"/>
      <c r="E98"/>
      <c r="F98"/>
      <c r="G98"/>
      <c r="H98"/>
    </row>
    <row r="99" spans="4:8">
      <c r="D99"/>
      <c r="E99"/>
      <c r="F99"/>
      <c r="G99"/>
      <c r="H99"/>
    </row>
    <row r="100" spans="4:8">
      <c r="D100"/>
      <c r="E100"/>
      <c r="F100"/>
      <c r="G100"/>
      <c r="H100"/>
    </row>
    <row r="101" spans="4:8">
      <c r="D101"/>
      <c r="E101"/>
      <c r="F101"/>
      <c r="G101"/>
      <c r="H101"/>
    </row>
    <row r="102" spans="4:8">
      <c r="D102"/>
      <c r="E102"/>
      <c r="F102"/>
      <c r="G102"/>
      <c r="H102"/>
    </row>
    <row r="103" spans="4:8">
      <c r="D103"/>
      <c r="E103"/>
      <c r="F103"/>
      <c r="G103"/>
      <c r="H103"/>
    </row>
    <row r="104" spans="4:8">
      <c r="D104"/>
      <c r="E104"/>
      <c r="F104"/>
      <c r="G104"/>
      <c r="H104"/>
    </row>
    <row r="105" spans="4:8">
      <c r="D105"/>
      <c r="E105"/>
      <c r="F105"/>
      <c r="G105"/>
      <c r="H105"/>
    </row>
    <row r="106" spans="4:8">
      <c r="D106"/>
      <c r="E106"/>
      <c r="F106"/>
      <c r="G106"/>
      <c r="H106"/>
    </row>
    <row r="107" spans="4:8">
      <c r="D107"/>
      <c r="E107"/>
      <c r="F107"/>
      <c r="G107"/>
      <c r="H107"/>
    </row>
    <row r="108" spans="4:8">
      <c r="D108"/>
      <c r="E108"/>
      <c r="F108"/>
      <c r="G108"/>
      <c r="H108"/>
    </row>
    <row r="109" spans="4:8">
      <c r="D109"/>
      <c r="E109"/>
      <c r="F109"/>
      <c r="G109"/>
      <c r="H109"/>
    </row>
    <row r="110" spans="4:8">
      <c r="D110"/>
      <c r="E110"/>
      <c r="F110"/>
      <c r="G110"/>
      <c r="H110"/>
    </row>
    <row r="111" spans="4:8">
      <c r="D111"/>
      <c r="E111"/>
      <c r="F111"/>
      <c r="G111"/>
      <c r="H111"/>
    </row>
    <row r="112" spans="4:8">
      <c r="D112"/>
      <c r="E112"/>
      <c r="F112"/>
      <c r="G112"/>
      <c r="H112"/>
    </row>
    <row r="113" spans="4:8">
      <c r="D113"/>
      <c r="E113"/>
      <c r="F113"/>
      <c r="G113"/>
      <c r="H113"/>
    </row>
    <row r="114" spans="4:8">
      <c r="D114"/>
      <c r="E114"/>
      <c r="F114"/>
      <c r="G114"/>
      <c r="H114"/>
    </row>
    <row r="115" spans="4:8">
      <c r="D115"/>
      <c r="E115"/>
      <c r="F115"/>
      <c r="G115"/>
      <c r="H115"/>
    </row>
    <row r="116" spans="4:8">
      <c r="D116"/>
      <c r="E116"/>
      <c r="F116"/>
      <c r="G116"/>
      <c r="H116"/>
    </row>
    <row r="117" spans="4:8">
      <c r="D117"/>
      <c r="E117"/>
      <c r="F117"/>
      <c r="G117"/>
      <c r="H117"/>
    </row>
    <row r="118" spans="4:8">
      <c r="D118"/>
      <c r="E118"/>
      <c r="F118"/>
      <c r="G118"/>
      <c r="H118"/>
    </row>
    <row r="119" spans="4:8">
      <c r="D119"/>
      <c r="E119"/>
      <c r="F119"/>
      <c r="G119"/>
      <c r="H119"/>
    </row>
    <row r="120" spans="4:8">
      <c r="D120"/>
      <c r="E120"/>
      <c r="F120"/>
      <c r="G120"/>
      <c r="H120"/>
    </row>
    <row r="121" spans="4:8">
      <c r="D121"/>
      <c r="E121"/>
      <c r="F121"/>
      <c r="G121"/>
      <c r="H121"/>
    </row>
    <row r="122" spans="4:8">
      <c r="D122"/>
      <c r="E122"/>
      <c r="F122"/>
      <c r="G122"/>
      <c r="H122"/>
    </row>
    <row r="123" spans="4:8">
      <c r="D123"/>
      <c r="E123"/>
      <c r="F123"/>
      <c r="G123"/>
      <c r="H123"/>
    </row>
    <row r="124" spans="4:8">
      <c r="D124"/>
      <c r="E124"/>
      <c r="F124"/>
      <c r="G124"/>
      <c r="H124"/>
    </row>
    <row r="125" spans="4:8">
      <c r="D125"/>
      <c r="E125"/>
      <c r="F125"/>
      <c r="G125"/>
      <c r="H125"/>
    </row>
    <row r="126" spans="4:8">
      <c r="D126"/>
      <c r="E126"/>
      <c r="F126"/>
      <c r="G126"/>
      <c r="H126"/>
    </row>
    <row r="127" spans="4:8">
      <c r="D127"/>
      <c r="E127"/>
      <c r="F127"/>
      <c r="G127"/>
      <c r="H127"/>
    </row>
    <row r="128" spans="4:8">
      <c r="D128"/>
      <c r="E128"/>
      <c r="F128"/>
      <c r="G128"/>
      <c r="H128"/>
    </row>
    <row r="129" spans="4:8">
      <c r="D129"/>
      <c r="E129"/>
      <c r="F129"/>
      <c r="G129"/>
      <c r="H129"/>
    </row>
    <row r="130" spans="4:8">
      <c r="D130"/>
      <c r="E130"/>
      <c r="F130"/>
      <c r="G130"/>
      <c r="H130"/>
    </row>
    <row r="131" spans="4:8">
      <c r="D131"/>
      <c r="E131"/>
      <c r="F131"/>
      <c r="G131"/>
      <c r="H131"/>
    </row>
    <row r="132" spans="4:8">
      <c r="D132"/>
      <c r="E132"/>
      <c r="F132"/>
      <c r="G132"/>
      <c r="H132"/>
    </row>
    <row r="133" spans="4:8">
      <c r="D133"/>
      <c r="E133"/>
      <c r="F133"/>
      <c r="G133"/>
      <c r="H133"/>
    </row>
    <row r="134" spans="4:8">
      <c r="D134"/>
      <c r="E134"/>
      <c r="F134"/>
      <c r="G134"/>
      <c r="H134"/>
    </row>
    <row r="135" spans="4:8">
      <c r="D135"/>
      <c r="E135"/>
      <c r="F135"/>
      <c r="G135"/>
      <c r="H135"/>
    </row>
    <row r="136" spans="4:8">
      <c r="D136"/>
      <c r="E136"/>
      <c r="F136"/>
      <c r="G136"/>
      <c r="H136"/>
    </row>
    <row r="137" spans="4:8">
      <c r="D137"/>
      <c r="E137"/>
      <c r="F137"/>
      <c r="G137"/>
      <c r="H137"/>
    </row>
    <row r="138" spans="4:8">
      <c r="D138"/>
      <c r="E138"/>
      <c r="F138"/>
      <c r="G138"/>
      <c r="H138"/>
    </row>
    <row r="139" spans="4:8">
      <c r="D139"/>
      <c r="E139"/>
      <c r="F139"/>
      <c r="G139"/>
      <c r="H139"/>
    </row>
    <row r="140" spans="4:8">
      <c r="D140"/>
      <c r="E140"/>
      <c r="F140"/>
      <c r="G140"/>
      <c r="H140"/>
    </row>
    <row r="141" spans="4:8">
      <c r="D141"/>
      <c r="E141"/>
      <c r="F141"/>
      <c r="G141"/>
      <c r="H141"/>
    </row>
    <row r="142" spans="4:8">
      <c r="D142"/>
      <c r="E142"/>
      <c r="F142"/>
      <c r="G142"/>
      <c r="H142"/>
    </row>
    <row r="143" spans="4:8">
      <c r="D143"/>
      <c r="E143"/>
      <c r="F143"/>
      <c r="G143"/>
      <c r="H143"/>
    </row>
    <row r="144" spans="4:8">
      <c r="D144"/>
      <c r="E144"/>
      <c r="F144"/>
      <c r="G144"/>
      <c r="H144"/>
    </row>
    <row r="145" spans="4:8">
      <c r="D145"/>
      <c r="E145"/>
      <c r="F145"/>
      <c r="G145"/>
      <c r="H145"/>
    </row>
    <row r="146" spans="4:8">
      <c r="D146"/>
      <c r="E146"/>
      <c r="F146"/>
      <c r="G146"/>
      <c r="H146"/>
    </row>
    <row r="147" spans="4:8">
      <c r="D147"/>
      <c r="E147"/>
      <c r="F147"/>
      <c r="G147"/>
      <c r="H147"/>
    </row>
    <row r="148" spans="4:8">
      <c r="D148"/>
      <c r="E148"/>
      <c r="F148"/>
      <c r="G148"/>
      <c r="H148"/>
    </row>
    <row r="149" spans="4:8">
      <c r="D149"/>
      <c r="E149"/>
      <c r="F149"/>
      <c r="G149"/>
      <c r="H149"/>
    </row>
    <row r="150" spans="4:8">
      <c r="D150"/>
      <c r="E150"/>
      <c r="F150"/>
      <c r="G150"/>
      <c r="H150"/>
    </row>
    <row r="151" spans="4:8">
      <c r="D151"/>
      <c r="E151"/>
      <c r="F151"/>
      <c r="G151"/>
      <c r="H151"/>
    </row>
    <row r="152" spans="4:8">
      <c r="D152"/>
      <c r="E152"/>
      <c r="F152"/>
      <c r="G152"/>
      <c r="H152"/>
    </row>
    <row r="153" spans="4:8">
      <c r="D153"/>
      <c r="E153"/>
      <c r="F153"/>
      <c r="G153"/>
      <c r="H153"/>
    </row>
    <row r="154" spans="4:8">
      <c r="D154"/>
      <c r="E154"/>
      <c r="F154"/>
      <c r="G154"/>
      <c r="H154"/>
    </row>
    <row r="155" spans="4:8">
      <c r="D155"/>
      <c r="E155"/>
      <c r="F155"/>
      <c r="G155"/>
      <c r="H155"/>
    </row>
    <row r="156" spans="4:8">
      <c r="D156"/>
      <c r="E156"/>
      <c r="F156"/>
      <c r="G156"/>
      <c r="H156"/>
    </row>
    <row r="157" spans="4:8">
      <c r="D157"/>
      <c r="E157"/>
      <c r="F157"/>
      <c r="G157"/>
      <c r="H157"/>
    </row>
    <row r="158" spans="4:8">
      <c r="D158"/>
      <c r="E158"/>
      <c r="F158"/>
      <c r="G158"/>
      <c r="H158"/>
    </row>
    <row r="159" spans="4:8">
      <c r="D159"/>
      <c r="E159"/>
      <c r="F159"/>
      <c r="G159"/>
      <c r="H159"/>
    </row>
    <row r="160" spans="4:8">
      <c r="D160"/>
      <c r="E160"/>
      <c r="F160"/>
      <c r="G160"/>
      <c r="H160"/>
    </row>
    <row r="161" spans="4:8">
      <c r="D161"/>
      <c r="E161"/>
      <c r="F161"/>
      <c r="G161"/>
      <c r="H161"/>
    </row>
    <row r="162" spans="4:8">
      <c r="D162"/>
      <c r="E162"/>
      <c r="F162"/>
      <c r="G162"/>
      <c r="H162"/>
    </row>
    <row r="163" spans="4:8">
      <c r="D163"/>
      <c r="E163"/>
      <c r="F163"/>
      <c r="G163"/>
      <c r="H163"/>
    </row>
    <row r="164" spans="4:8">
      <c r="D164"/>
      <c r="E164"/>
      <c r="F164"/>
      <c r="G164"/>
      <c r="H164"/>
    </row>
    <row r="165" spans="4:8">
      <c r="D165"/>
      <c r="E165"/>
      <c r="F165"/>
      <c r="G165"/>
      <c r="H165"/>
    </row>
    <row r="166" spans="4:8">
      <c r="D166"/>
      <c r="E166"/>
      <c r="F166"/>
      <c r="G166"/>
      <c r="H166"/>
    </row>
    <row r="167" spans="4:8">
      <c r="D167"/>
      <c r="E167"/>
      <c r="F167"/>
      <c r="G167"/>
      <c r="H167"/>
    </row>
    <row r="168" spans="4:8">
      <c r="D168"/>
      <c r="E168"/>
      <c r="F168"/>
      <c r="G168"/>
      <c r="H168"/>
    </row>
    <row r="169" spans="4:8">
      <c r="D169"/>
      <c r="E169"/>
      <c r="F169"/>
      <c r="G169"/>
      <c r="H169"/>
    </row>
    <row r="170" spans="4:8">
      <c r="D170"/>
      <c r="E170"/>
      <c r="F170"/>
      <c r="G170"/>
      <c r="H170"/>
    </row>
    <row r="171" spans="4:8">
      <c r="D171"/>
      <c r="E171"/>
      <c r="F171"/>
      <c r="G171"/>
      <c r="H171"/>
    </row>
    <row r="172" spans="4:8">
      <c r="D172"/>
      <c r="E172"/>
      <c r="F172"/>
      <c r="G172"/>
      <c r="H172"/>
    </row>
    <row r="173" spans="4:8">
      <c r="D173"/>
      <c r="E173"/>
      <c r="F173"/>
      <c r="G173"/>
      <c r="H173"/>
    </row>
    <row r="174" spans="4:8">
      <c r="D174"/>
      <c r="E174"/>
      <c r="F174"/>
      <c r="G174"/>
      <c r="H174"/>
    </row>
    <row r="175" spans="4:8">
      <c r="D175"/>
      <c r="E175"/>
      <c r="F175"/>
      <c r="G175"/>
      <c r="H175"/>
    </row>
    <row r="176" spans="4:8">
      <c r="D176"/>
      <c r="E176"/>
      <c r="F176"/>
      <c r="G176"/>
      <c r="H176"/>
    </row>
    <row r="177" spans="4:8">
      <c r="D177"/>
      <c r="E177"/>
      <c r="F177"/>
      <c r="G177"/>
      <c r="H177"/>
    </row>
    <row r="178" spans="4:8">
      <c r="D178"/>
      <c r="E178"/>
      <c r="F178"/>
      <c r="G178"/>
      <c r="H178"/>
    </row>
    <row r="179" spans="4:8">
      <c r="D179"/>
      <c r="E179"/>
      <c r="F179"/>
      <c r="G179"/>
      <c r="H179"/>
    </row>
    <row r="180" spans="4:8">
      <c r="D180"/>
      <c r="E180"/>
      <c r="F180"/>
      <c r="G180"/>
      <c r="H180"/>
    </row>
    <row r="181" spans="4:8">
      <c r="D181"/>
      <c r="E181"/>
      <c r="F181"/>
      <c r="G181"/>
      <c r="H181"/>
    </row>
    <row r="182" spans="4:8">
      <c r="D182"/>
      <c r="E182"/>
      <c r="F182"/>
      <c r="G182"/>
      <c r="H182"/>
    </row>
    <row r="183" spans="4:8">
      <c r="D183"/>
      <c r="E183"/>
      <c r="F183"/>
      <c r="G183"/>
      <c r="H183"/>
    </row>
    <row r="184" spans="4:8">
      <c r="D184"/>
      <c r="E184"/>
      <c r="F184"/>
      <c r="G184"/>
      <c r="H184"/>
    </row>
    <row r="185" spans="4:8">
      <c r="D185"/>
      <c r="E185"/>
      <c r="F185"/>
      <c r="G185"/>
      <c r="H185"/>
    </row>
    <row r="186" spans="4:8">
      <c r="D186"/>
      <c r="E186"/>
      <c r="F186"/>
      <c r="G186"/>
      <c r="H186"/>
    </row>
    <row r="187" spans="4:8">
      <c r="D187"/>
      <c r="E187"/>
      <c r="F187"/>
      <c r="G187"/>
      <c r="H187"/>
    </row>
    <row r="188" spans="4:8">
      <c r="D188"/>
      <c r="E188"/>
      <c r="F188"/>
      <c r="G188"/>
      <c r="H188"/>
    </row>
    <row r="189" spans="4:8">
      <c r="D189"/>
      <c r="E189"/>
      <c r="F189"/>
      <c r="G189"/>
      <c r="H189"/>
    </row>
    <row r="190" spans="4:8">
      <c r="D190"/>
      <c r="E190"/>
      <c r="F190"/>
      <c r="G190"/>
      <c r="H190"/>
    </row>
    <row r="191" spans="4:8">
      <c r="D191"/>
      <c r="E191"/>
      <c r="F191"/>
      <c r="G191"/>
      <c r="H191"/>
    </row>
    <row r="192" spans="4:8">
      <c r="D192"/>
      <c r="E192"/>
      <c r="F192"/>
      <c r="G192"/>
      <c r="H192"/>
    </row>
    <row r="193" spans="4:8">
      <c r="D193"/>
      <c r="E193"/>
      <c r="F193"/>
      <c r="G193"/>
      <c r="H193"/>
    </row>
    <row r="194" spans="4:8">
      <c r="D194"/>
      <c r="E194"/>
      <c r="F194"/>
      <c r="G194"/>
      <c r="H194"/>
    </row>
    <row r="195" spans="4:8">
      <c r="D195"/>
      <c r="E195"/>
      <c r="F195"/>
      <c r="G195"/>
      <c r="H195"/>
    </row>
    <row r="196" spans="4:8">
      <c r="D196"/>
      <c r="E196"/>
      <c r="F196"/>
      <c r="G196"/>
      <c r="H196"/>
    </row>
    <row r="197" spans="4:8">
      <c r="D197"/>
      <c r="E197"/>
      <c r="F197"/>
      <c r="G197"/>
      <c r="H197"/>
    </row>
    <row r="198" spans="4:8">
      <c r="D198"/>
      <c r="E198"/>
      <c r="F198"/>
      <c r="G198"/>
      <c r="H198"/>
    </row>
    <row r="199" spans="4:8">
      <c r="D199"/>
      <c r="E199"/>
      <c r="F199"/>
      <c r="G199"/>
      <c r="H199"/>
    </row>
    <row r="200" spans="4:8">
      <c r="D200"/>
      <c r="E200"/>
      <c r="F200"/>
      <c r="G200"/>
      <c r="H200"/>
    </row>
    <row r="201" spans="4:8">
      <c r="D201"/>
      <c r="E201"/>
      <c r="F201"/>
      <c r="G201"/>
      <c r="H201"/>
    </row>
    <row r="202" spans="4:8">
      <c r="D202"/>
      <c r="E202"/>
      <c r="F202"/>
      <c r="G202"/>
      <c r="H202"/>
    </row>
    <row r="203" spans="4:8">
      <c r="D203"/>
      <c r="E203"/>
      <c r="F203"/>
      <c r="G203"/>
      <c r="H203"/>
    </row>
    <row r="204" spans="4:8">
      <c r="D204"/>
      <c r="E204"/>
      <c r="F204"/>
      <c r="G204"/>
      <c r="H204"/>
    </row>
    <row r="205" spans="4:8">
      <c r="D205"/>
      <c r="E205"/>
      <c r="F205"/>
      <c r="G205"/>
      <c r="H205"/>
    </row>
    <row r="206" spans="4:8">
      <c r="D206"/>
      <c r="E206"/>
      <c r="F206"/>
      <c r="G206"/>
      <c r="H206"/>
    </row>
    <row r="207" spans="4:8">
      <c r="D207"/>
      <c r="E207"/>
      <c r="F207"/>
      <c r="G207"/>
      <c r="H207"/>
    </row>
    <row r="208" spans="4:8">
      <c r="D208"/>
      <c r="E208"/>
      <c r="F208"/>
      <c r="G208"/>
      <c r="H208"/>
    </row>
    <row r="209" spans="4:8">
      <c r="D209"/>
      <c r="E209"/>
      <c r="F209"/>
      <c r="G209"/>
      <c r="H209"/>
    </row>
    <row r="210" spans="4:8">
      <c r="D210"/>
      <c r="E210"/>
      <c r="F210"/>
      <c r="G210"/>
      <c r="H210"/>
    </row>
    <row r="211" spans="4:8">
      <c r="D211"/>
      <c r="E211"/>
      <c r="F211"/>
      <c r="G211"/>
      <c r="H211"/>
    </row>
    <row r="212" spans="4:8">
      <c r="D212"/>
      <c r="E212"/>
      <c r="F212"/>
      <c r="G212"/>
      <c r="H212"/>
    </row>
    <row r="213" spans="4:8">
      <c r="D213"/>
      <c r="E213"/>
      <c r="F213"/>
      <c r="G213"/>
      <c r="H213"/>
    </row>
    <row r="214" spans="4:8">
      <c r="D214"/>
      <c r="E214"/>
      <c r="F214"/>
      <c r="G214"/>
      <c r="H214"/>
    </row>
    <row r="215" spans="4:8">
      <c r="D215"/>
      <c r="E215"/>
      <c r="F215"/>
      <c r="G215"/>
      <c r="H215"/>
    </row>
    <row r="216" spans="4:8">
      <c r="D216"/>
      <c r="E216"/>
      <c r="F216"/>
      <c r="G216"/>
      <c r="H216"/>
    </row>
    <row r="217" spans="4:8">
      <c r="D217"/>
      <c r="E217"/>
      <c r="F217"/>
      <c r="G217"/>
      <c r="H217"/>
    </row>
    <row r="218" spans="4:8">
      <c r="D218"/>
      <c r="E218"/>
      <c r="F218"/>
      <c r="G218"/>
      <c r="H218"/>
    </row>
    <row r="219" spans="4:8">
      <c r="D219"/>
      <c r="E219"/>
      <c r="F219"/>
      <c r="G219"/>
      <c r="H219"/>
    </row>
    <row r="220" spans="4:8">
      <c r="D220"/>
      <c r="E220"/>
      <c r="F220"/>
      <c r="G220"/>
      <c r="H220"/>
    </row>
    <row r="221" spans="4:8">
      <c r="D221"/>
      <c r="E221"/>
      <c r="F221"/>
      <c r="G221"/>
      <c r="H221"/>
    </row>
    <row r="222" spans="4:8">
      <c r="D222"/>
      <c r="E222"/>
      <c r="F222"/>
      <c r="G222"/>
      <c r="H222"/>
    </row>
    <row r="223" spans="4:8">
      <c r="D223"/>
      <c r="E223"/>
      <c r="F223"/>
      <c r="G223"/>
      <c r="H223"/>
    </row>
    <row r="224" spans="4:8">
      <c r="D224"/>
      <c r="E224"/>
      <c r="F224"/>
      <c r="G224"/>
      <c r="H224"/>
    </row>
    <row r="225" spans="4:8">
      <c r="D225"/>
      <c r="E225"/>
      <c r="F225"/>
      <c r="G225"/>
      <c r="H225"/>
    </row>
    <row r="226" spans="4:8">
      <c r="D226"/>
      <c r="E226"/>
      <c r="F226"/>
      <c r="G226"/>
      <c r="H226"/>
    </row>
    <row r="227" spans="4:8">
      <c r="D227"/>
      <c r="E227"/>
      <c r="F227"/>
      <c r="G227"/>
      <c r="H227"/>
    </row>
    <row r="228" spans="4:8">
      <c r="D228"/>
      <c r="E228"/>
      <c r="F228"/>
      <c r="G228"/>
      <c r="H228"/>
    </row>
    <row r="229" spans="4:8">
      <c r="D229"/>
      <c r="E229"/>
      <c r="F229"/>
      <c r="G229"/>
      <c r="H229"/>
    </row>
    <row r="230" spans="4:8">
      <c r="D230"/>
      <c r="E230"/>
      <c r="F230"/>
      <c r="G230"/>
      <c r="H230"/>
    </row>
    <row r="231" spans="4:8">
      <c r="D231"/>
      <c r="E231"/>
      <c r="F231"/>
      <c r="G231"/>
      <c r="H231"/>
    </row>
    <row r="232" spans="4:8">
      <c r="D232"/>
      <c r="E232"/>
      <c r="F232"/>
      <c r="G232"/>
      <c r="H232"/>
    </row>
    <row r="233" spans="4:8">
      <c r="D233"/>
      <c r="E233"/>
      <c r="F233"/>
      <c r="G233"/>
      <c r="H233"/>
    </row>
    <row r="234" spans="4:8">
      <c r="D234"/>
      <c r="E234"/>
      <c r="F234"/>
      <c r="G234"/>
      <c r="H234"/>
    </row>
    <row r="235" spans="4:8">
      <c r="D235"/>
      <c r="E235"/>
      <c r="F235"/>
      <c r="G235"/>
      <c r="H235"/>
    </row>
    <row r="236" spans="4:8">
      <c r="D236"/>
      <c r="E236"/>
      <c r="F236"/>
      <c r="G236"/>
      <c r="H236"/>
    </row>
    <row r="237" spans="4:8">
      <c r="D237"/>
      <c r="E237"/>
      <c r="F237"/>
      <c r="G237"/>
      <c r="H237"/>
    </row>
    <row r="238" spans="4:8">
      <c r="D238"/>
      <c r="E238"/>
      <c r="F238"/>
      <c r="G238"/>
      <c r="H238"/>
    </row>
    <row r="239" spans="4:8">
      <c r="D239"/>
      <c r="E239"/>
      <c r="F239"/>
      <c r="G239"/>
      <c r="H239"/>
    </row>
    <row r="240" spans="4:8">
      <c r="D240"/>
      <c r="E240"/>
      <c r="F240"/>
      <c r="G240"/>
      <c r="H240"/>
    </row>
    <row r="241" spans="4:8">
      <c r="D241"/>
      <c r="E241"/>
      <c r="F241"/>
      <c r="G241"/>
      <c r="H241"/>
    </row>
    <row r="242" spans="4:8">
      <c r="D242"/>
      <c r="E242"/>
      <c r="F242"/>
      <c r="G242"/>
      <c r="H242"/>
    </row>
    <row r="243" spans="4:8">
      <c r="D243"/>
      <c r="E243"/>
      <c r="F243"/>
      <c r="G243"/>
      <c r="H243"/>
    </row>
    <row r="244" spans="4:8">
      <c r="D244"/>
      <c r="E244"/>
      <c r="F244"/>
      <c r="G244"/>
      <c r="H244"/>
    </row>
    <row r="245" spans="4:8">
      <c r="D245"/>
      <c r="E245"/>
      <c r="F245"/>
      <c r="G245"/>
      <c r="H245"/>
    </row>
    <row r="246" spans="4:8">
      <c r="D246"/>
      <c r="E246"/>
      <c r="F246"/>
      <c r="G246"/>
      <c r="H246"/>
    </row>
    <row r="247" spans="4:8">
      <c r="D247"/>
      <c r="E247"/>
      <c r="F247"/>
      <c r="G247"/>
      <c r="H247"/>
    </row>
    <row r="248" spans="4:8">
      <c r="D248"/>
      <c r="E248"/>
      <c r="F248"/>
      <c r="G248"/>
      <c r="H248"/>
    </row>
    <row r="249" spans="4:8">
      <c r="D249"/>
      <c r="E249"/>
      <c r="F249"/>
      <c r="G249"/>
      <c r="H249"/>
    </row>
    <row r="250" spans="4:8">
      <c r="D250"/>
      <c r="E250"/>
      <c r="F250"/>
      <c r="G250"/>
      <c r="H250"/>
    </row>
    <row r="251" spans="4:8">
      <c r="D251"/>
      <c r="E251"/>
      <c r="F251"/>
      <c r="G251"/>
      <c r="H251"/>
    </row>
    <row r="252" spans="4:8">
      <c r="D252"/>
      <c r="E252"/>
      <c r="F252"/>
      <c r="G252"/>
      <c r="H252"/>
    </row>
    <row r="253" spans="4:8">
      <c r="D253"/>
      <c r="E253"/>
      <c r="F253"/>
      <c r="G253"/>
      <c r="H253"/>
    </row>
    <row r="254" spans="4:8">
      <c r="D254"/>
      <c r="E254"/>
      <c r="F254"/>
      <c r="G254"/>
      <c r="H254"/>
    </row>
    <row r="255" spans="4:8">
      <c r="D255"/>
      <c r="E255"/>
      <c r="F255"/>
      <c r="G255"/>
      <c r="H255"/>
    </row>
    <row r="256" spans="4:8">
      <c r="D256"/>
      <c r="E256"/>
      <c r="F256"/>
      <c r="G256"/>
      <c r="H256"/>
    </row>
    <row r="257" spans="4:8">
      <c r="D257"/>
      <c r="E257"/>
      <c r="F257"/>
      <c r="G257"/>
      <c r="H257"/>
    </row>
    <row r="258" spans="4:8">
      <c r="D258"/>
      <c r="E258"/>
      <c r="F258"/>
      <c r="G258"/>
      <c r="H258"/>
    </row>
    <row r="259" spans="4:8">
      <c r="D259"/>
      <c r="E259"/>
      <c r="F259"/>
      <c r="G259"/>
      <c r="H259"/>
    </row>
    <row r="260" spans="4:8">
      <c r="D260"/>
      <c r="E260"/>
      <c r="F260"/>
      <c r="G260"/>
      <c r="H260"/>
    </row>
    <row r="261" spans="4:8">
      <c r="D261"/>
      <c r="E261"/>
      <c r="F261"/>
      <c r="G261"/>
      <c r="H261"/>
    </row>
    <row r="262" spans="4:8">
      <c r="D262"/>
      <c r="E262"/>
      <c r="F262"/>
      <c r="G262"/>
      <c r="H262"/>
    </row>
    <row r="263" spans="4:8">
      <c r="D263"/>
      <c r="E263"/>
      <c r="F263"/>
      <c r="G263"/>
      <c r="H263"/>
    </row>
    <row r="264" spans="4:8">
      <c r="D264"/>
      <c r="E264"/>
      <c r="F264"/>
      <c r="G264"/>
      <c r="H264"/>
    </row>
    <row r="265" spans="4:8">
      <c r="D265"/>
      <c r="E265"/>
      <c r="F265"/>
      <c r="G265"/>
      <c r="H265"/>
    </row>
    <row r="266" spans="4:8">
      <c r="D266"/>
      <c r="E266"/>
      <c r="F266"/>
      <c r="G266"/>
      <c r="H266"/>
    </row>
    <row r="267" spans="4:8">
      <c r="D267"/>
      <c r="E267"/>
      <c r="F267"/>
      <c r="G267"/>
      <c r="H267"/>
    </row>
    <row r="268" spans="4:8">
      <c r="D268"/>
      <c r="E268"/>
      <c r="F268"/>
      <c r="G268"/>
      <c r="H268"/>
    </row>
    <row r="269" spans="4:8">
      <c r="D269"/>
      <c r="E269"/>
      <c r="F269"/>
      <c r="G269"/>
      <c r="H269"/>
    </row>
    <row r="270" spans="4:8">
      <c r="D270"/>
      <c r="E270"/>
      <c r="F270"/>
      <c r="G270"/>
      <c r="H270"/>
    </row>
    <row r="271" spans="4:8">
      <c r="D271"/>
      <c r="E271"/>
      <c r="F271"/>
      <c r="G271"/>
      <c r="H271"/>
    </row>
    <row r="272" spans="4:8">
      <c r="D272"/>
      <c r="E272"/>
      <c r="F272"/>
      <c r="G272"/>
      <c r="H272"/>
    </row>
    <row r="273" spans="4:8">
      <c r="D273"/>
      <c r="E273"/>
      <c r="F273"/>
      <c r="G273"/>
      <c r="H273"/>
    </row>
    <row r="274" spans="4:8">
      <c r="D274"/>
      <c r="E274"/>
      <c r="F274"/>
      <c r="G274"/>
      <c r="H274"/>
    </row>
    <row r="275" spans="4:8">
      <c r="D275"/>
      <c r="E275"/>
      <c r="F275"/>
      <c r="G275"/>
      <c r="H275"/>
    </row>
    <row r="276" spans="4:8">
      <c r="D276"/>
      <c r="E276"/>
      <c r="F276"/>
      <c r="G276"/>
      <c r="H276"/>
    </row>
    <row r="277" spans="4:8">
      <c r="D277"/>
      <c r="E277"/>
      <c r="F277"/>
      <c r="G277"/>
      <c r="H277"/>
    </row>
    <row r="278" spans="4:8">
      <c r="D278"/>
      <c r="E278"/>
      <c r="F278"/>
      <c r="G278"/>
      <c r="H278"/>
    </row>
    <row r="279" spans="4:8">
      <c r="D279"/>
      <c r="E279"/>
      <c r="F279"/>
      <c r="G279"/>
      <c r="H279"/>
    </row>
    <row r="280" spans="4:8">
      <c r="D280"/>
      <c r="E280"/>
      <c r="F280"/>
      <c r="G280"/>
      <c r="H280"/>
    </row>
    <row r="281" spans="4:8">
      <c r="D281"/>
      <c r="E281"/>
      <c r="F281"/>
      <c r="G281"/>
      <c r="H281"/>
    </row>
    <row r="282" spans="4:8">
      <c r="D282"/>
      <c r="E282"/>
      <c r="F282"/>
      <c r="G282"/>
      <c r="H282"/>
    </row>
    <row r="283" spans="4:8">
      <c r="D283"/>
      <c r="E283"/>
      <c r="F283"/>
      <c r="G283"/>
      <c r="H283"/>
    </row>
    <row r="284" spans="4:8">
      <c r="D284"/>
      <c r="E284"/>
      <c r="F284"/>
      <c r="G284"/>
      <c r="H284"/>
    </row>
    <row r="285" spans="4:8">
      <c r="D285"/>
      <c r="E285"/>
      <c r="F285"/>
      <c r="G285"/>
      <c r="H285"/>
    </row>
    <row r="286" spans="4:8">
      <c r="D286"/>
      <c r="E286"/>
      <c r="F286"/>
      <c r="G286"/>
      <c r="H286"/>
    </row>
    <row r="287" spans="4:8">
      <c r="D287"/>
      <c r="E287"/>
      <c r="F287"/>
      <c r="G287"/>
      <c r="H287"/>
    </row>
    <row r="288" spans="4:8">
      <c r="D288"/>
      <c r="E288"/>
      <c r="F288"/>
      <c r="G288"/>
      <c r="H288"/>
    </row>
    <row r="289" spans="4:8">
      <c r="D289"/>
      <c r="E289"/>
      <c r="F289"/>
      <c r="G289"/>
      <c r="H289"/>
    </row>
    <row r="290" spans="4:8">
      <c r="D290"/>
      <c r="E290"/>
      <c r="F290"/>
      <c r="G290"/>
      <c r="H290"/>
    </row>
    <row r="291" spans="4:8">
      <c r="D291"/>
      <c r="E291"/>
      <c r="F291"/>
      <c r="G291"/>
      <c r="H291"/>
    </row>
    <row r="292" spans="4:8">
      <c r="D292"/>
      <c r="E292"/>
      <c r="F292"/>
      <c r="G292"/>
      <c r="H292"/>
    </row>
    <row r="293" spans="4:8">
      <c r="D293"/>
      <c r="E293"/>
      <c r="F293"/>
      <c r="G293"/>
      <c r="H293"/>
    </row>
    <row r="294" spans="4:8">
      <c r="D294"/>
      <c r="E294"/>
      <c r="F294"/>
      <c r="G294"/>
      <c r="H294"/>
    </row>
    <row r="295" spans="4:8">
      <c r="D295"/>
      <c r="E295"/>
      <c r="F295"/>
      <c r="G295"/>
      <c r="H295"/>
    </row>
    <row r="296" spans="4:8">
      <c r="D296"/>
      <c r="E296"/>
      <c r="F296"/>
      <c r="G296"/>
      <c r="H296"/>
    </row>
    <row r="297" spans="4:8">
      <c r="D297"/>
      <c r="E297"/>
      <c r="F297"/>
      <c r="G297"/>
      <c r="H297"/>
    </row>
    <row r="298" spans="4:8">
      <c r="D298"/>
      <c r="E298"/>
      <c r="F298"/>
      <c r="G298"/>
      <c r="H298"/>
    </row>
    <row r="299" spans="4:8">
      <c r="D299"/>
      <c r="E299"/>
      <c r="F299"/>
      <c r="G299"/>
      <c r="H299"/>
    </row>
    <row r="300" spans="4:8">
      <c r="D300"/>
      <c r="E300"/>
      <c r="F300"/>
      <c r="G300"/>
      <c r="H300"/>
    </row>
    <row r="301" spans="4:8">
      <c r="D301"/>
      <c r="E301"/>
      <c r="F301"/>
      <c r="G301"/>
      <c r="H301"/>
    </row>
    <row r="302" spans="4:8">
      <c r="D302"/>
      <c r="E302"/>
      <c r="F302"/>
      <c r="G302"/>
      <c r="H302"/>
    </row>
    <row r="303" spans="4:8">
      <c r="D303"/>
      <c r="E303"/>
      <c r="F303"/>
      <c r="G303"/>
      <c r="H303"/>
    </row>
    <row r="304" spans="4:8">
      <c r="D304"/>
      <c r="E304"/>
      <c r="F304"/>
      <c r="G304"/>
      <c r="H304"/>
    </row>
    <row r="305" spans="4:8">
      <c r="D305"/>
      <c r="E305"/>
      <c r="F305"/>
      <c r="G305"/>
      <c r="H305"/>
    </row>
    <row r="306" spans="4:8">
      <c r="D306"/>
      <c r="E306"/>
      <c r="F306"/>
      <c r="G306"/>
      <c r="H306"/>
    </row>
    <row r="307" spans="4:8">
      <c r="D307"/>
      <c r="E307"/>
      <c r="F307"/>
      <c r="G307"/>
      <c r="H307"/>
    </row>
    <row r="308" spans="4:8">
      <c r="D308"/>
      <c r="E308"/>
      <c r="F308"/>
      <c r="G308"/>
      <c r="H308"/>
    </row>
    <row r="309" spans="4:8">
      <c r="D309"/>
      <c r="E309"/>
      <c r="F309"/>
      <c r="G309"/>
      <c r="H309"/>
    </row>
    <row r="310" spans="4:8">
      <c r="D310"/>
      <c r="E310"/>
      <c r="F310"/>
      <c r="G310"/>
      <c r="H310"/>
    </row>
    <row r="311" spans="4:8">
      <c r="D311"/>
      <c r="E311"/>
      <c r="F311"/>
      <c r="G311"/>
      <c r="H311"/>
    </row>
    <row r="312" spans="4:8">
      <c r="D312"/>
      <c r="E312"/>
      <c r="F312"/>
      <c r="G312"/>
      <c r="H312"/>
    </row>
    <row r="313" spans="4:8">
      <c r="D313"/>
      <c r="E313"/>
      <c r="F313"/>
      <c r="G313"/>
      <c r="H313"/>
    </row>
    <row r="314" spans="4:8">
      <c r="D314"/>
      <c r="E314"/>
      <c r="F314"/>
      <c r="G314"/>
      <c r="H314"/>
    </row>
    <row r="315" spans="4:8">
      <c r="D315"/>
      <c r="E315"/>
      <c r="F315"/>
      <c r="G315"/>
      <c r="H315"/>
    </row>
    <row r="316" spans="4:8">
      <c r="D316"/>
      <c r="E316"/>
      <c r="F316"/>
      <c r="G316"/>
      <c r="H316"/>
    </row>
    <row r="317" spans="4:8">
      <c r="D317"/>
      <c r="E317"/>
      <c r="F317"/>
      <c r="G317"/>
      <c r="H317"/>
    </row>
    <row r="318" spans="4:8">
      <c r="D318"/>
      <c r="E318"/>
      <c r="F318"/>
      <c r="G318"/>
      <c r="H318"/>
    </row>
    <row r="319" spans="4:8">
      <c r="D319"/>
      <c r="E319"/>
      <c r="F319"/>
      <c r="G319"/>
      <c r="H319"/>
    </row>
    <row r="320" spans="4:8">
      <c r="D320"/>
      <c r="E320"/>
      <c r="F320"/>
      <c r="G320"/>
      <c r="H320"/>
    </row>
    <row r="321" spans="4:8">
      <c r="D321"/>
      <c r="E321"/>
      <c r="F321"/>
      <c r="G321"/>
      <c r="H321"/>
    </row>
    <row r="322" spans="4:8">
      <c r="D322"/>
      <c r="E322"/>
      <c r="F322"/>
      <c r="G322"/>
      <c r="H322"/>
    </row>
    <row r="323" spans="4:8">
      <c r="D323"/>
      <c r="E323"/>
      <c r="F323"/>
      <c r="G323"/>
      <c r="H323"/>
    </row>
    <row r="324" spans="4:8">
      <c r="D324"/>
      <c r="E324"/>
      <c r="F324"/>
      <c r="G324"/>
      <c r="H324"/>
    </row>
    <row r="325" spans="4:8">
      <c r="D325"/>
      <c r="E325"/>
      <c r="F325"/>
      <c r="G325"/>
      <c r="H325"/>
    </row>
    <row r="326" spans="4:8">
      <c r="D326"/>
      <c r="E326"/>
      <c r="F326"/>
      <c r="G326"/>
      <c r="H326"/>
    </row>
    <row r="327" spans="4:8">
      <c r="D327"/>
      <c r="E327"/>
      <c r="F327"/>
      <c r="G327"/>
      <c r="H327"/>
    </row>
    <row r="328" spans="4:8">
      <c r="D328"/>
      <c r="E328"/>
      <c r="F328"/>
      <c r="G328"/>
      <c r="H328"/>
    </row>
    <row r="329" spans="4:8">
      <c r="D329"/>
      <c r="E329"/>
      <c r="F329"/>
      <c r="G329"/>
      <c r="H329"/>
    </row>
    <row r="330" spans="4:8">
      <c r="D330"/>
      <c r="E330"/>
      <c r="F330"/>
      <c r="G330"/>
      <c r="H330"/>
    </row>
    <row r="331" spans="4:8">
      <c r="D331"/>
      <c r="E331"/>
      <c r="F331"/>
      <c r="G331"/>
      <c r="H331"/>
    </row>
    <row r="332" spans="4:8">
      <c r="D332"/>
      <c r="E332"/>
      <c r="F332"/>
      <c r="G332"/>
      <c r="H332"/>
    </row>
    <row r="333" spans="4:8">
      <c r="D333"/>
      <c r="E333"/>
      <c r="F333"/>
      <c r="G333"/>
      <c r="H333"/>
    </row>
    <row r="334" spans="4:8">
      <c r="D334"/>
      <c r="E334"/>
      <c r="F334"/>
      <c r="G334"/>
      <c r="H334"/>
    </row>
    <row r="335" spans="4:8">
      <c r="D335"/>
      <c r="E335"/>
      <c r="F335"/>
      <c r="G335"/>
      <c r="H335"/>
    </row>
    <row r="336" spans="4:8">
      <c r="D336"/>
      <c r="E336"/>
      <c r="F336"/>
      <c r="G336"/>
      <c r="H336"/>
    </row>
    <row r="337" spans="4:8">
      <c r="D337"/>
      <c r="E337"/>
      <c r="F337"/>
      <c r="G337"/>
      <c r="H337"/>
    </row>
    <row r="338" spans="4:8">
      <c r="D338"/>
      <c r="E338"/>
      <c r="F338"/>
      <c r="G338"/>
      <c r="H338"/>
    </row>
    <row r="339" spans="4:8">
      <c r="D339"/>
      <c r="E339"/>
      <c r="F339"/>
      <c r="G339"/>
      <c r="H339"/>
    </row>
    <row r="340" spans="4:8">
      <c r="D340"/>
      <c r="E340"/>
      <c r="F340"/>
      <c r="G340"/>
      <c r="H340"/>
    </row>
    <row r="341" spans="4:8">
      <c r="D341"/>
      <c r="E341"/>
      <c r="F341"/>
      <c r="G341"/>
      <c r="H341"/>
    </row>
    <row r="342" spans="4:8">
      <c r="D342"/>
      <c r="E342"/>
      <c r="F342"/>
      <c r="G342"/>
      <c r="H342"/>
    </row>
    <row r="343" spans="4:8">
      <c r="D343"/>
      <c r="E343"/>
      <c r="F343"/>
      <c r="G343"/>
      <c r="H343"/>
    </row>
    <row r="344" spans="4:8">
      <c r="D344"/>
      <c r="E344"/>
      <c r="F344"/>
      <c r="G344"/>
      <c r="H344"/>
    </row>
    <row r="345" spans="4:8">
      <c r="D345"/>
      <c r="E345"/>
      <c r="F345"/>
      <c r="G345"/>
      <c r="H345"/>
    </row>
    <row r="346" spans="4:8">
      <c r="D346"/>
      <c r="E346"/>
      <c r="F346"/>
      <c r="G346"/>
      <c r="H346"/>
    </row>
    <row r="347" spans="4:8">
      <c r="D347"/>
      <c r="E347"/>
      <c r="F347"/>
      <c r="G347"/>
      <c r="H347"/>
    </row>
    <row r="348" spans="4:8">
      <c r="D348"/>
      <c r="E348"/>
      <c r="F348"/>
      <c r="G348"/>
      <c r="H348"/>
    </row>
    <row r="349" spans="4:8">
      <c r="D349"/>
      <c r="E349"/>
      <c r="F349"/>
      <c r="G349"/>
      <c r="H349"/>
    </row>
    <row r="350" spans="4:8">
      <c r="D350"/>
      <c r="E350"/>
      <c r="F350"/>
      <c r="G350"/>
      <c r="H350"/>
    </row>
    <row r="351" spans="4:8">
      <c r="D351"/>
      <c r="E351"/>
      <c r="F351"/>
      <c r="G351"/>
      <c r="H351"/>
    </row>
    <row r="352" spans="4:8">
      <c r="D352"/>
      <c r="E352"/>
      <c r="F352"/>
      <c r="G352"/>
      <c r="H352"/>
    </row>
    <row r="353" spans="4:8">
      <c r="D353"/>
      <c r="E353"/>
      <c r="F353"/>
      <c r="G353"/>
      <c r="H353"/>
    </row>
    <row r="354" spans="4:8">
      <c r="D354"/>
      <c r="E354"/>
      <c r="F354"/>
      <c r="G354"/>
      <c r="H354"/>
    </row>
    <row r="355" spans="4:8">
      <c r="D355"/>
      <c r="E355"/>
      <c r="F355"/>
      <c r="G355"/>
      <c r="H355"/>
    </row>
    <row r="356" spans="4:8">
      <c r="D356"/>
      <c r="E356"/>
      <c r="F356"/>
      <c r="G356"/>
      <c r="H356"/>
    </row>
    <row r="357" spans="4:8">
      <c r="D357"/>
      <c r="E357"/>
      <c r="F357"/>
      <c r="G357"/>
      <c r="H357"/>
    </row>
    <row r="358" spans="4:8">
      <c r="D358"/>
      <c r="E358"/>
      <c r="F358"/>
      <c r="G358"/>
      <c r="H358"/>
    </row>
    <row r="359" spans="4:8">
      <c r="D359"/>
      <c r="E359"/>
      <c r="F359"/>
      <c r="G359"/>
      <c r="H359"/>
    </row>
    <row r="360" spans="4:8">
      <c r="D360"/>
      <c r="E360"/>
      <c r="F360"/>
      <c r="G360"/>
      <c r="H360"/>
    </row>
    <row r="361" spans="4:8">
      <c r="D361"/>
      <c r="E361"/>
      <c r="F361"/>
      <c r="G361"/>
      <c r="H361"/>
    </row>
    <row r="362" spans="4:8">
      <c r="D362"/>
      <c r="E362"/>
      <c r="F362"/>
      <c r="G362"/>
      <c r="H362"/>
    </row>
    <row r="363" spans="4:8">
      <c r="D363"/>
      <c r="E363"/>
      <c r="F363"/>
      <c r="G363"/>
      <c r="H363"/>
    </row>
    <row r="364" spans="4:8">
      <c r="D364"/>
      <c r="E364"/>
      <c r="F364"/>
      <c r="G364"/>
      <c r="H364"/>
    </row>
    <row r="365" spans="4:8">
      <c r="D365"/>
      <c r="E365"/>
      <c r="F365"/>
      <c r="G365"/>
      <c r="H365"/>
    </row>
    <row r="366" spans="4:8">
      <c r="D366"/>
      <c r="E366"/>
      <c r="F366"/>
      <c r="G366"/>
      <c r="H366"/>
    </row>
    <row r="367" spans="4:8">
      <c r="D367"/>
      <c r="E367"/>
      <c r="F367"/>
      <c r="G367"/>
      <c r="H367"/>
    </row>
    <row r="368" spans="4:8">
      <c r="D368"/>
      <c r="E368"/>
      <c r="F368"/>
      <c r="G368"/>
      <c r="H368"/>
    </row>
    <row r="369" spans="4:8">
      <c r="D369"/>
      <c r="E369"/>
      <c r="F369"/>
      <c r="G369"/>
      <c r="H369"/>
    </row>
    <row r="370" spans="4:8">
      <c r="D370"/>
      <c r="E370"/>
      <c r="F370"/>
      <c r="G370"/>
      <c r="H370"/>
    </row>
    <row r="371" spans="4:8">
      <c r="D371"/>
      <c r="E371"/>
      <c r="F371"/>
      <c r="G371"/>
      <c r="H371"/>
    </row>
    <row r="372" spans="4:8">
      <c r="D372"/>
      <c r="E372"/>
      <c r="F372"/>
      <c r="G372"/>
      <c r="H372"/>
    </row>
    <row r="373" spans="4:8">
      <c r="D373"/>
      <c r="E373"/>
      <c r="F373"/>
      <c r="G373"/>
      <c r="H373"/>
    </row>
    <row r="374" spans="4:8">
      <c r="D374"/>
      <c r="E374"/>
      <c r="F374"/>
      <c r="G374"/>
      <c r="H374"/>
    </row>
    <row r="375" spans="4:8">
      <c r="D375"/>
      <c r="E375"/>
      <c r="F375"/>
      <c r="G375"/>
      <c r="H375"/>
    </row>
    <row r="376" spans="4:8">
      <c r="D376"/>
      <c r="E376"/>
      <c r="F376"/>
      <c r="G376"/>
      <c r="H376"/>
    </row>
    <row r="377" spans="4:8">
      <c r="D377"/>
      <c r="E377"/>
      <c r="F377"/>
      <c r="G377"/>
      <c r="H377"/>
    </row>
    <row r="378" spans="4:8">
      <c r="D378"/>
      <c r="E378"/>
      <c r="F378"/>
      <c r="G378"/>
      <c r="H378"/>
    </row>
    <row r="379" spans="4:8">
      <c r="D379"/>
      <c r="E379"/>
      <c r="F379"/>
      <c r="G379"/>
      <c r="H379"/>
    </row>
    <row r="380" spans="4:8">
      <c r="D380"/>
      <c r="E380"/>
      <c r="F380"/>
      <c r="G380"/>
      <c r="H380"/>
    </row>
    <row r="381" spans="4:8">
      <c r="D381"/>
      <c r="E381"/>
      <c r="F381"/>
      <c r="G381"/>
      <c r="H381"/>
    </row>
    <row r="382" spans="4:8">
      <c r="D382"/>
      <c r="E382"/>
      <c r="F382"/>
      <c r="G382"/>
      <c r="H382"/>
    </row>
    <row r="383" spans="4:8">
      <c r="D383"/>
      <c r="E383"/>
      <c r="F383"/>
      <c r="G383"/>
      <c r="H383"/>
    </row>
    <row r="384" spans="4:8">
      <c r="D384"/>
      <c r="E384"/>
      <c r="F384"/>
      <c r="G384"/>
      <c r="H384"/>
    </row>
    <row r="385" spans="4:8">
      <c r="D385"/>
      <c r="E385"/>
      <c r="F385"/>
      <c r="G385"/>
      <c r="H385"/>
    </row>
    <row r="386" spans="4:8">
      <c r="D386"/>
      <c r="E386"/>
      <c r="F386"/>
      <c r="G386"/>
      <c r="H386"/>
    </row>
    <row r="387" spans="4:8">
      <c r="D387"/>
      <c r="E387"/>
      <c r="F387"/>
      <c r="G387"/>
      <c r="H387"/>
    </row>
    <row r="388" spans="4:8">
      <c r="D388"/>
      <c r="E388"/>
      <c r="F388"/>
      <c r="G388"/>
      <c r="H388"/>
    </row>
    <row r="389" spans="4:8">
      <c r="D389"/>
      <c r="E389"/>
      <c r="F389"/>
      <c r="G389"/>
      <c r="H389"/>
    </row>
    <row r="390" spans="4:8">
      <c r="D390"/>
      <c r="E390"/>
      <c r="F390"/>
      <c r="G390"/>
      <c r="H390"/>
    </row>
    <row r="391" spans="4:8">
      <c r="D391"/>
      <c r="E391"/>
      <c r="F391"/>
      <c r="G391"/>
      <c r="H391"/>
    </row>
    <row r="392" spans="4:8">
      <c r="D392"/>
      <c r="E392"/>
      <c r="F392"/>
      <c r="G392"/>
      <c r="H392"/>
    </row>
    <row r="393" spans="4:8">
      <c r="D393"/>
      <c r="E393"/>
      <c r="F393"/>
      <c r="G393"/>
      <c r="H393"/>
    </row>
    <row r="394" spans="4:8">
      <c r="D394"/>
      <c r="E394"/>
      <c r="F394"/>
      <c r="G394"/>
      <c r="H394"/>
    </row>
    <row r="395" spans="4:8">
      <c r="D395"/>
      <c r="E395"/>
      <c r="F395"/>
      <c r="G395"/>
      <c r="H395"/>
    </row>
    <row r="396" spans="4:8">
      <c r="D396"/>
      <c r="E396"/>
      <c r="F396"/>
      <c r="G396"/>
      <c r="H396"/>
    </row>
    <row r="397" spans="4:8">
      <c r="D397"/>
      <c r="E397"/>
      <c r="F397"/>
      <c r="G397"/>
      <c r="H397"/>
    </row>
    <row r="398" spans="4:8">
      <c r="D398"/>
      <c r="E398"/>
      <c r="F398"/>
      <c r="G398"/>
      <c r="H398"/>
    </row>
    <row r="399" spans="4:8">
      <c r="D399"/>
      <c r="E399"/>
      <c r="F399"/>
      <c r="G399"/>
      <c r="H399"/>
    </row>
    <row r="400" spans="4:8">
      <c r="D400"/>
      <c r="E400"/>
      <c r="F400"/>
      <c r="G400"/>
      <c r="H400"/>
    </row>
    <row r="401" spans="4:8">
      <c r="D401"/>
      <c r="E401"/>
      <c r="F401"/>
      <c r="G401"/>
      <c r="H401"/>
    </row>
    <row r="402" spans="4:8">
      <c r="D402"/>
      <c r="E402"/>
      <c r="F402"/>
      <c r="G402"/>
      <c r="H402"/>
    </row>
    <row r="403" spans="4:8">
      <c r="D403"/>
      <c r="E403"/>
      <c r="F403"/>
      <c r="G403"/>
      <c r="H403"/>
    </row>
    <row r="404" spans="4:8">
      <c r="D404"/>
      <c r="E404"/>
      <c r="F404"/>
      <c r="G404"/>
      <c r="H404"/>
    </row>
    <row r="405" spans="4:8">
      <c r="D405"/>
      <c r="E405"/>
      <c r="F405"/>
      <c r="G405"/>
      <c r="H405"/>
    </row>
    <row r="406" spans="4:8">
      <c r="D406"/>
      <c r="E406"/>
      <c r="F406"/>
      <c r="G406"/>
      <c r="H406"/>
    </row>
    <row r="407" spans="4:8">
      <c r="D407"/>
      <c r="E407"/>
      <c r="F407"/>
      <c r="G407"/>
      <c r="H407"/>
    </row>
    <row r="408" spans="4:8">
      <c r="D408"/>
      <c r="E408"/>
      <c r="F408"/>
      <c r="G408"/>
      <c r="H408"/>
    </row>
    <row r="409" spans="4:8">
      <c r="D409"/>
      <c r="E409"/>
      <c r="F409"/>
      <c r="G409"/>
      <c r="H409"/>
    </row>
    <row r="410" spans="4:8">
      <c r="D410"/>
      <c r="E410"/>
      <c r="F410"/>
      <c r="G410"/>
      <c r="H410"/>
    </row>
    <row r="411" spans="4:8">
      <c r="D411"/>
      <c r="E411"/>
      <c r="F411"/>
      <c r="G411"/>
      <c r="H411"/>
    </row>
    <row r="412" spans="4:8">
      <c r="D412"/>
      <c r="E412"/>
      <c r="F412"/>
      <c r="G412"/>
      <c r="H412"/>
    </row>
    <row r="413" spans="4:8">
      <c r="D413"/>
      <c r="E413"/>
      <c r="F413"/>
      <c r="G413"/>
      <c r="H413"/>
    </row>
    <row r="414" spans="4:8">
      <c r="D414"/>
      <c r="E414"/>
      <c r="F414"/>
      <c r="G414"/>
      <c r="H414"/>
    </row>
    <row r="415" spans="4:8">
      <c r="D415"/>
      <c r="E415"/>
      <c r="F415"/>
      <c r="G415"/>
      <c r="H415"/>
    </row>
    <row r="416" spans="4:8">
      <c r="D416"/>
      <c r="E416"/>
      <c r="F416"/>
      <c r="G416"/>
      <c r="H416"/>
    </row>
    <row r="417" spans="4:8">
      <c r="D417"/>
      <c r="E417"/>
      <c r="F417"/>
      <c r="G417"/>
      <c r="H417"/>
    </row>
    <row r="418" spans="4:8">
      <c r="D418"/>
      <c r="E418"/>
      <c r="F418"/>
      <c r="G418"/>
      <c r="H418"/>
    </row>
    <row r="419" spans="4:8">
      <c r="D419"/>
      <c r="E419"/>
      <c r="F419"/>
      <c r="G419"/>
      <c r="H419"/>
    </row>
    <row r="420" spans="4:8">
      <c r="D420"/>
      <c r="E420"/>
      <c r="F420"/>
      <c r="G420"/>
      <c r="H420"/>
    </row>
    <row r="421" spans="4:8">
      <c r="D421"/>
      <c r="E421"/>
      <c r="F421"/>
      <c r="G421"/>
      <c r="H421"/>
    </row>
    <row r="422" spans="4:8">
      <c r="D422"/>
      <c r="E422"/>
      <c r="F422"/>
      <c r="G422"/>
      <c r="H422"/>
    </row>
    <row r="423" spans="4:8">
      <c r="D423"/>
      <c r="E423"/>
      <c r="F423"/>
      <c r="G423"/>
      <c r="H423"/>
    </row>
    <row r="424" spans="4:8">
      <c r="D424"/>
      <c r="E424"/>
      <c r="F424"/>
      <c r="G424"/>
      <c r="H424"/>
    </row>
    <row r="425" spans="4:8">
      <c r="D425"/>
      <c r="E425"/>
      <c r="F425"/>
      <c r="G425"/>
      <c r="H425"/>
    </row>
    <row r="426" spans="4:8">
      <c r="D426"/>
      <c r="E426"/>
      <c r="F426"/>
      <c r="G426"/>
      <c r="H426"/>
    </row>
    <row r="427" spans="4:8">
      <c r="D427"/>
      <c r="E427"/>
      <c r="F427"/>
      <c r="G427"/>
      <c r="H427"/>
    </row>
    <row r="428" spans="4:8">
      <c r="D428"/>
      <c r="E428"/>
      <c r="F428"/>
      <c r="G428"/>
      <c r="H428"/>
    </row>
    <row r="429" spans="4:8">
      <c r="D429"/>
      <c r="E429"/>
      <c r="F429"/>
      <c r="G429"/>
      <c r="H429"/>
    </row>
    <row r="430" spans="4:8">
      <c r="D430"/>
      <c r="E430"/>
      <c r="F430"/>
      <c r="G430"/>
      <c r="H430"/>
    </row>
    <row r="431" spans="4:8">
      <c r="D431"/>
      <c r="E431"/>
      <c r="F431"/>
      <c r="G431"/>
      <c r="H431"/>
    </row>
    <row r="432" spans="4:8">
      <c r="D432"/>
      <c r="E432"/>
      <c r="F432"/>
      <c r="G432"/>
      <c r="H432"/>
    </row>
    <row r="433" spans="4:8">
      <c r="D433"/>
      <c r="E433"/>
      <c r="F433"/>
      <c r="G433"/>
      <c r="H433"/>
    </row>
    <row r="434" spans="4:8">
      <c r="D434"/>
      <c r="E434"/>
      <c r="F434"/>
      <c r="G434"/>
      <c r="H434"/>
    </row>
    <row r="435" spans="4:8">
      <c r="D435"/>
      <c r="E435"/>
      <c r="F435"/>
      <c r="G435"/>
      <c r="H435"/>
    </row>
    <row r="436" spans="4:8">
      <c r="D436"/>
      <c r="E436"/>
      <c r="F436"/>
      <c r="G436"/>
      <c r="H436"/>
    </row>
    <row r="437" spans="4:8">
      <c r="D437"/>
      <c r="E437"/>
      <c r="F437"/>
      <c r="G437"/>
      <c r="H437"/>
    </row>
    <row r="438" spans="4:8">
      <c r="D438"/>
      <c r="E438"/>
      <c r="F438"/>
      <c r="G438"/>
      <c r="H438"/>
    </row>
    <row r="439" spans="4:8">
      <c r="D439"/>
      <c r="E439"/>
      <c r="F439"/>
      <c r="G439"/>
      <c r="H439"/>
    </row>
    <row r="440" spans="4:8">
      <c r="D440"/>
      <c r="E440"/>
      <c r="F440"/>
      <c r="G440"/>
      <c r="H440"/>
    </row>
    <row r="441" spans="4:8">
      <c r="D441"/>
      <c r="E441"/>
      <c r="F441"/>
      <c r="G441"/>
      <c r="H441"/>
    </row>
    <row r="442" spans="4:8">
      <c r="D442"/>
      <c r="E442"/>
      <c r="F442"/>
      <c r="G442"/>
      <c r="H442"/>
    </row>
    <row r="443" spans="4:8">
      <c r="D443"/>
      <c r="E443"/>
      <c r="F443"/>
      <c r="G443"/>
      <c r="H443"/>
    </row>
    <row r="444" spans="4:8">
      <c r="D444"/>
      <c r="E444"/>
      <c r="F444"/>
      <c r="G444"/>
      <c r="H444"/>
    </row>
    <row r="445" spans="4:8">
      <c r="D445"/>
      <c r="E445"/>
      <c r="F445"/>
      <c r="G445"/>
      <c r="H445"/>
    </row>
    <row r="446" spans="4:8">
      <c r="D446"/>
      <c r="E446"/>
      <c r="F446"/>
      <c r="G446"/>
      <c r="H446"/>
    </row>
    <row r="447" spans="4:8">
      <c r="D447"/>
      <c r="E447"/>
      <c r="F447"/>
      <c r="G447"/>
      <c r="H447"/>
    </row>
    <row r="448" spans="4:8">
      <c r="D448"/>
      <c r="E448"/>
      <c r="F448"/>
      <c r="G448"/>
      <c r="H448"/>
    </row>
    <row r="449" spans="4:8">
      <c r="D449"/>
      <c r="E449"/>
      <c r="F449"/>
      <c r="G449"/>
      <c r="H449"/>
    </row>
    <row r="450" spans="4:8">
      <c r="D450"/>
      <c r="E450"/>
      <c r="F450"/>
      <c r="G450"/>
      <c r="H450"/>
    </row>
    <row r="451" spans="4:8">
      <c r="D451"/>
      <c r="E451"/>
      <c r="F451"/>
      <c r="G451"/>
      <c r="H451"/>
    </row>
    <row r="452" spans="4:8">
      <c r="D452"/>
      <c r="E452"/>
      <c r="F452"/>
      <c r="G452"/>
      <c r="H452"/>
    </row>
    <row r="453" spans="4:8">
      <c r="D453"/>
      <c r="E453"/>
      <c r="F453"/>
      <c r="G453"/>
      <c r="H453"/>
    </row>
    <row r="454" spans="4:8">
      <c r="D454"/>
      <c r="E454"/>
      <c r="F454"/>
      <c r="G454"/>
      <c r="H454"/>
    </row>
    <row r="455" spans="4:8">
      <c r="D455"/>
      <c r="E455"/>
      <c r="F455"/>
      <c r="G455"/>
      <c r="H455"/>
    </row>
    <row r="456" spans="4:8">
      <c r="D456"/>
      <c r="E456"/>
      <c r="F456"/>
      <c r="G456"/>
      <c r="H456"/>
    </row>
    <row r="457" spans="4:8">
      <c r="D457"/>
      <c r="E457"/>
      <c r="F457"/>
      <c r="G457"/>
      <c r="H457"/>
    </row>
    <row r="458" spans="4:8">
      <c r="D458"/>
      <c r="E458"/>
      <c r="F458"/>
      <c r="G458"/>
      <c r="H458"/>
    </row>
    <row r="459" spans="4:8">
      <c r="D459"/>
      <c r="E459"/>
      <c r="F459"/>
      <c r="G459"/>
      <c r="H459"/>
    </row>
    <row r="460" spans="4:8">
      <c r="D460"/>
      <c r="E460"/>
      <c r="F460"/>
      <c r="G460"/>
      <c r="H460"/>
    </row>
    <row r="461" spans="4:8">
      <c r="D461"/>
      <c r="E461"/>
      <c r="F461"/>
      <c r="G461"/>
      <c r="H461"/>
    </row>
    <row r="462" spans="4:8">
      <c r="D462"/>
      <c r="E462"/>
      <c r="F462"/>
      <c r="G462"/>
      <c r="H462"/>
    </row>
    <row r="463" spans="4:8">
      <c r="D463"/>
      <c r="E463"/>
      <c r="F463"/>
      <c r="G463"/>
      <c r="H463"/>
    </row>
    <row r="464" spans="4:8">
      <c r="D464"/>
      <c r="E464"/>
      <c r="F464"/>
      <c r="G464"/>
      <c r="H464"/>
    </row>
    <row r="465" spans="4:8">
      <c r="D465"/>
      <c r="E465"/>
      <c r="F465"/>
      <c r="G465"/>
      <c r="H465"/>
    </row>
    <row r="466" spans="4:8">
      <c r="D466"/>
      <c r="E466"/>
      <c r="F466"/>
      <c r="G466"/>
      <c r="H466"/>
    </row>
    <row r="467" spans="4:8">
      <c r="D467"/>
      <c r="E467"/>
      <c r="F467"/>
      <c r="G467"/>
      <c r="H467"/>
    </row>
    <row r="468" spans="4:8">
      <c r="D468"/>
      <c r="E468"/>
      <c r="F468"/>
      <c r="G468"/>
      <c r="H468"/>
    </row>
    <row r="469" spans="4:8">
      <c r="D469"/>
      <c r="E469"/>
      <c r="F469"/>
      <c r="G469"/>
      <c r="H469"/>
    </row>
    <row r="470" spans="4:8">
      <c r="D470"/>
      <c r="E470"/>
      <c r="F470"/>
      <c r="G470"/>
      <c r="H470"/>
    </row>
    <row r="471" spans="4:8">
      <c r="D471"/>
      <c r="E471"/>
      <c r="F471"/>
      <c r="G471"/>
      <c r="H471"/>
    </row>
    <row r="472" spans="4:8">
      <c r="D472"/>
      <c r="E472"/>
      <c r="F472"/>
      <c r="G472"/>
      <c r="H472"/>
    </row>
    <row r="473" spans="4:8">
      <c r="D473"/>
      <c r="E473"/>
      <c r="F473"/>
      <c r="G473"/>
      <c r="H473"/>
    </row>
    <row r="474" spans="4:8">
      <c r="D474"/>
      <c r="E474"/>
      <c r="F474"/>
      <c r="G474"/>
      <c r="H474"/>
    </row>
    <row r="475" spans="4:8">
      <c r="D475"/>
      <c r="E475"/>
      <c r="F475"/>
      <c r="G475"/>
      <c r="H475"/>
    </row>
    <row r="476" spans="4:8">
      <c r="D476"/>
      <c r="E476"/>
      <c r="F476"/>
      <c r="G476"/>
      <c r="H476"/>
    </row>
    <row r="477" spans="4:8">
      <c r="D477"/>
      <c r="E477"/>
      <c r="F477"/>
      <c r="G477"/>
      <c r="H477"/>
    </row>
    <row r="478" spans="4:8">
      <c r="D478"/>
      <c r="E478"/>
      <c r="F478"/>
      <c r="G478"/>
      <c r="H478"/>
    </row>
    <row r="479" spans="4:8">
      <c r="D479"/>
      <c r="E479"/>
      <c r="F479"/>
      <c r="G479"/>
      <c r="H479"/>
    </row>
    <row r="480" spans="4:8">
      <c r="D480"/>
      <c r="E480"/>
      <c r="F480"/>
      <c r="G480"/>
      <c r="H480"/>
    </row>
    <row r="481" spans="4:8">
      <c r="D481"/>
      <c r="E481"/>
      <c r="F481"/>
      <c r="G481"/>
      <c r="H481"/>
    </row>
    <row r="482" spans="4:8">
      <c r="D482"/>
      <c r="E482"/>
      <c r="F482"/>
      <c r="G482"/>
      <c r="H482"/>
    </row>
    <row r="483" spans="4:8">
      <c r="D483"/>
      <c r="E483"/>
      <c r="F483"/>
      <c r="G483"/>
      <c r="H483"/>
    </row>
    <row r="484" spans="4:8">
      <c r="D484"/>
      <c r="E484"/>
      <c r="F484"/>
      <c r="G484"/>
      <c r="H484"/>
    </row>
    <row r="485" spans="4:8">
      <c r="D485"/>
      <c r="E485"/>
      <c r="F485"/>
      <c r="G485"/>
      <c r="H485"/>
    </row>
    <row r="486" spans="4:8">
      <c r="D486"/>
      <c r="E486"/>
      <c r="F486"/>
      <c r="G486"/>
      <c r="H486"/>
    </row>
    <row r="487" spans="4:8">
      <c r="D487"/>
      <c r="E487"/>
      <c r="F487"/>
      <c r="G487"/>
      <c r="H487"/>
    </row>
    <row r="488" spans="4:8">
      <c r="D488"/>
      <c r="E488"/>
      <c r="F488"/>
      <c r="G488"/>
      <c r="H488"/>
    </row>
    <row r="489" spans="4:8">
      <c r="D489"/>
      <c r="E489"/>
      <c r="F489"/>
      <c r="G489"/>
      <c r="H489"/>
    </row>
    <row r="490" spans="4:8">
      <c r="D490"/>
      <c r="E490"/>
      <c r="F490"/>
      <c r="G490"/>
      <c r="H490"/>
    </row>
    <row r="491" spans="4:8">
      <c r="D491"/>
      <c r="E491"/>
      <c r="F491"/>
      <c r="G491"/>
      <c r="H491"/>
    </row>
    <row r="492" spans="4:8">
      <c r="D492"/>
      <c r="E492"/>
      <c r="F492"/>
      <c r="G492"/>
      <c r="H492"/>
    </row>
    <row r="493" spans="4:8">
      <c r="D493"/>
      <c r="E493"/>
      <c r="F493"/>
      <c r="G493"/>
      <c r="H493"/>
    </row>
    <row r="494" spans="4:8">
      <c r="D494"/>
      <c r="E494"/>
      <c r="F494"/>
      <c r="G494"/>
      <c r="H494"/>
    </row>
    <row r="495" spans="4:8">
      <c r="D495"/>
      <c r="E495"/>
      <c r="F495"/>
      <c r="G495"/>
      <c r="H495"/>
    </row>
    <row r="496" spans="4:8">
      <c r="D496"/>
      <c r="E496"/>
      <c r="F496"/>
      <c r="G496"/>
      <c r="H496"/>
    </row>
    <row r="497" spans="4:8">
      <c r="D497"/>
      <c r="E497"/>
      <c r="F497"/>
      <c r="G497"/>
      <c r="H497"/>
    </row>
    <row r="498" spans="4:8">
      <c r="D498"/>
      <c r="E498"/>
      <c r="F498"/>
      <c r="G498"/>
      <c r="H498"/>
    </row>
    <row r="499" spans="4:8">
      <c r="D499"/>
      <c r="E499"/>
      <c r="F499"/>
      <c r="G499"/>
      <c r="H499"/>
    </row>
    <row r="500" spans="4:8">
      <c r="D500"/>
      <c r="E500"/>
      <c r="F500"/>
      <c r="G500"/>
      <c r="H500"/>
    </row>
    <row r="501" spans="4:8">
      <c r="D501"/>
      <c r="E501"/>
      <c r="F501"/>
      <c r="G501"/>
      <c r="H501"/>
    </row>
    <row r="502" spans="4:8">
      <c r="D502"/>
      <c r="E502"/>
      <c r="F502"/>
      <c r="G502"/>
      <c r="H502"/>
    </row>
    <row r="503" spans="4:8">
      <c r="D503"/>
      <c r="E503"/>
      <c r="F503"/>
      <c r="G503"/>
      <c r="H503"/>
    </row>
    <row r="504" spans="4:8">
      <c r="D504"/>
      <c r="E504"/>
      <c r="F504"/>
      <c r="G504"/>
      <c r="H504"/>
    </row>
    <row r="505" spans="4:8">
      <c r="D505"/>
      <c r="E505"/>
      <c r="F505"/>
      <c r="G505"/>
      <c r="H505"/>
    </row>
    <row r="506" spans="4:8">
      <c r="D506"/>
      <c r="E506"/>
      <c r="F506"/>
      <c r="G506"/>
      <c r="H506"/>
    </row>
    <row r="507" spans="4:8">
      <c r="D507"/>
      <c r="E507"/>
      <c r="F507"/>
      <c r="G507"/>
      <c r="H507"/>
    </row>
    <row r="508" spans="4:8">
      <c r="D508"/>
      <c r="E508"/>
      <c r="F508"/>
      <c r="G508"/>
      <c r="H508"/>
    </row>
    <row r="509" spans="4:8">
      <c r="D509"/>
      <c r="E509"/>
      <c r="F509"/>
      <c r="G509"/>
      <c r="H509"/>
    </row>
    <row r="510" spans="4:8">
      <c r="D510"/>
      <c r="E510"/>
      <c r="F510"/>
      <c r="G510"/>
      <c r="H510"/>
    </row>
    <row r="511" spans="4:8">
      <c r="D511"/>
      <c r="E511"/>
      <c r="F511"/>
      <c r="G511"/>
      <c r="H511"/>
    </row>
    <row r="512" spans="4:8">
      <c r="D512"/>
      <c r="E512"/>
      <c r="F512"/>
      <c r="G512"/>
      <c r="H512"/>
    </row>
    <row r="513" spans="4:8">
      <c r="D513"/>
      <c r="E513"/>
      <c r="F513"/>
      <c r="G513"/>
      <c r="H513"/>
    </row>
    <row r="514" spans="4:8">
      <c r="D514"/>
      <c r="E514"/>
      <c r="F514"/>
      <c r="G514"/>
      <c r="H514"/>
    </row>
    <row r="515" spans="4:8">
      <c r="D515"/>
      <c r="E515"/>
      <c r="F515"/>
      <c r="G515"/>
      <c r="H515"/>
    </row>
    <row r="516" spans="4:8">
      <c r="D516"/>
      <c r="E516"/>
      <c r="F516"/>
      <c r="G516"/>
      <c r="H516"/>
    </row>
    <row r="517" spans="4:8">
      <c r="D517"/>
      <c r="E517"/>
      <c r="F517"/>
      <c r="G517"/>
      <c r="H517"/>
    </row>
    <row r="518" spans="4:8">
      <c r="D518"/>
      <c r="E518"/>
      <c r="F518"/>
      <c r="G518"/>
      <c r="H518"/>
    </row>
    <row r="519" spans="4:8">
      <c r="D519"/>
      <c r="E519"/>
      <c r="F519"/>
      <c r="G519"/>
      <c r="H519"/>
    </row>
    <row r="520" spans="4:8">
      <c r="D520"/>
      <c r="E520"/>
      <c r="F520"/>
      <c r="G520"/>
      <c r="H520"/>
    </row>
    <row r="521" spans="4:8">
      <c r="D521"/>
      <c r="E521"/>
      <c r="F521"/>
      <c r="G521"/>
      <c r="H521"/>
    </row>
    <row r="522" spans="4:8">
      <c r="D522"/>
      <c r="E522"/>
      <c r="F522"/>
      <c r="G522"/>
      <c r="H522"/>
    </row>
    <row r="523" spans="4:8">
      <c r="D523"/>
      <c r="E523"/>
      <c r="F523"/>
      <c r="G523"/>
      <c r="H523"/>
    </row>
    <row r="524" spans="4:8">
      <c r="D524"/>
      <c r="E524"/>
      <c r="F524"/>
      <c r="G524"/>
      <c r="H524"/>
    </row>
    <row r="525" spans="4:8">
      <c r="D525"/>
      <c r="E525"/>
      <c r="F525"/>
      <c r="G525"/>
      <c r="H525"/>
    </row>
    <row r="526" spans="4:8">
      <c r="D526"/>
      <c r="E526"/>
      <c r="F526"/>
      <c r="G526"/>
      <c r="H526"/>
    </row>
    <row r="527" spans="4:8">
      <c r="D527"/>
      <c r="E527"/>
      <c r="F527"/>
      <c r="G527"/>
      <c r="H527"/>
    </row>
    <row r="528" spans="4:8">
      <c r="D528"/>
      <c r="E528"/>
      <c r="F528"/>
      <c r="G528"/>
      <c r="H528"/>
    </row>
    <row r="529" spans="4:8">
      <c r="D529"/>
      <c r="E529"/>
      <c r="F529"/>
      <c r="G529"/>
      <c r="H529"/>
    </row>
    <row r="530" spans="4:8">
      <c r="D530"/>
      <c r="E530"/>
      <c r="F530"/>
      <c r="G530"/>
      <c r="H530"/>
    </row>
    <row r="531" spans="4:8">
      <c r="D531"/>
      <c r="E531"/>
      <c r="F531"/>
      <c r="G531"/>
      <c r="H531"/>
    </row>
    <row r="532" spans="4:8">
      <c r="D532"/>
      <c r="E532"/>
      <c r="F532"/>
      <c r="G532"/>
      <c r="H532"/>
    </row>
    <row r="533" spans="4:8">
      <c r="D533"/>
      <c r="E533"/>
      <c r="F533"/>
      <c r="G533"/>
      <c r="H533"/>
    </row>
    <row r="534" spans="4:8">
      <c r="D534"/>
      <c r="E534"/>
      <c r="F534"/>
      <c r="G534"/>
      <c r="H534"/>
    </row>
    <row r="535" spans="4:8">
      <c r="D535"/>
      <c r="E535"/>
      <c r="F535"/>
      <c r="G535"/>
      <c r="H535"/>
    </row>
    <row r="536" spans="4:8">
      <c r="D536"/>
      <c r="E536"/>
      <c r="F536"/>
      <c r="G536"/>
      <c r="H536"/>
    </row>
    <row r="537" spans="4:8">
      <c r="D537"/>
      <c r="E537"/>
      <c r="F537"/>
      <c r="G537"/>
      <c r="H537"/>
    </row>
    <row r="538" spans="4:8">
      <c r="D538"/>
      <c r="E538"/>
      <c r="F538"/>
      <c r="G538"/>
      <c r="H538"/>
    </row>
    <row r="539" spans="4:8">
      <c r="D539"/>
      <c r="E539"/>
      <c r="F539"/>
      <c r="G539"/>
      <c r="H539"/>
    </row>
    <row r="540" spans="4:8">
      <c r="D540"/>
      <c r="E540"/>
      <c r="F540"/>
      <c r="G540"/>
      <c r="H540"/>
    </row>
    <row r="541" spans="4:8">
      <c r="D541"/>
      <c r="E541"/>
      <c r="F541"/>
      <c r="G541"/>
      <c r="H541"/>
    </row>
    <row r="542" spans="4:8">
      <c r="D542"/>
      <c r="E542"/>
      <c r="F542"/>
      <c r="G542"/>
      <c r="H542"/>
    </row>
    <row r="543" spans="4:8">
      <c r="D543"/>
      <c r="E543"/>
      <c r="F543"/>
      <c r="G543"/>
      <c r="H543"/>
    </row>
    <row r="544" spans="4:8">
      <c r="D544"/>
      <c r="E544"/>
      <c r="F544"/>
      <c r="G544"/>
      <c r="H544"/>
    </row>
    <row r="545" spans="4:8">
      <c r="D545"/>
      <c r="E545"/>
      <c r="F545"/>
      <c r="G545"/>
      <c r="H545"/>
    </row>
    <row r="546" spans="4:8">
      <c r="D546"/>
      <c r="E546"/>
      <c r="F546"/>
      <c r="G546"/>
      <c r="H546"/>
    </row>
    <row r="547" spans="4:8">
      <c r="D547"/>
      <c r="E547"/>
      <c r="F547"/>
      <c r="G547"/>
      <c r="H547"/>
    </row>
    <row r="548" spans="4:8">
      <c r="D548"/>
      <c r="E548"/>
      <c r="F548"/>
      <c r="G548"/>
      <c r="H548"/>
    </row>
    <row r="549" spans="4:8">
      <c r="D549"/>
      <c r="E549"/>
      <c r="F549"/>
      <c r="G549"/>
      <c r="H549"/>
    </row>
    <row r="550" spans="4:8">
      <c r="D550"/>
      <c r="E550"/>
      <c r="F550"/>
      <c r="G550"/>
      <c r="H550"/>
    </row>
    <row r="551" spans="4:8">
      <c r="D551"/>
      <c r="E551"/>
      <c r="F551"/>
      <c r="G551"/>
      <c r="H551"/>
    </row>
    <row r="552" spans="4:8">
      <c r="D552"/>
      <c r="E552"/>
      <c r="F552"/>
      <c r="G552"/>
      <c r="H552"/>
    </row>
    <row r="553" spans="4:8">
      <c r="D553"/>
      <c r="E553"/>
      <c r="F553"/>
      <c r="G553"/>
      <c r="H553"/>
    </row>
    <row r="554" spans="4:8">
      <c r="D554"/>
      <c r="E554"/>
      <c r="F554"/>
      <c r="G554"/>
      <c r="H554"/>
    </row>
    <row r="555" spans="4:8">
      <c r="D555"/>
      <c r="E555"/>
      <c r="F555"/>
      <c r="G555"/>
      <c r="H555"/>
    </row>
    <row r="556" spans="4:8">
      <c r="D556"/>
      <c r="E556"/>
      <c r="F556"/>
      <c r="G556"/>
      <c r="H556"/>
    </row>
    <row r="557" spans="4:8">
      <c r="D557"/>
      <c r="E557"/>
      <c r="F557"/>
      <c r="G557"/>
      <c r="H557"/>
    </row>
    <row r="558" spans="4:8">
      <c r="D558"/>
      <c r="E558"/>
      <c r="F558"/>
      <c r="G558"/>
      <c r="H558"/>
    </row>
    <row r="559" spans="4:8">
      <c r="D559"/>
      <c r="E559"/>
      <c r="F559"/>
      <c r="G559"/>
      <c r="H559"/>
    </row>
    <row r="560" spans="4:8">
      <c r="D560"/>
      <c r="E560"/>
      <c r="F560"/>
      <c r="G560"/>
      <c r="H560"/>
    </row>
    <row r="561" spans="4:8">
      <c r="D561"/>
      <c r="E561"/>
      <c r="F561"/>
      <c r="G561"/>
      <c r="H561"/>
    </row>
    <row r="562" spans="4:8">
      <c r="D562"/>
      <c r="E562"/>
      <c r="F562"/>
      <c r="G562"/>
      <c r="H562"/>
    </row>
    <row r="563" spans="4:8">
      <c r="D563"/>
      <c r="E563"/>
      <c r="F563"/>
      <c r="G563"/>
      <c r="H563"/>
    </row>
    <row r="564" spans="4:8">
      <c r="D564"/>
      <c r="E564"/>
      <c r="F564"/>
      <c r="G564"/>
      <c r="H564"/>
    </row>
    <row r="565" spans="4:8">
      <c r="D565"/>
      <c r="E565"/>
      <c r="F565"/>
      <c r="G565"/>
      <c r="H565"/>
    </row>
    <row r="566" spans="4:8">
      <c r="D566"/>
      <c r="E566"/>
      <c r="F566"/>
      <c r="G566"/>
      <c r="H566"/>
    </row>
    <row r="567" spans="4:8">
      <c r="D567"/>
      <c r="E567"/>
      <c r="F567"/>
      <c r="G567"/>
      <c r="H567"/>
    </row>
    <row r="568" spans="4:8">
      <c r="D568"/>
      <c r="E568"/>
      <c r="F568"/>
      <c r="G568"/>
      <c r="H568"/>
    </row>
    <row r="569" spans="4:8">
      <c r="D569"/>
      <c r="E569"/>
      <c r="F569"/>
      <c r="G569"/>
      <c r="H569"/>
    </row>
    <row r="570" spans="4:8">
      <c r="D570"/>
      <c r="E570"/>
      <c r="F570"/>
      <c r="G570"/>
      <c r="H570"/>
    </row>
    <row r="571" spans="4:8">
      <c r="D571"/>
      <c r="E571"/>
      <c r="F571"/>
      <c r="G571"/>
      <c r="H571"/>
    </row>
    <row r="572" spans="4:8">
      <c r="D572"/>
      <c r="E572"/>
      <c r="F572"/>
      <c r="G572"/>
      <c r="H572"/>
    </row>
    <row r="573" spans="4:8">
      <c r="D573"/>
      <c r="E573"/>
      <c r="F573"/>
      <c r="G573"/>
      <c r="H573"/>
    </row>
    <row r="574" spans="4:8">
      <c r="D574"/>
      <c r="E574"/>
      <c r="F574"/>
      <c r="G574"/>
      <c r="H574"/>
    </row>
    <row r="575" spans="4:8">
      <c r="D575"/>
      <c r="E575"/>
      <c r="F575"/>
      <c r="G575"/>
      <c r="H575"/>
    </row>
    <row r="576" spans="4:8">
      <c r="D576"/>
      <c r="E576"/>
      <c r="F576"/>
      <c r="G576"/>
      <c r="H576"/>
    </row>
    <row r="577" spans="4:8">
      <c r="D577"/>
      <c r="E577"/>
      <c r="F577"/>
      <c r="G577"/>
      <c r="H577"/>
    </row>
    <row r="578" spans="4:8">
      <c r="D578"/>
      <c r="E578"/>
      <c r="F578"/>
      <c r="G578"/>
      <c r="H578"/>
    </row>
    <row r="579" spans="4:8">
      <c r="D579"/>
      <c r="E579"/>
      <c r="F579"/>
      <c r="G579"/>
      <c r="H579"/>
    </row>
    <row r="580" spans="4:8">
      <c r="D580"/>
      <c r="E580"/>
      <c r="F580"/>
      <c r="G580"/>
      <c r="H580"/>
    </row>
    <row r="581" spans="4:8">
      <c r="D581"/>
      <c r="E581"/>
      <c r="F581"/>
      <c r="G581"/>
      <c r="H581"/>
    </row>
    <row r="582" spans="4:8">
      <c r="D582"/>
      <c r="E582"/>
      <c r="F582"/>
      <c r="G582"/>
      <c r="H582"/>
    </row>
    <row r="583" spans="4:8">
      <c r="D583"/>
      <c r="E583"/>
      <c r="F583"/>
      <c r="G583"/>
      <c r="H583"/>
    </row>
    <row r="584" spans="4:8">
      <c r="D584"/>
      <c r="E584"/>
      <c r="F584"/>
      <c r="G584"/>
      <c r="H584"/>
    </row>
    <row r="585" spans="4:8">
      <c r="D585"/>
      <c r="E585"/>
      <c r="F585"/>
      <c r="G585"/>
      <c r="H585"/>
    </row>
    <row r="586" spans="4:8">
      <c r="D586"/>
      <c r="E586"/>
      <c r="F586"/>
      <c r="G586"/>
      <c r="H586"/>
    </row>
    <row r="587" spans="4:8">
      <c r="D587"/>
      <c r="E587"/>
      <c r="F587"/>
      <c r="G587"/>
      <c r="H587"/>
    </row>
    <row r="588" spans="4:8">
      <c r="D588"/>
      <c r="E588"/>
      <c r="F588"/>
      <c r="G588"/>
      <c r="H588"/>
    </row>
    <row r="589" spans="4:8">
      <c r="D589"/>
      <c r="E589"/>
      <c r="F589"/>
      <c r="G589"/>
      <c r="H589"/>
    </row>
    <row r="590" spans="4:8">
      <c r="D590"/>
      <c r="E590"/>
      <c r="F590"/>
      <c r="G590"/>
      <c r="H590"/>
    </row>
    <row r="591" spans="4:8">
      <c r="D591"/>
      <c r="E591"/>
      <c r="F591"/>
      <c r="G591"/>
      <c r="H591"/>
    </row>
    <row r="592" spans="4:8">
      <c r="D592"/>
      <c r="E592"/>
      <c r="F592"/>
      <c r="G592"/>
      <c r="H592"/>
    </row>
    <row r="593" spans="4:8">
      <c r="D593"/>
      <c r="E593"/>
      <c r="F593"/>
      <c r="G593"/>
      <c r="H593"/>
    </row>
    <row r="594" spans="4:8">
      <c r="D594"/>
      <c r="E594"/>
      <c r="F594"/>
      <c r="G594"/>
      <c r="H594"/>
    </row>
    <row r="595" spans="4:8">
      <c r="D595"/>
      <c r="E595"/>
      <c r="F595"/>
      <c r="G595"/>
      <c r="H595"/>
    </row>
    <row r="596" spans="4:8">
      <c r="D596"/>
      <c r="E596"/>
      <c r="F596"/>
      <c r="G596"/>
      <c r="H596"/>
    </row>
    <row r="597" spans="4:8">
      <c r="D597"/>
      <c r="E597"/>
      <c r="F597"/>
      <c r="G597"/>
      <c r="H597"/>
    </row>
    <row r="598" spans="4:8">
      <c r="D598"/>
      <c r="E598"/>
      <c r="F598"/>
      <c r="G598"/>
      <c r="H598"/>
    </row>
    <row r="599" spans="4:8">
      <c r="D599"/>
      <c r="E599"/>
      <c r="F599"/>
      <c r="G599"/>
      <c r="H599"/>
    </row>
    <row r="600" spans="4:8">
      <c r="D600"/>
      <c r="E600"/>
      <c r="F600"/>
      <c r="G600"/>
      <c r="H600"/>
    </row>
  </sheetData>
  <conditionalFormatting sqref="D7 F7 H7">
    <cfRule type="cellIs" dxfId="286" priority="5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BCF71-821B-4CDF-BEF1-B94DAEEB8972}">
  <sheetPr codeName="Sheet4">
    <tabColor theme="5" tint="0.79998168889431442"/>
  </sheetPr>
  <dimension ref="A1:I34"/>
  <sheetViews>
    <sheetView showGridLines="0" workbookViewId="0"/>
  </sheetViews>
  <sheetFormatPr defaultRowHeight="14.4"/>
  <cols>
    <col min="1" max="1" width="29.33203125" style="206" customWidth="1"/>
    <col min="2" max="2" width="14.77734375" style="202" customWidth="1"/>
    <col min="3" max="5" width="14.21875" style="202" customWidth="1"/>
    <col min="6" max="6" width="14.21875" style="204" customWidth="1"/>
    <col min="7" max="8" width="14.21875" style="202" customWidth="1"/>
    <col min="9" max="9" width="14.21875" style="204" customWidth="1"/>
  </cols>
  <sheetData>
    <row r="1" spans="1:9">
      <c r="A1" s="175" t="s">
        <v>1525</v>
      </c>
      <c r="B1" s="247" t="s">
        <v>1524</v>
      </c>
      <c r="C1" s="247"/>
      <c r="D1" s="247"/>
      <c r="E1" s="247"/>
      <c r="F1" s="247"/>
      <c r="G1" s="247"/>
      <c r="H1" s="247"/>
      <c r="I1" s="247"/>
    </row>
    <row r="2" spans="1:9">
      <c r="A2" s="176"/>
      <c r="B2" s="248"/>
      <c r="C2" s="248"/>
      <c r="D2" s="248"/>
      <c r="E2" s="248"/>
      <c r="F2" s="248"/>
      <c r="G2" s="248"/>
      <c r="H2" s="248"/>
      <c r="I2" s="248"/>
    </row>
    <row r="3" spans="1:9">
      <c r="A3" s="177"/>
      <c r="B3" s="178" t="s">
        <v>118</v>
      </c>
      <c r="C3" s="179" t="s">
        <v>121</v>
      </c>
      <c r="D3" s="180" t="s">
        <v>1508</v>
      </c>
      <c r="E3" s="181" t="s">
        <v>121</v>
      </c>
      <c r="F3" s="182" t="s">
        <v>1509</v>
      </c>
      <c r="G3" s="180" t="s">
        <v>165</v>
      </c>
      <c r="H3" s="183" t="s">
        <v>1510</v>
      </c>
      <c r="I3" s="182" t="s">
        <v>119</v>
      </c>
    </row>
    <row r="4" spans="1:9">
      <c r="A4" s="184" t="s">
        <v>1511</v>
      </c>
      <c r="B4" s="185" t="s">
        <v>1512</v>
      </c>
      <c r="C4" s="186" t="s">
        <v>1512</v>
      </c>
      <c r="D4" s="187" t="s">
        <v>1513</v>
      </c>
      <c r="E4" s="187" t="s">
        <v>1513</v>
      </c>
      <c r="F4" s="188" t="s">
        <v>123</v>
      </c>
      <c r="G4" s="187" t="s">
        <v>1514</v>
      </c>
      <c r="H4" s="189" t="s">
        <v>1515</v>
      </c>
      <c r="I4" s="188" t="s">
        <v>1516</v>
      </c>
    </row>
    <row r="5" spans="1:9">
      <c r="A5" s="205"/>
      <c r="B5" s="190"/>
      <c r="C5" s="190"/>
      <c r="D5" s="190"/>
      <c r="E5" s="190"/>
      <c r="F5" s="203"/>
      <c r="G5" s="190"/>
      <c r="H5" s="190"/>
      <c r="I5" s="203"/>
    </row>
    <row r="6" spans="1:9">
      <c r="A6" s="191"/>
    </row>
    <row r="7" spans="1:9">
      <c r="A7" s="191"/>
    </row>
    <row r="8" spans="1:9">
      <c r="A8" s="191"/>
    </row>
    <row r="9" spans="1:9">
      <c r="A9" s="191"/>
    </row>
    <row r="10" spans="1:9">
      <c r="A10" s="191"/>
    </row>
    <row r="11" spans="1:9">
      <c r="A11" s="191"/>
    </row>
    <row r="12" spans="1:9">
      <c r="A12" s="191"/>
    </row>
    <row r="13" spans="1:9">
      <c r="A13" s="191"/>
    </row>
    <row r="14" spans="1:9">
      <c r="A14" s="191"/>
    </row>
    <row r="15" spans="1:9">
      <c r="A15" s="191"/>
    </row>
    <row r="16" spans="1:9">
      <c r="A16" s="191"/>
    </row>
    <row r="17" spans="1:9">
      <c r="A17" s="191"/>
    </row>
    <row r="18" spans="1:9">
      <c r="A18" s="191"/>
    </row>
    <row r="19" spans="1:9">
      <c r="A19" s="191"/>
      <c r="F19" s="216"/>
      <c r="I19" s="216"/>
    </row>
    <row r="20" spans="1:9">
      <c r="A20" s="191"/>
      <c r="F20" s="216"/>
      <c r="I20" s="216"/>
    </row>
    <row r="21" spans="1:9">
      <c r="A21" s="191"/>
      <c r="F21" s="216"/>
      <c r="I21" s="216"/>
    </row>
    <row r="22" spans="1:9">
      <c r="A22" s="191"/>
      <c r="F22" s="216"/>
      <c r="I22" s="216"/>
    </row>
    <row r="23" spans="1:9">
      <c r="A23" s="191"/>
      <c r="F23" s="216"/>
      <c r="I23" s="216"/>
    </row>
    <row r="24" spans="1:9">
      <c r="A24" s="191"/>
    </row>
    <row r="25" spans="1:9">
      <c r="A25" s="191"/>
    </row>
    <row r="26" spans="1:9">
      <c r="A26" s="191"/>
    </row>
    <row r="27" spans="1:9">
      <c r="A27" s="191"/>
    </row>
    <row r="28" spans="1:9">
      <c r="A28" s="191"/>
    </row>
    <row r="29" spans="1:9">
      <c r="A29" s="191"/>
    </row>
    <row r="30" spans="1:9">
      <c r="A30" s="191"/>
    </row>
    <row r="31" spans="1:9">
      <c r="A31" s="191"/>
    </row>
    <row r="32" spans="1:9">
      <c r="A32" s="191"/>
    </row>
    <row r="33" spans="1:1">
      <c r="A33" s="191"/>
    </row>
    <row r="34" spans="1:1">
      <c r="A34" s="191"/>
    </row>
  </sheetData>
  <mergeCells count="2">
    <mergeCell ref="B1:I1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B9C0-4DBC-43BB-8A21-9069D4C51437}">
  <sheetPr codeName="Sheet5"/>
  <dimension ref="A1:AZ49"/>
  <sheetViews>
    <sheetView showGridLines="0" workbookViewId="0"/>
  </sheetViews>
  <sheetFormatPr defaultRowHeight="14.4" outlineLevelCol="1"/>
  <cols>
    <col min="1" max="1" width="32.44140625" style="236" bestFit="1" customWidth="1"/>
    <col min="2" max="2" width="14.88671875" style="236" bestFit="1" customWidth="1"/>
    <col min="3" max="5" width="11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1588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 ht="14.4" customHeight="1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>
      <c r="A8" s="126" t="s">
        <v>130</v>
      </c>
      <c r="B8" s="127" cm="1">
        <f t="array" ref="B8">RollUpSum(8,2)</f>
        <v>-658031</v>
      </c>
      <c r="C8" s="128" cm="1">
        <f t="array" ref="C8">RollUpSum(8,3)</f>
        <v>-629962</v>
      </c>
      <c r="D8" s="231" cm="1">
        <f t="array" ref="D8">RollUpSum(8,4)</f>
        <v>-626018</v>
      </c>
      <c r="E8" s="227" cm="1">
        <f t="array" ref="E8">RollUpSum(8,5)</f>
        <v>-608170</v>
      </c>
      <c r="F8" s="129" cm="1">
        <f t="array" ref="F8">RollUpSum(8,6)</f>
        <v>-303513.58799999999</v>
      </c>
      <c r="G8" s="128" cm="1">
        <f t="array" ref="G8">RollUpSum(8,7)</f>
        <v>-314978</v>
      </c>
      <c r="H8" s="231" cm="1">
        <f t="array" ref="H8">RollUpSum(8,8)</f>
        <v>-298501</v>
      </c>
      <c r="I8" s="227" cm="1">
        <f t="array" ref="I8">RollUpSum(8,9)</f>
        <v>-297070.87</v>
      </c>
      <c r="J8" s="129" cm="1">
        <f t="array" ref="J8">RollUpSum(8,10)</f>
        <v>1438.5189</v>
      </c>
      <c r="K8" s="128" cm="1">
        <f t="array" ref="K8">RollUpSum(8,11)</f>
        <v>0</v>
      </c>
      <c r="L8" s="231" cm="1">
        <f t="array" ref="L8">RollUpSum(8,12)</f>
        <v>-14503</v>
      </c>
      <c r="M8" s="227" cm="1">
        <f t="array" ref="M8">RollUpSum(8,13)</f>
        <v>18818.599999999999</v>
      </c>
      <c r="N8" s="129" cm="1">
        <f t="array" ref="N8">RollUpSum(8,14)</f>
        <v>-302892.04440000001</v>
      </c>
      <c r="O8" s="128" cm="1">
        <f t="array" ref="O8">RollUpSum(8,15)</f>
        <v>-314984</v>
      </c>
      <c r="P8" s="231" cm="1">
        <f t="array" ref="P8">RollUpSum(8,16)</f>
        <v>-313014</v>
      </c>
      <c r="Q8" s="227" cm="1">
        <f t="array" ref="Q8">RollUpSum(8,17)</f>
        <v>-280687.21999999997</v>
      </c>
      <c r="R8" s="129" cm="1">
        <f t="array" ref="R8">RollUpSum(8,18)</f>
        <v>-75.315899999999999</v>
      </c>
      <c r="S8" s="130" cm="1">
        <f t="array" ref="S8">RollUpSum(8,19)</f>
        <v>0</v>
      </c>
      <c r="T8" s="222" cm="1">
        <f t="array" ref="T8">RollUpSum(8,20)</f>
        <v>0</v>
      </c>
      <c r="U8" s="217" cm="1">
        <f t="array" ref="U8">RollUpSum(8,21)</f>
        <v>-225.95</v>
      </c>
      <c r="V8" s="127" cm="1">
        <f t="array" ref="V8">RollUpSum(8,22)</f>
        <v>-605042.42960000003</v>
      </c>
      <c r="W8" s="130" cm="1">
        <f t="array" ref="W8">RollUpSum(8,23)</f>
        <v>-629962</v>
      </c>
      <c r="X8" s="222" cm="1">
        <f t="array" ref="X8">RollUpSum(8,24)</f>
        <v>-626018</v>
      </c>
      <c r="Y8" s="217" cm="1">
        <f t="array" ref="Y8">RollUpSum(8,25)</f>
        <v>-559165.43999999994</v>
      </c>
    </row>
    <row r="9" spans="1:52">
      <c r="A9" s="131" t="s">
        <v>131</v>
      </c>
      <c r="B9" s="127" cm="1">
        <f t="array" ref="B9">RollUpSum(9,2)</f>
        <v>0</v>
      </c>
      <c r="C9" s="132" cm="1">
        <f t="array" ref="C9">RollUpSum(9,3)</f>
        <v>0</v>
      </c>
      <c r="D9" s="232" cm="1">
        <f t="array" ref="D9">RollUpSum(9,4)</f>
        <v>0</v>
      </c>
      <c r="E9" s="228" cm="1">
        <f t="array" ref="E9">RollUpSum(9,5)</f>
        <v>0</v>
      </c>
      <c r="F9" s="129" cm="1">
        <f t="array" ref="F9">RollUpSum(9,6)</f>
        <v>-1791.6487999999999</v>
      </c>
      <c r="G9" s="132" cm="1">
        <f t="array" ref="G9">RollUpSum(9,7)</f>
        <v>0</v>
      </c>
      <c r="H9" s="232" cm="1">
        <f t="array" ref="H9">RollUpSum(9,8)</f>
        <v>0</v>
      </c>
      <c r="I9" s="228" cm="1">
        <f t="array" ref="I9">RollUpSum(9,9)</f>
        <v>-5375</v>
      </c>
      <c r="J9" s="129" cm="1">
        <f t="array" ref="J9">RollUpSum(9,10)</f>
        <v>-1082.6558</v>
      </c>
      <c r="K9" s="132" cm="1">
        <f t="array" ref="K9">RollUpSum(9,11)</f>
        <v>0</v>
      </c>
      <c r="L9" s="232" cm="1">
        <f t="array" ref="L9">RollUpSum(9,12)</f>
        <v>0</v>
      </c>
      <c r="M9" s="228" cm="1">
        <f t="array" ref="M9">RollUpSum(9,13)</f>
        <v>-3248</v>
      </c>
      <c r="N9" s="129" cm="1">
        <f t="array" ref="N9">RollUpSum(9,14)</f>
        <v>-102.249</v>
      </c>
      <c r="O9" s="132" cm="1">
        <f t="array" ref="O9">RollUpSum(9,15)</f>
        <v>0</v>
      </c>
      <c r="P9" s="232" cm="1">
        <f t="array" ref="P9">RollUpSum(9,16)</f>
        <v>-306.75</v>
      </c>
      <c r="Q9" s="228" cm="1">
        <f t="array" ref="Q9">RollUpSum(9,17)</f>
        <v>0</v>
      </c>
      <c r="R9" s="129" cm="1">
        <f t="array" ref="R9">RollUpSum(9,18)</f>
        <v>0</v>
      </c>
      <c r="S9" s="133" cm="1">
        <f t="array" ref="S9">RollUpSum(9,19)</f>
        <v>0</v>
      </c>
      <c r="T9" s="223" cm="1">
        <f t="array" ref="T9">RollUpSum(9,20)</f>
        <v>0</v>
      </c>
      <c r="U9" s="218" cm="1">
        <f t="array" ref="U9">RollUpSum(9,21)</f>
        <v>0</v>
      </c>
      <c r="V9" s="127" cm="1">
        <f t="array" ref="V9">RollUpSum(9,22)</f>
        <v>-2976.5536000000002</v>
      </c>
      <c r="W9" s="133" cm="1">
        <f t="array" ref="W9">RollUpSum(9,23)</f>
        <v>0</v>
      </c>
      <c r="X9" s="223" cm="1">
        <f t="array" ref="X9">RollUpSum(9,24)</f>
        <v>-306.75</v>
      </c>
      <c r="Y9" s="218" cm="1">
        <f t="array" ref="Y9">RollUpSum(9,25)</f>
        <v>-8623</v>
      </c>
    </row>
    <row r="10" spans="1:52">
      <c r="A10" s="131" t="s">
        <v>132</v>
      </c>
      <c r="B10" s="127" cm="1">
        <f t="array" ref="B10">RollUpSum(10,2)</f>
        <v>0</v>
      </c>
      <c r="C10" s="132" cm="1">
        <f t="array" ref="C10">RollUpSum(10,3)</f>
        <v>0</v>
      </c>
      <c r="D10" s="232" cm="1">
        <f t="array" ref="D10">RollUpSum(10,4)</f>
        <v>0</v>
      </c>
      <c r="E10" s="228" cm="1">
        <f t="array" ref="E10">RollUpSum(10,5)</f>
        <v>0</v>
      </c>
      <c r="F10" s="129" cm="1">
        <f t="array" ref="F10">RollUpSum(10,6)</f>
        <v>0</v>
      </c>
      <c r="G10" s="132" cm="1">
        <f t="array" ref="G10">RollUpSum(10,7)</f>
        <v>0</v>
      </c>
      <c r="H10" s="232" cm="1">
        <f t="array" ref="H10">RollUpSum(10,8)</f>
        <v>0</v>
      </c>
      <c r="I10" s="228" cm="1">
        <f t="array" ref="I10">RollUpSum(10,9)</f>
        <v>0</v>
      </c>
      <c r="J10" s="129" cm="1">
        <f t="array" ref="J10">RollUpSum(10,10)</f>
        <v>0</v>
      </c>
      <c r="K10" s="132" cm="1">
        <f t="array" ref="K10">RollUpSum(10,11)</f>
        <v>0</v>
      </c>
      <c r="L10" s="232" cm="1">
        <f t="array" ref="L10">RollUpSum(10,12)</f>
        <v>0</v>
      </c>
      <c r="M10" s="228" cm="1">
        <f t="array" ref="M10">RollUpSum(10,13)</f>
        <v>0</v>
      </c>
      <c r="N10" s="129" cm="1">
        <f t="array" ref="N10">RollUpSum(10,14)</f>
        <v>0</v>
      </c>
      <c r="O10" s="132" cm="1">
        <f t="array" ref="O10">RollUpSum(10,15)</f>
        <v>0</v>
      </c>
      <c r="P10" s="232" cm="1">
        <f t="array" ref="P10">RollUpSum(10,16)</f>
        <v>0</v>
      </c>
      <c r="Q10" s="228" cm="1">
        <f t="array" ref="Q10">RollUpSum(10,17)</f>
        <v>0</v>
      </c>
      <c r="R10" s="129" cm="1">
        <f t="array" ref="R10">RollUpSum(10,18)</f>
        <v>0</v>
      </c>
      <c r="S10" s="133" cm="1">
        <f t="array" ref="S10">RollUpSum(10,19)</f>
        <v>0</v>
      </c>
      <c r="T10" s="223" cm="1">
        <f t="array" ref="T10">RollUpSum(10,20)</f>
        <v>0</v>
      </c>
      <c r="U10" s="218" cm="1">
        <f t="array" ref="U10">RollUpSum(10,21)</f>
        <v>0</v>
      </c>
      <c r="V10" s="127" cm="1">
        <f t="array" ref="V10">RollUpSum(10,22)</f>
        <v>0</v>
      </c>
      <c r="W10" s="133" cm="1">
        <f t="array" ref="W10">RollUpSum(10,23)</f>
        <v>0</v>
      </c>
      <c r="X10" s="223" cm="1">
        <f t="array" ref="X10">RollUpSum(10,24)</f>
        <v>0</v>
      </c>
      <c r="Y10" s="218" cm="1">
        <f t="array" ref="Y10">RollUpSum(10,25)</f>
        <v>0</v>
      </c>
    </row>
    <row r="11" spans="1:52">
      <c r="A11" s="134" t="s">
        <v>133</v>
      </c>
      <c r="B11" s="135" cm="1">
        <f t="array" ref="B11">RollUpSum(11,2)</f>
        <v>0</v>
      </c>
      <c r="C11" s="132" cm="1">
        <f t="array" ref="C11">RollUpSum(11,3)</f>
        <v>0</v>
      </c>
      <c r="D11" s="232" cm="1">
        <f t="array" ref="D11">RollUpSum(11,4)</f>
        <v>0</v>
      </c>
      <c r="E11" s="228" cm="1">
        <f t="array" ref="E11">RollUpSum(11,5)</f>
        <v>0</v>
      </c>
      <c r="F11" s="136" cm="1">
        <f t="array" ref="F11">RollUpSum(11,6)</f>
        <v>0</v>
      </c>
      <c r="G11" s="132" cm="1">
        <f t="array" ref="G11">RollUpSum(11,7)</f>
        <v>0</v>
      </c>
      <c r="H11" s="232" cm="1">
        <f t="array" ref="H11">RollUpSum(11,8)</f>
        <v>0</v>
      </c>
      <c r="I11" s="228" cm="1">
        <f t="array" ref="I11">RollUpSum(11,9)</f>
        <v>0</v>
      </c>
      <c r="J11" s="136" cm="1">
        <f t="array" ref="J11">RollUpSum(11,10)</f>
        <v>-931.87400000000002</v>
      </c>
      <c r="K11" s="132" cm="1">
        <f t="array" ref="K11">RollUpSum(11,11)</f>
        <v>-2327.4899999999998</v>
      </c>
      <c r="L11" s="232" cm="1">
        <f t="array" ref="L11">RollUpSum(11,12)</f>
        <v>-468.16</v>
      </c>
      <c r="M11" s="228" cm="1">
        <f t="array" ref="M11">RollUpSum(11,13)</f>
        <v>0</v>
      </c>
      <c r="N11" s="136" cm="1">
        <f t="array" ref="N11">RollUpSum(11,14)</f>
        <v>-15180.4282</v>
      </c>
      <c r="O11" s="132" cm="1">
        <f t="array" ref="O11">RollUpSum(11,15)</f>
        <v>-45541.74</v>
      </c>
      <c r="P11" s="232" cm="1">
        <f t="array" ref="P11">RollUpSum(11,16)</f>
        <v>0</v>
      </c>
      <c r="Q11" s="228" cm="1">
        <f t="array" ref="Q11">RollUpSum(11,17)</f>
        <v>0</v>
      </c>
      <c r="R11" s="136" cm="1">
        <f t="array" ref="R11">RollUpSum(11,18)</f>
        <v>-182763.1923</v>
      </c>
      <c r="S11" s="133" cm="1">
        <f t="array" ref="S11">RollUpSum(11,19)</f>
        <v>-158723.04</v>
      </c>
      <c r="T11" s="223" cm="1">
        <f t="array" ref="T11">RollUpSum(11,20)</f>
        <v>-194965.76000000001</v>
      </c>
      <c r="U11" s="218" cm="1">
        <f t="array" ref="U11">RollUpSum(11,21)</f>
        <v>-194606.26</v>
      </c>
      <c r="V11" s="135" cm="1">
        <f t="array" ref="V11">RollUpSum(11,22)</f>
        <v>-198875.4945</v>
      </c>
      <c r="W11" s="133" cm="1">
        <f t="array" ref="W11">RollUpSum(11,23)</f>
        <v>-206592.27</v>
      </c>
      <c r="X11" s="223" cm="1">
        <f t="array" ref="X11">RollUpSum(11,24)</f>
        <v>-195433.92</v>
      </c>
      <c r="Y11" s="218" cm="1">
        <f t="array" ref="Y11">RollUpSum(11,25)</f>
        <v>-194606.26</v>
      </c>
    </row>
    <row r="12" spans="1:52" ht="16.2" thickBot="1">
      <c r="A12" s="137" t="s">
        <v>134</v>
      </c>
      <c r="B12" s="138">
        <f>SUM(B8:B11)</f>
        <v>-658031</v>
      </c>
      <c r="C12" s="139">
        <f t="shared" ref="C12:U12" si="0">SUM(C8:C11)</f>
        <v>-629962</v>
      </c>
      <c r="D12" s="139">
        <f t="shared" si="0"/>
        <v>-626018</v>
      </c>
      <c r="E12" s="139">
        <f t="shared" si="0"/>
        <v>-608170</v>
      </c>
      <c r="F12" s="138">
        <f t="shared" si="0"/>
        <v>-305305.23680000001</v>
      </c>
      <c r="G12" s="139">
        <f t="shared" si="0"/>
        <v>-314978</v>
      </c>
      <c r="H12" s="139">
        <f t="shared" si="0"/>
        <v>-298501</v>
      </c>
      <c r="I12" s="139">
        <f t="shared" si="0"/>
        <v>-302445.87</v>
      </c>
      <c r="J12" s="138">
        <f t="shared" si="0"/>
        <v>-576.01089999999999</v>
      </c>
      <c r="K12" s="139">
        <f t="shared" si="0"/>
        <v>-2327.4899999999998</v>
      </c>
      <c r="L12" s="139">
        <f t="shared" si="0"/>
        <v>-14971.16</v>
      </c>
      <c r="M12" s="139">
        <f t="shared" si="0"/>
        <v>15570.599999999999</v>
      </c>
      <c r="N12" s="138">
        <f t="shared" si="0"/>
        <v>-318174.72160000005</v>
      </c>
      <c r="O12" s="139">
        <f t="shared" si="0"/>
        <v>-360525.74</v>
      </c>
      <c r="P12" s="139">
        <f t="shared" si="0"/>
        <v>-313320.75</v>
      </c>
      <c r="Q12" s="139">
        <f t="shared" si="0"/>
        <v>-280687.21999999997</v>
      </c>
      <c r="R12" s="138">
        <f t="shared" si="0"/>
        <v>-182838.50819999998</v>
      </c>
      <c r="S12" s="138">
        <f t="shared" si="0"/>
        <v>-158723.04</v>
      </c>
      <c r="T12" s="138">
        <f t="shared" si="0"/>
        <v>-194965.76000000001</v>
      </c>
      <c r="U12" s="138">
        <f t="shared" si="0"/>
        <v>-194832.21000000002</v>
      </c>
      <c r="V12" s="138">
        <f>SUM(V8:V11)</f>
        <v>-806894.47770000005</v>
      </c>
      <c r="W12" s="138">
        <f t="shared" ref="W12:Y12" si="1">SUM(W8:W11)</f>
        <v>-836554.27</v>
      </c>
      <c r="X12" s="138">
        <f t="shared" si="1"/>
        <v>-821758.67</v>
      </c>
      <c r="Y12" s="138">
        <f t="shared" si="1"/>
        <v>-762394.7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>
      <c r="A15" s="126" t="s">
        <v>136</v>
      </c>
      <c r="B15" s="141" cm="1">
        <f t="array" ref="B15">RollUpSum(15,2)</f>
        <v>0</v>
      </c>
      <c r="C15" s="128" cm="1">
        <f t="array" ref="C15">RollUpSum(15,3)</f>
        <v>0</v>
      </c>
      <c r="D15" s="231" cm="1">
        <f t="array" ref="D15">RollUpSum(15,4)</f>
        <v>0</v>
      </c>
      <c r="E15" s="227" cm="1">
        <f t="array" ref="E15">RollUpSum(15,5)</f>
        <v>0</v>
      </c>
      <c r="F15" s="129" cm="1">
        <f t="array" ref="F15">RollUpSum(15,6)</f>
        <v>0</v>
      </c>
      <c r="G15" s="128" cm="1">
        <f t="array" ref="G15">RollUpSum(15,7)</f>
        <v>0</v>
      </c>
      <c r="H15" s="231" cm="1">
        <f t="array" ref="H15">RollUpSum(15,8)</f>
        <v>0</v>
      </c>
      <c r="I15" s="227" cm="1">
        <f t="array" ref="I15">RollUpSum(15,9)</f>
        <v>0</v>
      </c>
      <c r="J15" s="129" cm="1">
        <f t="array" ref="J15">RollUpSum(15,10)</f>
        <v>2821.6383999999998</v>
      </c>
      <c r="K15" s="128" cm="1">
        <f t="array" ref="K15">RollUpSum(15,11)</f>
        <v>0</v>
      </c>
      <c r="L15" s="231" cm="1">
        <f t="array" ref="L15">RollUpSum(15,12)</f>
        <v>8465</v>
      </c>
      <c r="M15" s="227" cm="1">
        <f t="array" ref="M15">RollUpSum(15,13)</f>
        <v>0</v>
      </c>
      <c r="N15" s="129" cm="1">
        <f t="array" ref="N15">RollUpSum(15,14)</f>
        <v>3139.9686000000002</v>
      </c>
      <c r="O15" s="128" cm="1">
        <f t="array" ref="O15">RollUpSum(15,15)</f>
        <v>2220</v>
      </c>
      <c r="P15" s="231" cm="1">
        <f t="array" ref="P15">RollUpSum(15,16)</f>
        <v>7200</v>
      </c>
      <c r="Q15" s="227" cm="1">
        <f t="array" ref="Q15">RollUpSum(15,17)</f>
        <v>0</v>
      </c>
      <c r="R15" s="129" cm="1">
        <f t="array" ref="R15">RollUpSum(15,18)</f>
        <v>5985.1067999999996</v>
      </c>
      <c r="S15" s="142" cm="1">
        <f t="array" ref="S15">RollUpSum(15,19)</f>
        <v>10250.5</v>
      </c>
      <c r="T15" s="224" cm="1">
        <f t="array" ref="T15">RollUpSum(15,20)</f>
        <v>7705</v>
      </c>
      <c r="U15" s="219" cm="1">
        <f t="array" ref="U15">RollUpSum(15,21)</f>
        <v>0</v>
      </c>
      <c r="V15" s="141" cm="1">
        <f t="array" ref="V15">RollUpSum(15,22)</f>
        <v>11946.713900000001</v>
      </c>
      <c r="W15" s="142" cm="1">
        <f t="array" ref="W15">RollUpSum(15,23)</f>
        <v>12470.5</v>
      </c>
      <c r="X15" s="224" cm="1">
        <f t="array" ref="X15">RollUpSum(15,24)</f>
        <v>23370</v>
      </c>
      <c r="Y15" s="219" cm="1">
        <f t="array" ref="Y15">RollUpSum(15,25)</f>
        <v>0</v>
      </c>
    </row>
    <row r="16" spans="1:52">
      <c r="A16" s="131" t="s">
        <v>137</v>
      </c>
      <c r="B16" s="127" cm="1">
        <f t="array" ref="B16">RollUpSum(16,2)</f>
        <v>143193</v>
      </c>
      <c r="C16" s="128" cm="1">
        <f t="array" ref="C16">RollUpSum(16,3)</f>
        <v>143193</v>
      </c>
      <c r="D16" s="231" cm="1">
        <f t="array" ref="D16">RollUpSum(16,4)</f>
        <v>141446</v>
      </c>
      <c r="E16" s="227" cm="1">
        <f t="array" ref="E16">RollUpSum(16,5)</f>
        <v>137996</v>
      </c>
      <c r="F16" s="129" cm="1">
        <f t="array" ref="F16">RollUpSum(16,6)</f>
        <v>23366.492999999999</v>
      </c>
      <c r="G16" s="128" cm="1">
        <f t="array" ref="G16">RollUpSum(16,7)</f>
        <v>19255</v>
      </c>
      <c r="H16" s="231" cm="1">
        <f t="array" ref="H16">RollUpSum(16,8)</f>
        <v>23180.68</v>
      </c>
      <c r="I16" s="227" cm="1">
        <f t="array" ref="I16">RollUpSum(16,9)</f>
        <v>27664.5</v>
      </c>
      <c r="J16" s="129" cm="1">
        <f t="array" ref="J16">RollUpSum(16,10)</f>
        <v>21451.0988</v>
      </c>
      <c r="K16" s="128" cm="1">
        <f t="array" ref="K16">RollUpSum(16,11)</f>
        <v>20385.12</v>
      </c>
      <c r="L16" s="231" cm="1">
        <f t="array" ref="L16">RollUpSum(16,12)</f>
        <v>17538.009999999998</v>
      </c>
      <c r="M16" s="227" cm="1">
        <f t="array" ref="M16">RollUpSum(16,13)</f>
        <v>26430.81</v>
      </c>
      <c r="N16" s="129" cm="1">
        <f t="array" ref="N16">RollUpSum(16,14)</f>
        <v>18960.537100000001</v>
      </c>
      <c r="O16" s="128" cm="1">
        <f t="array" ref="O16">RollUpSum(16,15)</f>
        <v>15000</v>
      </c>
      <c r="P16" s="231" cm="1">
        <f t="array" ref="P16">RollUpSum(16,16)</f>
        <v>16235.03</v>
      </c>
      <c r="Q16" s="227" cm="1">
        <f t="array" ref="Q16">RollUpSum(16,17)</f>
        <v>25647.15</v>
      </c>
      <c r="R16" s="129" cm="1">
        <f t="array" ref="R16">RollUpSum(16,18)</f>
        <v>21363.973000000002</v>
      </c>
      <c r="S16" s="130" cm="1">
        <f t="array" ref="S16">RollUpSum(16,19)</f>
        <v>15137.02</v>
      </c>
      <c r="T16" s="222" cm="1">
        <f t="array" ref="T16">RollUpSum(16,20)</f>
        <v>19645</v>
      </c>
      <c r="U16" s="217" cm="1">
        <f t="array" ref="U16">RollUpSum(16,21)</f>
        <v>29310.54</v>
      </c>
      <c r="V16" s="127" cm="1">
        <f t="array" ref="V16">RollUpSum(16,22)</f>
        <v>85142.101899999994</v>
      </c>
      <c r="W16" s="130" cm="1">
        <f t="array" ref="W16">RollUpSum(16,23)</f>
        <v>69777.14</v>
      </c>
      <c r="X16" s="222" cm="1">
        <f t="array" ref="X16">RollUpSum(16,24)</f>
        <v>76598.720000000001</v>
      </c>
      <c r="Y16" s="217" cm="1">
        <f t="array" ref="Y16">RollUpSum(16,25)</f>
        <v>109053</v>
      </c>
    </row>
    <row r="17" spans="1:25">
      <c r="A17" s="143" t="s">
        <v>138</v>
      </c>
      <c r="B17" s="144" cm="1">
        <f t="array" ref="B17">RollUpSum(17,2)</f>
        <v>135194</v>
      </c>
      <c r="C17" s="145" cm="1">
        <f t="array" ref="C17">RollUpSum(17,3)</f>
        <v>131574</v>
      </c>
      <c r="D17" s="233" cm="1">
        <f t="array" ref="D17">RollUpSum(17,4)</f>
        <v>222459</v>
      </c>
      <c r="E17" s="229" cm="1">
        <f t="array" ref="E17">RollUpSum(17,5)</f>
        <v>210161</v>
      </c>
      <c r="F17" s="146" cm="1">
        <f t="array" ref="F17">RollUpSum(17,6)</f>
        <v>11114.1854</v>
      </c>
      <c r="G17" s="145" cm="1">
        <f t="array" ref="G17">RollUpSum(17,7)</f>
        <v>10948.14</v>
      </c>
      <c r="H17" s="233" cm="1">
        <f t="array" ref="H17">RollUpSum(17,8)</f>
        <v>8740.6200000000008</v>
      </c>
      <c r="I17" s="229" cm="1">
        <f t="array" ref="I17">RollUpSum(17,9)</f>
        <v>13654.13</v>
      </c>
      <c r="J17" s="146" cm="1">
        <f t="array" ref="J17">RollUpSum(17,10)</f>
        <v>49515.4516</v>
      </c>
      <c r="K17" s="145" cm="1">
        <f t="array" ref="K17">RollUpSum(17,11)</f>
        <v>56701.98</v>
      </c>
      <c r="L17" s="233" cm="1">
        <f t="array" ref="L17">RollUpSum(17,12)</f>
        <v>49376.62</v>
      </c>
      <c r="M17" s="229" cm="1">
        <f t="array" ref="M17">RollUpSum(17,13)</f>
        <v>42469.24</v>
      </c>
      <c r="N17" s="146" cm="1">
        <f t="array" ref="N17">RollUpSum(17,14)</f>
        <v>28670.336599999999</v>
      </c>
      <c r="O17" s="145" cm="1">
        <f t="array" ref="O17">RollUpSum(17,15)</f>
        <v>31479.21</v>
      </c>
      <c r="P17" s="233" cm="1">
        <f t="array" ref="P17">RollUpSum(17,16)</f>
        <v>30506.79</v>
      </c>
      <c r="Q17" s="229" cm="1">
        <f t="array" ref="Q17">RollUpSum(17,17)</f>
        <v>24025.87</v>
      </c>
      <c r="R17" s="146" cm="1">
        <f t="array" ref="R17">RollUpSum(17,18)</f>
        <v>25152.678400000001</v>
      </c>
      <c r="S17" s="56" cm="1">
        <f t="array" ref="S17">RollUpSum(17,19)</f>
        <v>25995.46</v>
      </c>
      <c r="T17" s="225" cm="1">
        <f t="array" ref="T17">RollUpSum(17,20)</f>
        <v>24072.86</v>
      </c>
      <c r="U17" s="220" cm="1">
        <f t="array" ref="U17">RollUpSum(17,21)</f>
        <v>25390.47</v>
      </c>
      <c r="V17" s="144" cm="1">
        <f t="array" ref="V17">RollUpSum(17,22)</f>
        <v>114452.65210000001</v>
      </c>
      <c r="W17" s="56" cm="1">
        <f t="array" ref="W17">RollUpSum(17,23)</f>
        <v>125124.79</v>
      </c>
      <c r="X17" s="225" cm="1">
        <f t="array" ref="X17">RollUpSum(17,24)</f>
        <v>112696.89</v>
      </c>
      <c r="Y17" s="220" cm="1">
        <f t="array" ref="Y17">RollUpSum(17,25)</f>
        <v>105539.71</v>
      </c>
    </row>
    <row r="18" spans="1:25">
      <c r="A18" s="131" t="s">
        <v>139</v>
      </c>
      <c r="B18" s="127" cm="1">
        <f t="array" ref="B18">RollUpSum(18,2)</f>
        <v>0</v>
      </c>
      <c r="C18" s="128" cm="1">
        <f t="array" ref="C18">RollUpSum(18,3)</f>
        <v>0</v>
      </c>
      <c r="D18" s="231" cm="1">
        <f t="array" ref="D18">RollUpSum(18,4)</f>
        <v>0</v>
      </c>
      <c r="E18" s="227" cm="1">
        <f t="array" ref="E18">RollUpSum(18,5)</f>
        <v>0</v>
      </c>
      <c r="F18" s="129" cm="1">
        <f t="array" ref="F18">RollUpSum(18,6)</f>
        <v>0.64</v>
      </c>
      <c r="G18" s="128" cm="1">
        <f t="array" ref="G18">RollUpSum(18,7)</f>
        <v>0</v>
      </c>
      <c r="H18" s="231" cm="1">
        <f t="array" ref="H18">RollUpSum(18,8)</f>
        <v>0</v>
      </c>
      <c r="I18" s="227" cm="1">
        <f t="array" ref="I18">RollUpSum(18,9)</f>
        <v>1.92</v>
      </c>
      <c r="J18" s="129" cm="1">
        <f t="array" ref="J18">RollUpSum(18,10)</f>
        <v>415.41590000000002</v>
      </c>
      <c r="K18" s="128" cm="1">
        <f t="array" ref="K18">RollUpSum(18,11)</f>
        <v>0</v>
      </c>
      <c r="L18" s="231" cm="1">
        <f t="array" ref="L18">RollUpSum(18,12)</f>
        <v>1252.82</v>
      </c>
      <c r="M18" s="227" cm="1">
        <f t="array" ref="M18">RollUpSum(18,13)</f>
        <v>-6.56</v>
      </c>
      <c r="N18" s="129" cm="1">
        <f t="array" ref="N18">RollUpSum(18,14)</f>
        <v>473.66199999999998</v>
      </c>
      <c r="O18" s="128" cm="1">
        <f t="array" ref="O18">RollUpSum(18,15)</f>
        <v>350.76</v>
      </c>
      <c r="P18" s="231" cm="1">
        <f t="array" ref="P18">RollUpSum(18,16)</f>
        <v>1065.5999999999999</v>
      </c>
      <c r="Q18" s="227" cm="1">
        <f t="array" ref="Q18">RollUpSum(18,17)</f>
        <v>4.6399999999999997</v>
      </c>
      <c r="R18" s="129" cm="1">
        <f t="array" ref="R18">RollUpSum(18,18)</f>
        <v>919.96749999999997</v>
      </c>
      <c r="S18" s="130" cm="1">
        <f t="array" ref="S18">RollUpSum(18,19)</f>
        <v>1619.59</v>
      </c>
      <c r="T18" s="222" cm="1">
        <f t="array" ref="T18">RollUpSum(18,20)</f>
        <v>1140.3399999999999</v>
      </c>
      <c r="U18" s="217" cm="1">
        <f t="array" ref="U18">RollUpSum(18,21)</f>
        <v>0</v>
      </c>
      <c r="V18" s="127" cm="1">
        <f t="array" ref="V18">RollUpSum(18,22)</f>
        <v>1809.6851999999999</v>
      </c>
      <c r="W18" s="130" cm="1">
        <f t="array" ref="W18">RollUpSum(18,23)</f>
        <v>1970.35</v>
      </c>
      <c r="X18" s="222" cm="1">
        <f t="array" ref="X18">RollUpSum(18,24)</f>
        <v>3458.76</v>
      </c>
      <c r="Y18" s="217" cm="1">
        <f t="array" ref="Y18">RollUpSum(18,25)</f>
        <v>0</v>
      </c>
    </row>
    <row r="19" spans="1:25">
      <c r="A19" s="131" t="s">
        <v>140</v>
      </c>
      <c r="B19" s="127" cm="1">
        <f t="array" ref="B19">RollUpSum(19,2)</f>
        <v>52122</v>
      </c>
      <c r="C19" s="128" cm="1">
        <f t="array" ref="C19">RollUpSum(19,3)</f>
        <v>53841</v>
      </c>
      <c r="D19" s="231" cm="1">
        <f t="array" ref="D19">RollUpSum(19,4)</f>
        <v>53325</v>
      </c>
      <c r="E19" s="227" cm="1">
        <f t="array" ref="E19">RollUpSum(19,5)</f>
        <v>52024</v>
      </c>
      <c r="F19" s="129" cm="1">
        <f t="array" ref="F19">RollUpSum(19,6)</f>
        <v>7982.6202000000003</v>
      </c>
      <c r="G19" s="128" cm="1">
        <f t="array" ref="G19">RollUpSum(19,7)</f>
        <v>6162.3</v>
      </c>
      <c r="H19" s="231" cm="1">
        <f t="array" ref="H19">RollUpSum(19,8)</f>
        <v>7887.15</v>
      </c>
      <c r="I19" s="227" cm="1">
        <f t="array" ref="I19">RollUpSum(19,9)</f>
        <v>9898.65</v>
      </c>
      <c r="J19" s="129" cm="1">
        <f t="array" ref="J19">RollUpSum(19,10)</f>
        <v>7342.2699000000002</v>
      </c>
      <c r="K19" s="128" cm="1">
        <f t="array" ref="K19">RollUpSum(19,11)</f>
        <v>6355.85</v>
      </c>
      <c r="L19" s="231" cm="1">
        <f t="array" ref="L19">RollUpSum(19,12)</f>
        <v>5928.52</v>
      </c>
      <c r="M19" s="227" cm="1">
        <f t="array" ref="M19">RollUpSum(19,13)</f>
        <v>9742.66</v>
      </c>
      <c r="N19" s="129" cm="1">
        <f t="array" ref="N19">RollUpSum(19,14)</f>
        <v>6729.6926999999996</v>
      </c>
      <c r="O19" s="128" cm="1">
        <f t="array" ref="O19">RollUpSum(19,15)</f>
        <v>5490</v>
      </c>
      <c r="P19" s="231" cm="1">
        <f t="array" ref="P19">RollUpSum(19,16)</f>
        <v>5773.99</v>
      </c>
      <c r="Q19" s="227" cm="1">
        <f t="array" ref="Q19">RollUpSum(19,17)</f>
        <v>8925.2900000000009</v>
      </c>
      <c r="R19" s="129" cm="1">
        <f t="array" ref="R19">RollUpSum(19,18)</f>
        <v>7032.8096999999998</v>
      </c>
      <c r="S19" s="130" cm="1">
        <f t="array" ref="S19">RollUpSum(19,19)</f>
        <v>5540.15</v>
      </c>
      <c r="T19" s="222" cm="1">
        <f t="array" ref="T19">RollUpSum(19,20)</f>
        <v>6227.59</v>
      </c>
      <c r="U19" s="217" cm="1">
        <f t="array" ref="U19">RollUpSum(19,21)</f>
        <v>9330.9</v>
      </c>
      <c r="V19" s="127" cm="1">
        <f t="array" ref="V19">RollUpSum(19,22)</f>
        <v>29087.392400000001</v>
      </c>
      <c r="W19" s="130" cm="1">
        <f t="array" ref="W19">RollUpSum(19,23)</f>
        <v>23548.3</v>
      </c>
      <c r="X19" s="222" cm="1">
        <f t="array" ref="X19">RollUpSum(19,24)</f>
        <v>25817.25</v>
      </c>
      <c r="Y19" s="217" cm="1">
        <f t="array" ref="Y19">RollUpSum(19,25)</f>
        <v>37897.5</v>
      </c>
    </row>
    <row r="20" spans="1:25">
      <c r="A20" s="134" t="s">
        <v>141</v>
      </c>
      <c r="B20" s="135" cm="1">
        <f t="array" ref="B20">RollUpSum(20,2)</f>
        <v>1487</v>
      </c>
      <c r="C20" s="147" cm="1">
        <f t="array" ref="C20">RollUpSum(20,3)</f>
        <v>1316</v>
      </c>
      <c r="D20" s="234" cm="1">
        <f t="array" ref="D20">RollUpSum(20,4)</f>
        <v>2224</v>
      </c>
      <c r="E20" s="230" cm="1">
        <f t="array" ref="E20">RollUpSum(20,5)</f>
        <v>2522</v>
      </c>
      <c r="F20" s="136" cm="1">
        <f t="array" ref="F20">RollUpSum(20,6)</f>
        <v>112.9422</v>
      </c>
      <c r="G20" s="147" cm="1">
        <f t="array" ref="G20">RollUpSum(20,7)</f>
        <v>87.59</v>
      </c>
      <c r="H20" s="234" cm="1">
        <f t="array" ref="H20">RollUpSum(20,8)</f>
        <v>87.4</v>
      </c>
      <c r="I20" s="230" cm="1">
        <f t="array" ref="I20">RollUpSum(20,9)</f>
        <v>163.84</v>
      </c>
      <c r="J20" s="136" cm="1">
        <f t="array" ref="J20">RollUpSum(20,10)</f>
        <v>485.67180000000002</v>
      </c>
      <c r="K20" s="147" cm="1">
        <f t="array" ref="K20">RollUpSum(20,11)</f>
        <v>453.62</v>
      </c>
      <c r="L20" s="234" cm="1">
        <f t="array" ref="L20">RollUpSum(20,12)</f>
        <v>493.77</v>
      </c>
      <c r="M20" s="230" cm="1">
        <f t="array" ref="M20">RollUpSum(20,13)</f>
        <v>509.64</v>
      </c>
      <c r="N20" s="136" cm="1">
        <f t="array" ref="N20">RollUpSum(20,14)</f>
        <v>281.7405</v>
      </c>
      <c r="O20" s="147" cm="1">
        <f t="array" ref="O20">RollUpSum(20,15)</f>
        <v>251.84</v>
      </c>
      <c r="P20" s="234" cm="1">
        <f t="array" ref="P20">RollUpSum(20,16)</f>
        <v>305.07</v>
      </c>
      <c r="Q20" s="230" cm="1">
        <f t="array" ref="Q20">RollUpSum(20,17)</f>
        <v>288.32</v>
      </c>
      <c r="R20" s="136" cm="1">
        <f t="array" ref="R20">RollUpSum(20,18)</f>
        <v>251.1208</v>
      </c>
      <c r="S20" s="148" cm="1">
        <f t="array" ref="S20">RollUpSum(20,19)</f>
        <v>207.96</v>
      </c>
      <c r="T20" s="226" cm="1">
        <f t="array" ref="T20">RollUpSum(20,20)</f>
        <v>240.72</v>
      </c>
      <c r="U20" s="221" cm="1">
        <f t="array" ref="U20">RollUpSum(20,21)</f>
        <v>304.69</v>
      </c>
      <c r="V20" s="135" cm="1">
        <f t="array" ref="V20">RollUpSum(20,22)</f>
        <v>1131.4753000000001</v>
      </c>
      <c r="W20" s="148" cm="1">
        <f t="array" ref="W20">RollUpSum(20,23)</f>
        <v>1001.01</v>
      </c>
      <c r="X20" s="226" cm="1">
        <f t="array" ref="X20">RollUpSum(20,24)</f>
        <v>1126.96</v>
      </c>
      <c r="Y20" s="221" cm="1">
        <f t="array" ref="Y20">RollUpSum(20,25)</f>
        <v>1266.49</v>
      </c>
    </row>
    <row r="21" spans="1:25">
      <c r="A21" s="62" t="s">
        <v>142</v>
      </c>
      <c r="B21" s="78">
        <f t="shared" ref="B21:Y21" si="2">SUM(B15:B20)</f>
        <v>331996</v>
      </c>
      <c r="C21" s="91">
        <f t="shared" si="2"/>
        <v>329924</v>
      </c>
      <c r="D21" s="91">
        <f t="shared" si="2"/>
        <v>419454</v>
      </c>
      <c r="E21" s="91">
        <f t="shared" si="2"/>
        <v>402703</v>
      </c>
      <c r="F21" s="78">
        <f t="shared" si="2"/>
        <v>42576.880799999992</v>
      </c>
      <c r="G21" s="149">
        <f t="shared" si="2"/>
        <v>36453.03</v>
      </c>
      <c r="H21" s="149">
        <f t="shared" si="2"/>
        <v>39895.850000000006</v>
      </c>
      <c r="I21" s="149">
        <f t="shared" si="2"/>
        <v>51383.039999999994</v>
      </c>
      <c r="J21" s="78">
        <f t="shared" si="2"/>
        <v>82031.546400000007</v>
      </c>
      <c r="K21" s="91">
        <f t="shared" si="2"/>
        <v>83896.57</v>
      </c>
      <c r="L21" s="91">
        <f t="shared" si="2"/>
        <v>83054.74000000002</v>
      </c>
      <c r="M21" s="91">
        <f t="shared" si="2"/>
        <v>79145.790000000008</v>
      </c>
      <c r="N21" s="78">
        <f t="shared" si="2"/>
        <v>58255.9375</v>
      </c>
      <c r="O21" s="91">
        <f t="shared" si="2"/>
        <v>54791.81</v>
      </c>
      <c r="P21" s="91">
        <f t="shared" si="2"/>
        <v>61086.479999999996</v>
      </c>
      <c r="Q21" s="91">
        <f t="shared" si="2"/>
        <v>58891.270000000004</v>
      </c>
      <c r="R21" s="78">
        <f t="shared" si="2"/>
        <v>60705.65619999999</v>
      </c>
      <c r="S21" s="150">
        <f t="shared" si="2"/>
        <v>58750.679999999993</v>
      </c>
      <c r="T21" s="150">
        <f t="shared" si="2"/>
        <v>59031.509999999995</v>
      </c>
      <c r="U21" s="150">
        <f t="shared" si="2"/>
        <v>64336.600000000006</v>
      </c>
      <c r="V21" s="78">
        <f t="shared" si="2"/>
        <v>243570.0208</v>
      </c>
      <c r="W21" s="150">
        <f t="shared" si="2"/>
        <v>233892.09</v>
      </c>
      <c r="X21" s="150">
        <f t="shared" si="2"/>
        <v>243068.58</v>
      </c>
      <c r="Y21" s="150">
        <f t="shared" si="2"/>
        <v>253756.7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>
      <c r="A23" s="126" t="s">
        <v>144</v>
      </c>
      <c r="B23" s="141" cm="1">
        <f t="array" ref="B23">RollUpSum(23,2)</f>
        <v>200737</v>
      </c>
      <c r="C23" s="128" cm="1">
        <f t="array" ref="C23">RollUpSum(23,3)</f>
        <v>198929</v>
      </c>
      <c r="D23" s="231" cm="1">
        <f t="array" ref="D23">RollUpSum(23,4)</f>
        <v>157135</v>
      </c>
      <c r="E23" s="227" cm="1">
        <f t="array" ref="E23">RollUpSum(23,5)</f>
        <v>157135</v>
      </c>
      <c r="F23" s="129" cm="1">
        <f t="array" ref="F23">RollUpSum(23,6)</f>
        <v>0</v>
      </c>
      <c r="G23" s="128" cm="1">
        <f t="array" ref="G23">RollUpSum(23,7)</f>
        <v>0</v>
      </c>
      <c r="H23" s="231" cm="1">
        <f t="array" ref="H23">RollUpSum(23,8)</f>
        <v>0</v>
      </c>
      <c r="I23" s="227" cm="1">
        <f t="array" ref="I23">RollUpSum(23,9)</f>
        <v>0</v>
      </c>
      <c r="J23" s="129" cm="1">
        <f t="array" ref="J23">RollUpSum(23,10)</f>
        <v>0</v>
      </c>
      <c r="K23" s="128" cm="1">
        <f t="array" ref="K23">RollUpSum(23,11)</f>
        <v>0</v>
      </c>
      <c r="L23" s="231" cm="1">
        <f t="array" ref="L23">RollUpSum(23,12)</f>
        <v>0</v>
      </c>
      <c r="M23" s="227" cm="1">
        <f t="array" ref="M23">RollUpSum(23,13)</f>
        <v>0</v>
      </c>
      <c r="N23" s="129" cm="1">
        <f t="array" ref="N23">RollUpSum(23,14)</f>
        <v>0</v>
      </c>
      <c r="O23" s="128" cm="1">
        <f t="array" ref="O23">RollUpSum(23,15)</f>
        <v>0</v>
      </c>
      <c r="P23" s="231" cm="1">
        <f t="array" ref="P23">RollUpSum(23,16)</f>
        <v>0</v>
      </c>
      <c r="Q23" s="227" cm="1">
        <f t="array" ref="Q23">RollUpSum(23,17)</f>
        <v>0</v>
      </c>
      <c r="R23" s="129" cm="1">
        <f t="array" ref="R23">RollUpSum(23,18)</f>
        <v>0</v>
      </c>
      <c r="S23" s="142" cm="1">
        <f t="array" ref="S23">RollUpSum(23,19)</f>
        <v>0</v>
      </c>
      <c r="T23" s="224" cm="1">
        <f t="array" ref="T23">RollUpSum(23,20)</f>
        <v>0</v>
      </c>
      <c r="U23" s="219" cm="1">
        <f t="array" ref="U23">RollUpSum(23,21)</f>
        <v>0</v>
      </c>
      <c r="V23" s="141" cm="1">
        <f t="array" ref="V23">RollUpSum(23,22)</f>
        <v>0</v>
      </c>
      <c r="W23" s="142" cm="1">
        <f t="array" ref="W23">RollUpSum(23,23)</f>
        <v>0</v>
      </c>
      <c r="X23" s="224" cm="1">
        <f t="array" ref="X23">RollUpSum(23,24)</f>
        <v>0</v>
      </c>
      <c r="Y23" s="219" cm="1">
        <f t="array" ref="Y23">RollUpSum(23,25)</f>
        <v>0</v>
      </c>
    </row>
    <row r="24" spans="1:25">
      <c r="A24" s="131" t="s">
        <v>145</v>
      </c>
      <c r="B24" s="127" cm="1">
        <f t="array" ref="B24">RollUpSum(24,2)</f>
        <v>0</v>
      </c>
      <c r="C24" s="128" cm="1">
        <f t="array" ref="C24">RollUpSum(24,3)</f>
        <v>0</v>
      </c>
      <c r="D24" s="231" cm="1">
        <f t="array" ref="D24">RollUpSum(24,4)</f>
        <v>0</v>
      </c>
      <c r="E24" s="227" cm="1">
        <f t="array" ref="E24">RollUpSum(24,5)</f>
        <v>0</v>
      </c>
      <c r="F24" s="129" cm="1">
        <f t="array" ref="F24">RollUpSum(24,6)</f>
        <v>0</v>
      </c>
      <c r="G24" s="128" cm="1">
        <f t="array" ref="G24">RollUpSum(24,7)</f>
        <v>0</v>
      </c>
      <c r="H24" s="231" cm="1">
        <f t="array" ref="H24">RollUpSum(24,8)</f>
        <v>0</v>
      </c>
      <c r="I24" s="227" cm="1">
        <f t="array" ref="I24">RollUpSum(24,9)</f>
        <v>0</v>
      </c>
      <c r="J24" s="129" cm="1">
        <f t="array" ref="J24">RollUpSum(24,10)</f>
        <v>0</v>
      </c>
      <c r="K24" s="128" cm="1">
        <f t="array" ref="K24">RollUpSum(24,11)</f>
        <v>0</v>
      </c>
      <c r="L24" s="231" cm="1">
        <f t="array" ref="L24">RollUpSum(24,12)</f>
        <v>0</v>
      </c>
      <c r="M24" s="227" cm="1">
        <f t="array" ref="M24">RollUpSum(24,13)</f>
        <v>0</v>
      </c>
      <c r="N24" s="129" cm="1">
        <f t="array" ref="N24">RollUpSum(24,14)</f>
        <v>0</v>
      </c>
      <c r="O24" s="128" cm="1">
        <f t="array" ref="O24">RollUpSum(24,15)</f>
        <v>0</v>
      </c>
      <c r="P24" s="231" cm="1">
        <f t="array" ref="P24">RollUpSum(24,16)</f>
        <v>0</v>
      </c>
      <c r="Q24" s="227" cm="1">
        <f t="array" ref="Q24">RollUpSum(24,17)</f>
        <v>0</v>
      </c>
      <c r="R24" s="129" cm="1">
        <f t="array" ref="R24">RollUpSum(24,18)</f>
        <v>0</v>
      </c>
      <c r="S24" s="130" cm="1">
        <f t="array" ref="S24">RollUpSum(24,19)</f>
        <v>0</v>
      </c>
      <c r="T24" s="222" cm="1">
        <f t="array" ref="T24">RollUpSum(24,20)</f>
        <v>0</v>
      </c>
      <c r="U24" s="217" cm="1">
        <f t="array" ref="U24">RollUpSum(24,21)</f>
        <v>0</v>
      </c>
      <c r="V24" s="127" cm="1">
        <f t="array" ref="V24">RollUpSum(24,22)</f>
        <v>0</v>
      </c>
      <c r="W24" s="130" cm="1">
        <f t="array" ref="W24">RollUpSum(24,23)</f>
        <v>0</v>
      </c>
      <c r="X24" s="222" cm="1">
        <f t="array" ref="X24">RollUpSum(24,24)</f>
        <v>0</v>
      </c>
      <c r="Y24" s="217" cm="1">
        <f t="array" ref="Y24">RollUpSum(24,25)</f>
        <v>0</v>
      </c>
    </row>
    <row r="25" spans="1:25">
      <c r="A25" s="131" t="s">
        <v>146</v>
      </c>
      <c r="B25" s="127" cm="1">
        <f t="array" ref="B25">RollUpSum(25,2)</f>
        <v>0</v>
      </c>
      <c r="C25" s="128" cm="1">
        <f t="array" ref="C25">RollUpSum(25,3)</f>
        <v>0</v>
      </c>
      <c r="D25" s="231" cm="1">
        <f t="array" ref="D25">RollUpSum(25,4)</f>
        <v>0</v>
      </c>
      <c r="E25" s="227" cm="1">
        <f t="array" ref="E25">RollUpSum(25,5)</f>
        <v>0</v>
      </c>
      <c r="F25" s="129" cm="1">
        <f t="array" ref="F25">RollUpSum(25,6)</f>
        <v>2289.4038</v>
      </c>
      <c r="G25" s="128" cm="1">
        <f t="array" ref="G25">RollUpSum(25,7)</f>
        <v>1698.09</v>
      </c>
      <c r="H25" s="231" cm="1">
        <f t="array" ref="H25">RollUpSum(25,8)</f>
        <v>1550.9</v>
      </c>
      <c r="I25" s="227" cm="1">
        <f t="array" ref="I25">RollUpSum(25,9)</f>
        <v>3619.29</v>
      </c>
      <c r="J25" s="129" cm="1">
        <f t="array" ref="J25">RollUpSum(25,10)</f>
        <v>2808.252</v>
      </c>
      <c r="K25" s="128" cm="1">
        <f t="array" ref="K25">RollUpSum(25,11)</f>
        <v>5256.78</v>
      </c>
      <c r="L25" s="231" cm="1">
        <f t="array" ref="L25">RollUpSum(25,12)</f>
        <v>1518.9</v>
      </c>
      <c r="M25" s="227" cm="1">
        <f t="array" ref="M25">RollUpSum(25,13)</f>
        <v>1649.16</v>
      </c>
      <c r="N25" s="129" cm="1">
        <f t="array" ref="N25">RollUpSum(25,14)</f>
        <v>2357.4865</v>
      </c>
      <c r="O25" s="128" cm="1">
        <f t="array" ref="O25">RollUpSum(25,15)</f>
        <v>1316.44</v>
      </c>
      <c r="P25" s="231" cm="1">
        <f t="array" ref="P25">RollUpSum(25,16)</f>
        <v>1263.8599999999999</v>
      </c>
      <c r="Q25" s="227" cm="1">
        <f t="array" ref="Q25">RollUpSum(25,17)</f>
        <v>4492.2299999999996</v>
      </c>
      <c r="R25" s="129" cm="1">
        <f t="array" ref="R25">RollUpSum(25,18)</f>
        <v>3839.2716999999998</v>
      </c>
      <c r="S25" s="130" cm="1">
        <f t="array" ref="S25">RollUpSum(25,19)</f>
        <v>1372.67</v>
      </c>
      <c r="T25" s="222" cm="1">
        <f t="array" ref="T25">RollUpSum(25,20)</f>
        <v>3658.6</v>
      </c>
      <c r="U25" s="217" cm="1">
        <f t="array" ref="U25">RollUpSum(25,21)</f>
        <v>6486.66</v>
      </c>
      <c r="V25" s="127" cm="1">
        <f t="array" ref="V25">RollUpSum(25,22)</f>
        <v>11294.4136</v>
      </c>
      <c r="W25" s="130" cm="1">
        <f t="array" ref="W25">RollUpSum(25,23)</f>
        <v>9643.98</v>
      </c>
      <c r="X25" s="222" cm="1">
        <f t="array" ref="X25">RollUpSum(25,24)</f>
        <v>7992.26</v>
      </c>
      <c r="Y25" s="217" cm="1">
        <f t="array" ref="Y25">RollUpSum(25,25)</f>
        <v>16247.34</v>
      </c>
    </row>
    <row r="26" spans="1:25">
      <c r="A26" s="131" t="s">
        <v>147</v>
      </c>
      <c r="B26" s="127" cm="1">
        <f t="array" ref="B26">RollUpSum(26,2)</f>
        <v>0</v>
      </c>
      <c r="C26" s="128" cm="1">
        <f t="array" ref="C26">RollUpSum(26,3)</f>
        <v>0</v>
      </c>
      <c r="D26" s="231" cm="1">
        <f t="array" ref="D26">RollUpSum(26,4)</f>
        <v>0</v>
      </c>
      <c r="E26" s="227" cm="1">
        <f t="array" ref="E26">RollUpSum(26,5)</f>
        <v>0</v>
      </c>
      <c r="F26" s="129" cm="1">
        <f t="array" ref="F26">RollUpSum(26,6)</f>
        <v>1358.0331000000001</v>
      </c>
      <c r="G26" s="128" cm="1">
        <f t="array" ref="G26">RollUpSum(26,7)</f>
        <v>1781.51</v>
      </c>
      <c r="H26" s="231" cm="1">
        <f t="array" ref="H26">RollUpSum(26,8)</f>
        <v>1000</v>
      </c>
      <c r="I26" s="227" cm="1">
        <f t="array" ref="I26">RollUpSum(26,9)</f>
        <v>1292.6300000000001</v>
      </c>
      <c r="J26" s="129" cm="1">
        <f t="array" ref="J26">RollUpSum(26,10)</f>
        <v>12449.995500000001</v>
      </c>
      <c r="K26" s="128" cm="1">
        <f t="array" ref="K26">RollUpSum(26,11)</f>
        <v>10967.48</v>
      </c>
      <c r="L26" s="231" cm="1">
        <f t="array" ref="L26">RollUpSum(26,12)</f>
        <v>17133.560000000001</v>
      </c>
      <c r="M26" s="227" cm="1">
        <f t="array" ref="M26">RollUpSum(26,13)</f>
        <v>9249.32</v>
      </c>
      <c r="N26" s="129" cm="1">
        <f t="array" ref="N26">RollUpSum(26,14)</f>
        <v>6347.0396000000001</v>
      </c>
      <c r="O26" s="128" cm="1">
        <f t="array" ref="O26">RollUpSum(26,15)</f>
        <v>4475.2700000000004</v>
      </c>
      <c r="P26" s="231" cm="1">
        <f t="array" ref="P26">RollUpSum(26,16)</f>
        <v>8543.5499999999993</v>
      </c>
      <c r="Q26" s="227" cm="1">
        <f t="array" ref="Q26">RollUpSum(26,17)</f>
        <v>6022.49</v>
      </c>
      <c r="R26" s="129" cm="1">
        <f t="array" ref="R26">RollUpSum(26,18)</f>
        <v>9537.0846999999994</v>
      </c>
      <c r="S26" s="130" cm="1">
        <f t="array" ref="S26">RollUpSum(26,19)</f>
        <v>9477.0300000000007</v>
      </c>
      <c r="T26" s="222" cm="1">
        <f t="array" ref="T26">RollUpSum(26,20)</f>
        <v>8346.51</v>
      </c>
      <c r="U26" s="217" cm="1">
        <f t="array" ref="U26">RollUpSum(26,21)</f>
        <v>10788</v>
      </c>
      <c r="V26" s="127" cm="1">
        <f t="array" ref="V26">RollUpSum(26,22)</f>
        <v>29692.1531</v>
      </c>
      <c r="W26" s="130" cm="1">
        <f t="array" ref="W26">RollUpSum(26,23)</f>
        <v>26701.29</v>
      </c>
      <c r="X26" s="222" cm="1">
        <f t="array" ref="X26">RollUpSum(26,24)</f>
        <v>35023.620000000003</v>
      </c>
      <c r="Y26" s="217" cm="1">
        <f t="array" ref="Y26">RollUpSum(26,25)</f>
        <v>27352.44</v>
      </c>
    </row>
    <row r="27" spans="1:25">
      <c r="A27" s="131" t="s">
        <v>148</v>
      </c>
      <c r="B27" s="127" cm="1">
        <f t="array" ref="B27">RollUpSum(27,2)</f>
        <v>0</v>
      </c>
      <c r="C27" s="128" cm="1">
        <f t="array" ref="C27">RollUpSum(27,3)</f>
        <v>0</v>
      </c>
      <c r="D27" s="231" cm="1">
        <f t="array" ref="D27">RollUpSum(27,4)</f>
        <v>0</v>
      </c>
      <c r="E27" s="227" cm="1">
        <f t="array" ref="E27">RollUpSum(27,5)</f>
        <v>0</v>
      </c>
      <c r="F27" s="129" cm="1">
        <f t="array" ref="F27">RollUpSum(27,6)</f>
        <v>58.332799999999999</v>
      </c>
      <c r="G27" s="128" cm="1">
        <f t="array" ref="G27">RollUpSum(27,7)</f>
        <v>100</v>
      </c>
      <c r="H27" s="231" cm="1">
        <f t="array" ref="H27">RollUpSum(27,8)</f>
        <v>75</v>
      </c>
      <c r="I27" s="227" cm="1">
        <f t="array" ref="I27">RollUpSum(27,9)</f>
        <v>0</v>
      </c>
      <c r="J27" s="129" cm="1">
        <f t="array" ref="J27">RollUpSum(27,10)</f>
        <v>987.41010000000006</v>
      </c>
      <c r="K27" s="128" cm="1">
        <f t="array" ref="K27">RollUpSum(27,11)</f>
        <v>733</v>
      </c>
      <c r="L27" s="231" cm="1">
        <f t="array" ref="L27">RollUpSum(27,12)</f>
        <v>648.91</v>
      </c>
      <c r="M27" s="227" cm="1">
        <f t="array" ref="M27">RollUpSum(27,13)</f>
        <v>1580.35</v>
      </c>
      <c r="N27" s="129" cm="1">
        <f t="array" ref="N27">RollUpSum(27,14)</f>
        <v>87.732500000000002</v>
      </c>
      <c r="O27" s="128" cm="1">
        <f t="array" ref="O27">RollUpSum(27,15)</f>
        <v>105</v>
      </c>
      <c r="P27" s="231" cm="1">
        <f t="array" ref="P27">RollUpSum(27,16)</f>
        <v>36</v>
      </c>
      <c r="Q27" s="227" cm="1">
        <f t="array" ref="Q27">RollUpSum(27,17)</f>
        <v>122.2</v>
      </c>
      <c r="R27" s="129" cm="1">
        <f t="array" ref="R27">RollUpSum(27,18)</f>
        <v>96.525700000000001</v>
      </c>
      <c r="S27" s="130" cm="1">
        <f t="array" ref="S27">RollUpSum(27,19)</f>
        <v>158.80000000000001</v>
      </c>
      <c r="T27" s="222" cm="1">
        <f t="array" ref="T27">RollUpSum(27,20)</f>
        <v>72</v>
      </c>
      <c r="U27" s="217" cm="1">
        <f t="array" ref="U27">RollUpSum(27,21)</f>
        <v>58.78</v>
      </c>
      <c r="V27" s="127" cm="1">
        <f t="array" ref="V27">RollUpSum(27,22)</f>
        <v>1230.001</v>
      </c>
      <c r="W27" s="130" cm="1">
        <f t="array" ref="W27">RollUpSum(27,23)</f>
        <v>1096.8</v>
      </c>
      <c r="X27" s="222" cm="1">
        <f t="array" ref="X27">RollUpSum(27,24)</f>
        <v>831.91</v>
      </c>
      <c r="Y27" s="217" cm="1">
        <f t="array" ref="Y27">RollUpSum(27,25)</f>
        <v>1761.33</v>
      </c>
    </row>
    <row r="28" spans="1:25">
      <c r="A28" s="131" t="s">
        <v>149</v>
      </c>
      <c r="B28" s="127" cm="1">
        <f t="array" ref="B28">RollUpSum(28,2)</f>
        <v>0</v>
      </c>
      <c r="C28" s="128" cm="1">
        <f t="array" ref="C28">RollUpSum(28,3)</f>
        <v>0</v>
      </c>
      <c r="D28" s="231" cm="1">
        <f t="array" ref="D28">RollUpSum(28,4)</f>
        <v>0</v>
      </c>
      <c r="E28" s="227" cm="1">
        <f t="array" ref="E28">RollUpSum(28,5)</f>
        <v>0</v>
      </c>
      <c r="F28" s="129" cm="1">
        <f t="array" ref="F28">RollUpSum(28,6)</f>
        <v>727.77279999999996</v>
      </c>
      <c r="G28" s="128" cm="1">
        <f t="array" ref="G28">RollUpSum(28,7)</f>
        <v>475.21</v>
      </c>
      <c r="H28" s="231" cm="1">
        <f t="array" ref="H28">RollUpSum(28,8)</f>
        <v>535.01</v>
      </c>
      <c r="I28" s="227" cm="1">
        <f t="array" ref="I28">RollUpSum(28,9)</f>
        <v>1173.1199999999999</v>
      </c>
      <c r="J28" s="129" cm="1">
        <f t="array" ref="J28">RollUpSum(28,10)</f>
        <v>6604.4372000000003</v>
      </c>
      <c r="K28" s="128" cm="1">
        <f t="array" ref="K28">RollUpSum(28,11)</f>
        <v>9320.98</v>
      </c>
      <c r="L28" s="231" cm="1">
        <f t="array" ref="L28">RollUpSum(28,12)</f>
        <v>6468.64</v>
      </c>
      <c r="M28" s="227" cm="1">
        <f t="array" ref="M28">RollUpSum(28,13)</f>
        <v>4023.89</v>
      </c>
      <c r="N28" s="129" cm="1">
        <f t="array" ref="N28">RollUpSum(28,14)</f>
        <v>5127.3886000000002</v>
      </c>
      <c r="O28" s="128" cm="1">
        <f t="array" ref="O28">RollUpSum(28,15)</f>
        <v>6517.42</v>
      </c>
      <c r="P28" s="231" cm="1">
        <f t="array" ref="P28">RollUpSum(28,16)</f>
        <v>5363.28</v>
      </c>
      <c r="Q28" s="227" cm="1">
        <f t="array" ref="Q28">RollUpSum(28,17)</f>
        <v>3501.62</v>
      </c>
      <c r="R28" s="129" cm="1">
        <f t="array" ref="R28">RollUpSum(28,18)</f>
        <v>4242.8710000000001</v>
      </c>
      <c r="S28" s="130" cm="1">
        <f t="array" ref="S28">RollUpSum(28,19)</f>
        <v>2603.0500000000002</v>
      </c>
      <c r="T28" s="222" cm="1">
        <f t="array" ref="T28">RollUpSum(28,20)</f>
        <v>2256.88</v>
      </c>
      <c r="U28" s="217" cm="1">
        <f t="array" ref="U28">RollUpSum(28,21)</f>
        <v>7868.81</v>
      </c>
      <c r="V28" s="127" cm="1">
        <f t="array" ref="V28">RollUpSum(28,22)</f>
        <v>16702.469700000001</v>
      </c>
      <c r="W28" s="130" cm="1">
        <f t="array" ref="W28">RollUpSum(28,23)</f>
        <v>18916.66</v>
      </c>
      <c r="X28" s="222" cm="1">
        <f t="array" ref="X28">RollUpSum(28,24)</f>
        <v>14623.81</v>
      </c>
      <c r="Y28" s="217" cm="1">
        <f t="array" ref="Y28">RollUpSum(28,25)</f>
        <v>16567.439999999999</v>
      </c>
    </row>
    <row r="29" spans="1:25">
      <c r="A29" s="134" t="s">
        <v>150</v>
      </c>
      <c r="B29" s="135" cm="1">
        <f t="array" ref="B29">RollUpSum(29,2)</f>
        <v>0</v>
      </c>
      <c r="C29" s="147" cm="1">
        <f t="array" ref="C29">RollUpSum(29,3)</f>
        <v>0</v>
      </c>
      <c r="D29" s="234" cm="1">
        <f t="array" ref="D29">RollUpSum(29,4)</f>
        <v>0</v>
      </c>
      <c r="E29" s="230" cm="1">
        <f t="array" ref="E29">RollUpSum(29,5)</f>
        <v>0</v>
      </c>
      <c r="F29" s="136" cm="1">
        <f t="array" ref="F29">RollUpSum(29,6)</f>
        <v>21516.064900000001</v>
      </c>
      <c r="G29" s="147" cm="1">
        <f t="array" ref="G29">RollUpSum(29,7)</f>
        <v>25812.35</v>
      </c>
      <c r="H29" s="234" cm="1">
        <f t="array" ref="H29">RollUpSum(29,8)</f>
        <v>18697.71</v>
      </c>
      <c r="I29" s="230" cm="1">
        <f t="array" ref="I29">RollUpSum(29,9)</f>
        <v>20038.78</v>
      </c>
      <c r="J29" s="136" cm="1">
        <f t="array" ref="J29">RollUpSum(29,10)</f>
        <v>41109.615400000002</v>
      </c>
      <c r="K29" s="147" cm="1">
        <f t="array" ref="K29">RollUpSum(29,11)</f>
        <v>38132.769999999997</v>
      </c>
      <c r="L29" s="234" cm="1">
        <f t="array" ref="L29">RollUpSum(29,12)</f>
        <v>37592.199999999997</v>
      </c>
      <c r="M29" s="230" cm="1">
        <f t="array" ref="M29">RollUpSum(29,13)</f>
        <v>47605.11</v>
      </c>
      <c r="N29" s="136" cm="1">
        <f t="array" ref="N29">RollUpSum(29,14)</f>
        <v>27254.7906</v>
      </c>
      <c r="O29" s="147" cm="1">
        <f t="array" ref="O29">RollUpSum(29,15)</f>
        <v>23483.33</v>
      </c>
      <c r="P29" s="234" cm="1">
        <f t="array" ref="P29">RollUpSum(29,16)</f>
        <v>38853.1</v>
      </c>
      <c r="Q29" s="230" cm="1">
        <f t="array" ref="Q29">RollUpSum(29,17)</f>
        <v>19428.759999999998</v>
      </c>
      <c r="R29" s="136" cm="1">
        <f t="array" ref="R29">RollUpSum(29,18)</f>
        <v>39081.455800000003</v>
      </c>
      <c r="S29" s="148" cm="1">
        <f t="array" ref="S29">RollUpSum(29,19)</f>
        <v>51915.27</v>
      </c>
      <c r="T29" s="226" cm="1">
        <f t="array" ref="T29">RollUpSum(29,20)</f>
        <v>24813.58</v>
      </c>
      <c r="U29" s="221" cm="1">
        <f t="array" ref="U29">RollUpSum(29,21)</f>
        <v>40516.69</v>
      </c>
      <c r="V29" s="135" cm="1">
        <f t="array" ref="V29">RollUpSum(29,22)</f>
        <v>128961.92720000001</v>
      </c>
      <c r="W29" s="148" cm="1">
        <f t="array" ref="W29">RollUpSum(29,23)</f>
        <v>139343.72</v>
      </c>
      <c r="X29" s="226" cm="1">
        <f t="array" ref="X29">RollUpSum(29,24)</f>
        <v>119956.59</v>
      </c>
      <c r="Y29" s="221" cm="1">
        <f t="array" ref="Y29">RollUpSum(29,25)</f>
        <v>127589.34</v>
      </c>
    </row>
    <row r="30" spans="1:25">
      <c r="A30" s="62" t="s">
        <v>151</v>
      </c>
      <c r="B30" s="78">
        <f t="shared" ref="B30:Y30" si="3">SUM(B23:B29)</f>
        <v>200737</v>
      </c>
      <c r="C30" s="91">
        <f t="shared" si="3"/>
        <v>198929</v>
      </c>
      <c r="D30" s="91">
        <f t="shared" si="3"/>
        <v>157135</v>
      </c>
      <c r="E30" s="91">
        <f t="shared" si="3"/>
        <v>157135</v>
      </c>
      <c r="F30" s="78">
        <f t="shared" si="3"/>
        <v>25949.607400000001</v>
      </c>
      <c r="G30" s="91">
        <f t="shared" si="3"/>
        <v>29867.16</v>
      </c>
      <c r="H30" s="91">
        <f t="shared" si="3"/>
        <v>21858.62</v>
      </c>
      <c r="I30" s="91">
        <f t="shared" si="3"/>
        <v>26123.82</v>
      </c>
      <c r="J30" s="78">
        <f t="shared" si="3"/>
        <v>63959.710200000001</v>
      </c>
      <c r="K30" s="91">
        <f t="shared" si="3"/>
        <v>64411.009999999995</v>
      </c>
      <c r="L30" s="91">
        <f t="shared" si="3"/>
        <v>63362.21</v>
      </c>
      <c r="M30" s="91">
        <f t="shared" si="3"/>
        <v>64107.83</v>
      </c>
      <c r="N30" s="78">
        <f t="shared" si="3"/>
        <v>41174.4378</v>
      </c>
      <c r="O30" s="91">
        <f t="shared" si="3"/>
        <v>35897.460000000006</v>
      </c>
      <c r="P30" s="91">
        <f t="shared" si="3"/>
        <v>54059.789999999994</v>
      </c>
      <c r="Q30" s="91">
        <f t="shared" si="3"/>
        <v>33567.300000000003</v>
      </c>
      <c r="R30" s="78">
        <f t="shared" si="3"/>
        <v>56797.208899999998</v>
      </c>
      <c r="S30" s="150">
        <f t="shared" si="3"/>
        <v>65526.819999999992</v>
      </c>
      <c r="T30" s="150">
        <f t="shared" si="3"/>
        <v>39147.570000000007</v>
      </c>
      <c r="U30" s="150">
        <f t="shared" si="3"/>
        <v>65718.94</v>
      </c>
      <c r="V30" s="78">
        <f t="shared" si="3"/>
        <v>187880.96460000001</v>
      </c>
      <c r="W30" s="150">
        <f t="shared" si="3"/>
        <v>195702.45</v>
      </c>
      <c r="X30" s="150">
        <f t="shared" si="3"/>
        <v>178428.19</v>
      </c>
      <c r="Y30" s="150">
        <f t="shared" si="3"/>
        <v>189517.89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>
      <c r="A32" s="126" t="s">
        <v>153</v>
      </c>
      <c r="B32" s="141" cm="1">
        <f t="array" ref="B32">RollUpSum(32,2)</f>
        <v>10200</v>
      </c>
      <c r="C32" s="128" cm="1">
        <f t="array" ref="C32">RollUpSum(32,3)</f>
        <v>11000</v>
      </c>
      <c r="D32" s="231" cm="1">
        <f t="array" ref="D32">RollUpSum(32,4)</f>
        <v>11000</v>
      </c>
      <c r="E32" s="227" cm="1">
        <f t="array" ref="E32">RollUpSum(32,5)</f>
        <v>11000</v>
      </c>
      <c r="F32" s="129" cm="1">
        <f t="array" ref="F32">RollUpSum(32,6)</f>
        <v>806.00199999999995</v>
      </c>
      <c r="G32" s="128" cm="1">
        <f t="array" ref="G32">RollUpSum(32,7)</f>
        <v>817.56</v>
      </c>
      <c r="H32" s="231" cm="1">
        <f t="array" ref="H32">RollUpSum(32,8)</f>
        <v>1600.47</v>
      </c>
      <c r="I32" s="227" cm="1">
        <f t="array" ref="I32">RollUpSum(32,9)</f>
        <v>0</v>
      </c>
      <c r="J32" s="129" cm="1">
        <f t="array" ref="J32">RollUpSum(32,10)</f>
        <v>739.14599999999996</v>
      </c>
      <c r="K32" s="128" cm="1">
        <f t="array" ref="K32">RollUpSum(32,11)</f>
        <v>0</v>
      </c>
      <c r="L32" s="231" cm="1">
        <f t="array" ref="L32">RollUpSum(32,12)</f>
        <v>2091.04</v>
      </c>
      <c r="M32" s="227" cm="1">
        <f t="array" ref="M32">RollUpSum(32,13)</f>
        <v>126.42</v>
      </c>
      <c r="N32" s="129" cm="1">
        <f t="array" ref="N32">RollUpSum(32,14)</f>
        <v>286.68049999999999</v>
      </c>
      <c r="O32" s="128" cm="1">
        <f t="array" ref="O32">RollUpSum(32,15)</f>
        <v>0</v>
      </c>
      <c r="P32" s="231" cm="1">
        <f t="array" ref="P32">RollUpSum(32,16)</f>
        <v>0</v>
      </c>
      <c r="Q32" s="227" cm="1">
        <f t="array" ref="Q32">RollUpSum(32,17)</f>
        <v>860.05</v>
      </c>
      <c r="R32" s="129" cm="1">
        <f t="array" ref="R32">RollUpSum(32,18)</f>
        <v>24.319800000000001</v>
      </c>
      <c r="S32" s="142" cm="1">
        <f t="array" ref="S32">RollUpSum(32,19)</f>
        <v>0</v>
      </c>
      <c r="T32" s="224" cm="1">
        <f t="array" ref="T32">RollUpSum(32,20)</f>
        <v>0</v>
      </c>
      <c r="U32" s="219" cm="1">
        <f t="array" ref="U32">RollUpSum(32,21)</f>
        <v>72.959999999999994</v>
      </c>
      <c r="V32" s="141" cm="1">
        <f t="array" ref="V32">RollUpSum(32,22)</f>
        <v>1856.1481000000001</v>
      </c>
      <c r="W32" s="142" cm="1">
        <f t="array" ref="W32">RollUpSum(32,23)</f>
        <v>817.56</v>
      </c>
      <c r="X32" s="224" cm="1">
        <f t="array" ref="X32">RollUpSum(32,24)</f>
        <v>3691.51</v>
      </c>
      <c r="Y32" s="219" cm="1">
        <f t="array" ref="Y32">RollUpSum(32,25)</f>
        <v>1059.43</v>
      </c>
    </row>
    <row r="33" spans="1:25">
      <c r="A33" s="134" t="s">
        <v>154</v>
      </c>
      <c r="B33" s="135" cm="1">
        <f t="array" ref="B33">RollUpSum(33,2)</f>
        <v>0</v>
      </c>
      <c r="C33" s="147" cm="1">
        <f t="array" ref="C33">RollUpSum(33,3)</f>
        <v>0</v>
      </c>
      <c r="D33" s="234" cm="1">
        <f t="array" ref="D33">RollUpSum(33,4)</f>
        <v>0</v>
      </c>
      <c r="E33" s="230" cm="1">
        <f t="array" ref="E33">RollUpSum(33,5)</f>
        <v>0</v>
      </c>
      <c r="F33" s="136" cm="1">
        <f t="array" ref="F33">RollUpSum(33,6)</f>
        <v>412.51589999999999</v>
      </c>
      <c r="G33" s="147" cm="1">
        <f t="array" ref="G33">RollUpSum(33,7)</f>
        <v>704.07</v>
      </c>
      <c r="H33" s="234" cm="1">
        <f t="array" ref="H33">RollUpSum(33,8)</f>
        <v>533.49</v>
      </c>
      <c r="I33" s="230" cm="1">
        <f t="array" ref="I33">RollUpSum(33,9)</f>
        <v>0</v>
      </c>
      <c r="J33" s="136" cm="1">
        <f t="array" ref="J33">RollUpSum(33,10)</f>
        <v>2513.7082</v>
      </c>
      <c r="K33" s="147" cm="1">
        <f t="array" ref="K33">RollUpSum(33,11)</f>
        <v>3981.6</v>
      </c>
      <c r="L33" s="234" cm="1">
        <f t="array" ref="L33">RollUpSum(33,12)</f>
        <v>799</v>
      </c>
      <c r="M33" s="230" cm="1">
        <f t="array" ref="M33">RollUpSum(33,13)</f>
        <v>2760.6</v>
      </c>
      <c r="N33" s="136" cm="1">
        <f t="array" ref="N33">RollUpSum(33,14)</f>
        <v>413.32920000000001</v>
      </c>
      <c r="O33" s="147" cm="1">
        <f t="array" ref="O33">RollUpSum(33,15)</f>
        <v>0</v>
      </c>
      <c r="P33" s="234" cm="1">
        <f t="array" ref="P33">RollUpSum(33,16)</f>
        <v>1240</v>
      </c>
      <c r="Q33" s="230" cm="1">
        <f t="array" ref="Q33">RollUpSum(33,17)</f>
        <v>0</v>
      </c>
      <c r="R33" s="136" cm="1">
        <f t="array" ref="R33">RollUpSum(33,18)</f>
        <v>393.32940000000002</v>
      </c>
      <c r="S33" s="148" cm="1">
        <f t="array" ref="S33">RollUpSum(33,19)</f>
        <v>0</v>
      </c>
      <c r="T33" s="226" cm="1">
        <f t="array" ref="T33">RollUpSum(33,20)</f>
        <v>1180</v>
      </c>
      <c r="U33" s="221" cm="1">
        <f t="array" ref="U33">RollUpSum(33,21)</f>
        <v>0</v>
      </c>
      <c r="V33" s="135" cm="1">
        <f t="array" ref="V33">RollUpSum(33,22)</f>
        <v>3732.8827000000001</v>
      </c>
      <c r="W33" s="148" cm="1">
        <f t="array" ref="W33">RollUpSum(33,23)</f>
        <v>4685.67</v>
      </c>
      <c r="X33" s="226" cm="1">
        <f t="array" ref="X33">RollUpSum(33,24)</f>
        <v>3752.49</v>
      </c>
      <c r="Y33" s="221" cm="1">
        <f t="array" ref="Y33">RollUpSum(33,25)</f>
        <v>2760.6</v>
      </c>
    </row>
    <row r="34" spans="1:25">
      <c r="A34" s="62" t="s">
        <v>155</v>
      </c>
      <c r="B34" s="78">
        <f t="shared" ref="B34:Y34" si="4">SUM(B32:B33)</f>
        <v>10200</v>
      </c>
      <c r="C34" s="91">
        <f t="shared" si="4"/>
        <v>11000</v>
      </c>
      <c r="D34" s="91">
        <f t="shared" si="4"/>
        <v>11000</v>
      </c>
      <c r="E34" s="91">
        <f t="shared" si="4"/>
        <v>11000</v>
      </c>
      <c r="F34" s="78">
        <f t="shared" si="4"/>
        <v>1218.5178999999998</v>
      </c>
      <c r="G34" s="91">
        <f t="shared" si="4"/>
        <v>1521.63</v>
      </c>
      <c r="H34" s="91">
        <f t="shared" si="4"/>
        <v>2133.96</v>
      </c>
      <c r="I34" s="91">
        <f t="shared" si="4"/>
        <v>0</v>
      </c>
      <c r="J34" s="78">
        <f t="shared" si="4"/>
        <v>3252.8541999999998</v>
      </c>
      <c r="K34" s="91">
        <f t="shared" si="4"/>
        <v>3981.6</v>
      </c>
      <c r="L34" s="91">
        <f t="shared" si="4"/>
        <v>2890.04</v>
      </c>
      <c r="M34" s="91">
        <f t="shared" si="4"/>
        <v>2887.02</v>
      </c>
      <c r="N34" s="78">
        <f t="shared" si="4"/>
        <v>700.00970000000007</v>
      </c>
      <c r="O34" s="91">
        <f t="shared" si="4"/>
        <v>0</v>
      </c>
      <c r="P34" s="91">
        <f t="shared" si="4"/>
        <v>1240</v>
      </c>
      <c r="Q34" s="91">
        <f t="shared" si="4"/>
        <v>860.05</v>
      </c>
      <c r="R34" s="78">
        <f t="shared" si="4"/>
        <v>417.64920000000001</v>
      </c>
      <c r="S34" s="150">
        <f t="shared" si="4"/>
        <v>0</v>
      </c>
      <c r="T34" s="150">
        <f t="shared" si="4"/>
        <v>1180</v>
      </c>
      <c r="U34" s="150">
        <f t="shared" si="4"/>
        <v>72.959999999999994</v>
      </c>
      <c r="V34" s="78">
        <f t="shared" si="4"/>
        <v>5589.0308000000005</v>
      </c>
      <c r="W34" s="150">
        <f t="shared" si="4"/>
        <v>5503.23</v>
      </c>
      <c r="X34" s="150">
        <f t="shared" si="4"/>
        <v>7444</v>
      </c>
      <c r="Y34" s="150">
        <f t="shared" si="4"/>
        <v>3820.0299999999997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>
      <c r="A36" s="126" t="s">
        <v>157</v>
      </c>
      <c r="B36" s="141" cm="1">
        <f t="array" ref="B36">RollUpSum(36,2)</f>
        <v>0</v>
      </c>
      <c r="C36" s="128" cm="1">
        <f t="array" ref="C36">RollUpSum(36,3)</f>
        <v>0</v>
      </c>
      <c r="D36" s="231" cm="1">
        <f t="array" ref="D36">RollUpSum(36,4)</f>
        <v>0</v>
      </c>
      <c r="E36" s="227" cm="1">
        <f t="array" ref="E36">RollUpSum(36,5)</f>
        <v>0</v>
      </c>
      <c r="F36" s="129" cm="1">
        <f t="array" ref="F36">RollUpSum(36,6)</f>
        <v>0</v>
      </c>
      <c r="G36" s="128" cm="1">
        <f t="array" ref="G36">RollUpSum(36,7)</f>
        <v>0</v>
      </c>
      <c r="H36" s="231" cm="1">
        <f t="array" ref="H36">RollUpSum(36,8)</f>
        <v>0</v>
      </c>
      <c r="I36" s="227" cm="1">
        <f t="array" ref="I36">RollUpSum(36,9)</f>
        <v>0</v>
      </c>
      <c r="J36" s="129" cm="1">
        <f t="array" ref="J36">RollUpSum(36,10)</f>
        <v>0</v>
      </c>
      <c r="K36" s="128" cm="1">
        <f t="array" ref="K36">RollUpSum(36,11)</f>
        <v>0</v>
      </c>
      <c r="L36" s="231" cm="1">
        <f t="array" ref="L36">RollUpSum(36,12)</f>
        <v>0</v>
      </c>
      <c r="M36" s="227" cm="1">
        <f t="array" ref="M36">RollUpSum(36,13)</f>
        <v>0</v>
      </c>
      <c r="N36" s="129" cm="1">
        <f t="array" ref="N36">RollUpSum(36,14)</f>
        <v>0</v>
      </c>
      <c r="O36" s="128" cm="1">
        <f t="array" ref="O36">RollUpSum(36,15)</f>
        <v>0</v>
      </c>
      <c r="P36" s="231" cm="1">
        <f t="array" ref="P36">RollUpSum(36,16)</f>
        <v>0</v>
      </c>
      <c r="Q36" s="227" cm="1">
        <f t="array" ref="Q36">RollUpSum(36,17)</f>
        <v>0</v>
      </c>
      <c r="R36" s="129" cm="1">
        <f t="array" ref="R36">RollUpSum(36,18)</f>
        <v>12.1799</v>
      </c>
      <c r="S36" s="142" cm="1">
        <f t="array" ref="S36">RollUpSum(36,19)</f>
        <v>0</v>
      </c>
      <c r="T36" s="224" cm="1">
        <f t="array" ref="T36">RollUpSum(36,20)</f>
        <v>36.54</v>
      </c>
      <c r="U36" s="219" cm="1">
        <f t="array" ref="U36">RollUpSum(36,21)</f>
        <v>0</v>
      </c>
      <c r="V36" s="141" cm="1">
        <f t="array" ref="V36">RollUpSum(36,22)</f>
        <v>12.1799</v>
      </c>
      <c r="W36" s="142" cm="1">
        <f t="array" ref="W36">RollUpSum(36,23)</f>
        <v>0</v>
      </c>
      <c r="X36" s="224" cm="1">
        <f t="array" ref="X36">RollUpSum(36,24)</f>
        <v>36.54</v>
      </c>
      <c r="Y36" s="219" cm="1">
        <f t="array" ref="Y36">RollUpSum(36,25)</f>
        <v>0</v>
      </c>
    </row>
    <row r="37" spans="1:25">
      <c r="A37" s="131" t="s">
        <v>158</v>
      </c>
      <c r="B37" s="127" cm="1">
        <f t="array" ref="B37">RollUpSum(37,2)</f>
        <v>0</v>
      </c>
      <c r="C37" s="128" cm="1">
        <f t="array" ref="C37">RollUpSum(37,3)</f>
        <v>0</v>
      </c>
      <c r="D37" s="231" cm="1">
        <f t="array" ref="D37">RollUpSum(37,4)</f>
        <v>0</v>
      </c>
      <c r="E37" s="227" cm="1">
        <f t="array" ref="E37">RollUpSum(37,5)</f>
        <v>0</v>
      </c>
      <c r="F37" s="129" cm="1">
        <f t="array" ref="F37">RollUpSum(37,6)</f>
        <v>0</v>
      </c>
      <c r="G37" s="128" cm="1">
        <f t="array" ref="G37">RollUpSum(37,7)</f>
        <v>0</v>
      </c>
      <c r="H37" s="231" cm="1">
        <f t="array" ref="H37">RollUpSum(37,8)</f>
        <v>0</v>
      </c>
      <c r="I37" s="227" cm="1">
        <f t="array" ref="I37">RollUpSum(37,9)</f>
        <v>0</v>
      </c>
      <c r="J37" s="129" cm="1">
        <f t="array" ref="J37">RollUpSum(37,10)</f>
        <v>0</v>
      </c>
      <c r="K37" s="128" cm="1">
        <f t="array" ref="K37">RollUpSum(37,11)</f>
        <v>0</v>
      </c>
      <c r="L37" s="231" cm="1">
        <f t="array" ref="L37">RollUpSum(37,12)</f>
        <v>0</v>
      </c>
      <c r="M37" s="227" cm="1">
        <f t="array" ref="M37">RollUpSum(37,13)</f>
        <v>0</v>
      </c>
      <c r="N37" s="129" cm="1">
        <f t="array" ref="N37">RollUpSum(37,14)</f>
        <v>0</v>
      </c>
      <c r="O37" s="128" cm="1">
        <f t="array" ref="O37">RollUpSum(37,15)</f>
        <v>0</v>
      </c>
      <c r="P37" s="231" cm="1">
        <f t="array" ref="P37">RollUpSum(37,16)</f>
        <v>0</v>
      </c>
      <c r="Q37" s="227" cm="1">
        <f t="array" ref="Q37">RollUpSum(37,17)</f>
        <v>0</v>
      </c>
      <c r="R37" s="129" cm="1">
        <f t="array" ref="R37">RollUpSum(37,18)</f>
        <v>0</v>
      </c>
      <c r="S37" s="130" cm="1">
        <f t="array" ref="S37">RollUpSum(37,19)</f>
        <v>0</v>
      </c>
      <c r="T37" s="222" cm="1">
        <f t="array" ref="T37">RollUpSum(37,20)</f>
        <v>0</v>
      </c>
      <c r="U37" s="217" cm="1">
        <f t="array" ref="U37">RollUpSum(37,21)</f>
        <v>0</v>
      </c>
      <c r="V37" s="127" cm="1">
        <f t="array" ref="V37">RollUpSum(37,22)</f>
        <v>0</v>
      </c>
      <c r="W37" s="130" cm="1">
        <f t="array" ref="W37">RollUpSum(37,23)</f>
        <v>0</v>
      </c>
      <c r="X37" s="222" cm="1">
        <f t="array" ref="X37">RollUpSum(37,24)</f>
        <v>0</v>
      </c>
      <c r="Y37" s="217" cm="1">
        <f t="array" ref="Y37">RollUpSum(37,25)</f>
        <v>0</v>
      </c>
    </row>
    <row r="38" spans="1:25">
      <c r="A38" s="131" t="s">
        <v>33</v>
      </c>
      <c r="B38" s="127" cm="1">
        <f t="array" ref="B38">RollUpSum(38,2)</f>
        <v>0</v>
      </c>
      <c r="C38" s="128" cm="1">
        <f t="array" ref="C38">RollUpSum(38,3)</f>
        <v>0</v>
      </c>
      <c r="D38" s="231" cm="1">
        <f t="array" ref="D38">RollUpSum(38,4)</f>
        <v>0</v>
      </c>
      <c r="E38" s="227" cm="1">
        <f t="array" ref="E38">RollUpSum(38,5)</f>
        <v>0</v>
      </c>
      <c r="F38" s="129" cm="1">
        <f t="array" ref="F38">RollUpSum(38,6)</f>
        <v>0</v>
      </c>
      <c r="G38" s="128" cm="1">
        <f t="array" ref="G38">RollUpSum(38,7)</f>
        <v>0</v>
      </c>
      <c r="H38" s="231" cm="1">
        <f t="array" ref="H38">RollUpSum(38,8)</f>
        <v>0</v>
      </c>
      <c r="I38" s="227" cm="1">
        <f t="array" ref="I38">RollUpSum(38,9)</f>
        <v>0</v>
      </c>
      <c r="J38" s="129" cm="1">
        <f t="array" ref="J38">RollUpSum(38,10)</f>
        <v>0</v>
      </c>
      <c r="K38" s="128" cm="1">
        <f t="array" ref="K38">RollUpSum(38,11)</f>
        <v>0</v>
      </c>
      <c r="L38" s="231" cm="1">
        <f t="array" ref="L38">RollUpSum(38,12)</f>
        <v>0</v>
      </c>
      <c r="M38" s="227" cm="1">
        <f t="array" ref="M38">RollUpSum(38,13)</f>
        <v>0</v>
      </c>
      <c r="N38" s="129" cm="1">
        <f t="array" ref="N38">RollUpSum(38,14)</f>
        <v>0</v>
      </c>
      <c r="O38" s="128" cm="1">
        <f t="array" ref="O38">RollUpSum(38,15)</f>
        <v>0</v>
      </c>
      <c r="P38" s="231" cm="1">
        <f t="array" ref="P38">RollUpSum(38,16)</f>
        <v>0</v>
      </c>
      <c r="Q38" s="227" cm="1">
        <f t="array" ref="Q38">RollUpSum(38,17)</f>
        <v>0</v>
      </c>
      <c r="R38" s="129" cm="1">
        <f t="array" ref="R38">RollUpSum(38,18)</f>
        <v>0</v>
      </c>
      <c r="S38" s="130" cm="1">
        <f t="array" ref="S38">RollUpSum(38,19)</f>
        <v>0</v>
      </c>
      <c r="T38" s="222" cm="1">
        <f t="array" ref="T38">RollUpSum(38,20)</f>
        <v>0</v>
      </c>
      <c r="U38" s="217" cm="1">
        <f t="array" ref="U38">RollUpSum(38,21)</f>
        <v>0</v>
      </c>
      <c r="V38" s="127" cm="1">
        <f t="array" ref="V38">RollUpSum(38,22)</f>
        <v>0</v>
      </c>
      <c r="W38" s="130" cm="1">
        <f t="array" ref="W38">RollUpSum(38,23)</f>
        <v>0</v>
      </c>
      <c r="X38" s="222" cm="1">
        <f t="array" ref="X38">RollUpSum(38,24)</f>
        <v>0</v>
      </c>
      <c r="Y38" s="217" cm="1">
        <f t="array" ref="Y38">RollUpSum(38,25)</f>
        <v>0</v>
      </c>
    </row>
    <row r="39" spans="1:25">
      <c r="A39" s="143" t="s">
        <v>159</v>
      </c>
      <c r="B39" s="144" cm="1">
        <f t="array" ref="B39">RollUpSum(39,2)</f>
        <v>0</v>
      </c>
      <c r="C39" s="145" cm="1">
        <f t="array" ref="C39">RollUpSum(39,3)</f>
        <v>0</v>
      </c>
      <c r="D39" s="233" cm="1">
        <f t="array" ref="D39">RollUpSum(39,4)</f>
        <v>0</v>
      </c>
      <c r="E39" s="229" cm="1">
        <f t="array" ref="E39">RollUpSum(39,5)</f>
        <v>0</v>
      </c>
      <c r="F39" s="146" cm="1">
        <f t="array" ref="F39">RollUpSum(39,6)</f>
        <v>0</v>
      </c>
      <c r="G39" s="145" cm="1">
        <f t="array" ref="G39">RollUpSum(39,7)</f>
        <v>0</v>
      </c>
      <c r="H39" s="233" cm="1">
        <f t="array" ref="H39">RollUpSum(39,8)</f>
        <v>0</v>
      </c>
      <c r="I39" s="229" cm="1">
        <f t="array" ref="I39">RollUpSum(39,9)</f>
        <v>0</v>
      </c>
      <c r="J39" s="146" cm="1">
        <f t="array" ref="J39">RollUpSum(39,10)</f>
        <v>0</v>
      </c>
      <c r="K39" s="145" cm="1">
        <f t="array" ref="K39">RollUpSum(39,11)</f>
        <v>0</v>
      </c>
      <c r="L39" s="233" cm="1">
        <f t="array" ref="L39">RollUpSum(39,12)</f>
        <v>0</v>
      </c>
      <c r="M39" s="229" cm="1">
        <f t="array" ref="M39">RollUpSum(39,13)</f>
        <v>0</v>
      </c>
      <c r="N39" s="146" cm="1">
        <f t="array" ref="N39">RollUpSum(39,14)</f>
        <v>0</v>
      </c>
      <c r="O39" s="145" cm="1">
        <f t="array" ref="O39">RollUpSum(39,15)</f>
        <v>0</v>
      </c>
      <c r="P39" s="233" cm="1">
        <f t="array" ref="P39">RollUpSum(39,16)</f>
        <v>0</v>
      </c>
      <c r="Q39" s="229" cm="1">
        <f t="array" ref="Q39">RollUpSum(39,17)</f>
        <v>0</v>
      </c>
      <c r="R39" s="146" cm="1">
        <f t="array" ref="R39">RollUpSum(39,18)</f>
        <v>0</v>
      </c>
      <c r="S39" s="56" cm="1">
        <f t="array" ref="S39">RollUpSum(39,19)</f>
        <v>0</v>
      </c>
      <c r="T39" s="225" cm="1">
        <f t="array" ref="T39">RollUpSum(39,20)</f>
        <v>0</v>
      </c>
      <c r="U39" s="220" cm="1">
        <f t="array" ref="U39">RollUpSum(39,21)</f>
        <v>0</v>
      </c>
      <c r="V39" s="144" cm="1">
        <f t="array" ref="V39">RollUpSum(39,22)</f>
        <v>0</v>
      </c>
      <c r="W39" s="56" cm="1">
        <f t="array" ref="W39">RollUpSum(39,23)</f>
        <v>0</v>
      </c>
      <c r="X39" s="225" cm="1">
        <f t="array" ref="X39">RollUpSum(39,24)</f>
        <v>0</v>
      </c>
      <c r="Y39" s="220" cm="1">
        <f t="array" ref="Y39">RollUpSum(39,25)</f>
        <v>0</v>
      </c>
    </row>
    <row r="40" spans="1:25">
      <c r="A40" s="131" t="s">
        <v>160</v>
      </c>
      <c r="B40" s="127" cm="1">
        <f t="array" ref="B40">RollUpSum(40,2)</f>
        <v>38331</v>
      </c>
      <c r="C40" s="128" cm="1">
        <f t="array" ref="C40">RollUpSum(40,3)</f>
        <v>33954</v>
      </c>
      <c r="D40" s="231" cm="1">
        <f t="array" ref="D40">RollUpSum(40,4)</f>
        <v>35491</v>
      </c>
      <c r="E40" s="227" cm="1">
        <f t="array" ref="E40">RollUpSum(40,5)</f>
        <v>34479</v>
      </c>
      <c r="F40" s="129" cm="1">
        <f t="array" ref="F40">RollUpSum(40,6)</f>
        <v>4428.6724000000004</v>
      </c>
      <c r="G40" s="128" cm="1">
        <f t="array" ref="G40">RollUpSum(40,7)</f>
        <v>4586.13</v>
      </c>
      <c r="H40" s="231" cm="1">
        <f t="array" ref="H40">RollUpSum(40,8)</f>
        <v>4018.61</v>
      </c>
      <c r="I40" s="227" cm="1">
        <f t="array" ref="I40">RollUpSum(40,9)</f>
        <v>4681.41</v>
      </c>
      <c r="J40" s="129" cm="1">
        <f t="array" ref="J40">RollUpSum(40,10)</f>
        <v>9504.2648000000008</v>
      </c>
      <c r="K40" s="128" cm="1">
        <f t="array" ref="K40">RollUpSum(40,11)</f>
        <v>10294.76</v>
      </c>
      <c r="L40" s="231" cm="1">
        <f t="array" ref="L40">RollUpSum(40,12)</f>
        <v>9391.41</v>
      </c>
      <c r="M40" s="227" cm="1">
        <f t="array" ref="M40">RollUpSum(40,13)</f>
        <v>8826.91</v>
      </c>
      <c r="N40" s="129" cm="1">
        <f t="array" ref="N40">RollUpSum(40,14)</f>
        <v>6362.5396000000001</v>
      </c>
      <c r="O40" s="128" cm="1">
        <f t="array" ref="O40">RollUpSum(40,15)</f>
        <v>6130.63</v>
      </c>
      <c r="P40" s="231" cm="1">
        <f t="array" ref="P40">RollUpSum(40,16)</f>
        <v>7320.72</v>
      </c>
      <c r="Q40" s="227" cm="1">
        <f t="array" ref="Q40">RollUpSum(40,17)</f>
        <v>5636.46</v>
      </c>
      <c r="R40" s="129" cm="1">
        <f t="array" ref="R40">RollUpSum(40,18)</f>
        <v>7504.2349999999997</v>
      </c>
      <c r="S40" s="130" cm="1">
        <f t="array" ref="S40">RollUpSum(40,19)</f>
        <v>8401.16</v>
      </c>
      <c r="T40" s="222" cm="1">
        <f t="array" ref="T40">RollUpSum(40,20)</f>
        <v>6252</v>
      </c>
      <c r="U40" s="217" cm="1">
        <f t="array" ref="U40">RollUpSum(40,21)</f>
        <v>7859.77</v>
      </c>
      <c r="V40" s="127" cm="1">
        <f t="array" ref="V40">RollUpSum(40,22)</f>
        <v>27799.712200000002</v>
      </c>
      <c r="W40" s="130" cm="1">
        <f t="array" ref="W40">RollUpSum(40,23)</f>
        <v>29412.68</v>
      </c>
      <c r="X40" s="222" cm="1">
        <f t="array" ref="X40">RollUpSum(40,24)</f>
        <v>26982.74</v>
      </c>
      <c r="Y40" s="217" cm="1">
        <f t="array" ref="Y40">RollUpSum(40,25)</f>
        <v>27004.55</v>
      </c>
    </row>
    <row r="41" spans="1:25">
      <c r="A41" s="134" t="s">
        <v>161</v>
      </c>
      <c r="B41" s="135" cm="1">
        <f t="array" ref="B41">RollUpSum(41,2)</f>
        <v>3367</v>
      </c>
      <c r="C41" s="147" cm="1">
        <f t="array" ref="C41">RollUpSum(41,3)</f>
        <v>2756</v>
      </c>
      <c r="D41" s="234" cm="1">
        <f t="array" ref="D41">RollUpSum(41,4)</f>
        <v>2938</v>
      </c>
      <c r="E41" s="230" cm="1">
        <f t="array" ref="E41">RollUpSum(41,5)</f>
        <v>2853</v>
      </c>
      <c r="F41" s="136" cm="1">
        <f t="array" ref="F41">RollUpSum(41,6)</f>
        <v>378.0061</v>
      </c>
      <c r="G41" s="147" cm="1">
        <f t="array" ref="G41">RollUpSum(41,7)</f>
        <v>420.64</v>
      </c>
      <c r="H41" s="234" cm="1">
        <f t="array" ref="H41">RollUpSum(41,8)</f>
        <v>325.83999999999997</v>
      </c>
      <c r="I41" s="230" cm="1">
        <f t="array" ref="I41">RollUpSum(41,9)</f>
        <v>387.55</v>
      </c>
      <c r="J41" s="136" cm="1">
        <f t="array" ref="J41">RollUpSum(41,10)</f>
        <v>812.1386</v>
      </c>
      <c r="K41" s="147" cm="1">
        <f t="array" ref="K41">RollUpSum(41,11)</f>
        <v>944.22</v>
      </c>
      <c r="L41" s="234" cm="1">
        <f t="array" ref="L41">RollUpSum(41,12)</f>
        <v>761.5</v>
      </c>
      <c r="M41" s="230" cm="1">
        <f t="array" ref="M41">RollUpSum(41,13)</f>
        <v>730.72</v>
      </c>
      <c r="N41" s="136" cm="1">
        <f t="array" ref="N41">RollUpSum(41,14)</f>
        <v>540.82460000000003</v>
      </c>
      <c r="O41" s="147" cm="1">
        <f t="array" ref="O41">RollUpSum(41,15)</f>
        <v>562.29</v>
      </c>
      <c r="P41" s="234" cm="1">
        <f t="array" ref="P41">RollUpSum(41,16)</f>
        <v>593.6</v>
      </c>
      <c r="Q41" s="230" cm="1">
        <f t="array" ref="Q41">RollUpSum(41,17)</f>
        <v>466.6</v>
      </c>
      <c r="R41" s="136" cm="1">
        <f t="array" ref="R41">RollUpSum(41,18)</f>
        <v>642.69690000000003</v>
      </c>
      <c r="S41" s="148" cm="1">
        <f t="array" ref="S41">RollUpSum(41,19)</f>
        <v>770.55</v>
      </c>
      <c r="T41" s="226" cm="1">
        <f t="array" ref="T41">RollUpSum(41,20)</f>
        <v>506.91</v>
      </c>
      <c r="U41" s="221" cm="1">
        <f t="array" ref="U41">RollUpSum(41,21)</f>
        <v>650.65</v>
      </c>
      <c r="V41" s="135" cm="1">
        <f t="array" ref="V41">RollUpSum(41,22)</f>
        <v>2373.6662999999999</v>
      </c>
      <c r="W41" s="148" cm="1">
        <f t="array" ref="W41">RollUpSum(41,23)</f>
        <v>2697.7</v>
      </c>
      <c r="X41" s="226" cm="1">
        <f t="array" ref="X41">RollUpSum(41,24)</f>
        <v>2187.85</v>
      </c>
      <c r="Y41" s="221" cm="1">
        <f t="array" ref="Y41">RollUpSum(41,25)</f>
        <v>2235.52</v>
      </c>
    </row>
    <row r="42" spans="1:25">
      <c r="A42" s="62" t="s">
        <v>162</v>
      </c>
      <c r="B42" s="78">
        <f t="shared" ref="B42:Y42" si="5">SUM(B36:B41)</f>
        <v>41698</v>
      </c>
      <c r="C42" s="149">
        <f t="shared" si="5"/>
        <v>36710</v>
      </c>
      <c r="D42" s="149">
        <f t="shared" si="5"/>
        <v>38429</v>
      </c>
      <c r="E42" s="149">
        <f t="shared" si="5"/>
        <v>37332</v>
      </c>
      <c r="F42" s="151">
        <f t="shared" si="5"/>
        <v>4806.6785</v>
      </c>
      <c r="G42" s="149">
        <f t="shared" si="5"/>
        <v>5006.7700000000004</v>
      </c>
      <c r="H42" s="149">
        <f t="shared" si="5"/>
        <v>4344.45</v>
      </c>
      <c r="I42" s="149">
        <f t="shared" si="5"/>
        <v>5068.96</v>
      </c>
      <c r="J42" s="151">
        <f t="shared" si="5"/>
        <v>10316.403400000001</v>
      </c>
      <c r="K42" s="149">
        <f t="shared" si="5"/>
        <v>11238.98</v>
      </c>
      <c r="L42" s="149">
        <f t="shared" si="5"/>
        <v>10152.91</v>
      </c>
      <c r="M42" s="149">
        <f t="shared" si="5"/>
        <v>9557.6299999999992</v>
      </c>
      <c r="N42" s="151">
        <f t="shared" si="5"/>
        <v>6903.3642</v>
      </c>
      <c r="O42" s="149">
        <f t="shared" si="5"/>
        <v>6692.92</v>
      </c>
      <c r="P42" s="149">
        <f t="shared" si="5"/>
        <v>7914.3200000000006</v>
      </c>
      <c r="Q42" s="149">
        <f t="shared" si="5"/>
        <v>6103.06</v>
      </c>
      <c r="R42" s="151">
        <f t="shared" si="5"/>
        <v>8159.1117999999997</v>
      </c>
      <c r="S42" s="152">
        <f t="shared" si="5"/>
        <v>9171.7099999999991</v>
      </c>
      <c r="T42" s="152">
        <f t="shared" si="5"/>
        <v>6795.45</v>
      </c>
      <c r="U42" s="152">
        <f t="shared" si="5"/>
        <v>8510.42</v>
      </c>
      <c r="V42" s="78">
        <f t="shared" si="5"/>
        <v>30185.558400000002</v>
      </c>
      <c r="W42" s="152">
        <f t="shared" si="5"/>
        <v>32110.38</v>
      </c>
      <c r="X42" s="152">
        <f t="shared" si="5"/>
        <v>29207.13</v>
      </c>
      <c r="Y42" s="152">
        <f t="shared" si="5"/>
        <v>29240.07</v>
      </c>
    </row>
    <row r="43" spans="1:25" ht="16.2" thickBot="1">
      <c r="A43" s="137" t="s">
        <v>163</v>
      </c>
      <c r="B43" s="138">
        <f>SUM(B21,B30,B34,B42)</f>
        <v>584631</v>
      </c>
      <c r="C43" s="139">
        <f t="shared" ref="C43:U43" si="6">SUM(C21,C30,C34,C42)</f>
        <v>576563</v>
      </c>
      <c r="D43" s="139">
        <f t="shared" si="6"/>
        <v>626018</v>
      </c>
      <c r="E43" s="139">
        <f t="shared" si="6"/>
        <v>608170</v>
      </c>
      <c r="F43" s="138">
        <f t="shared" si="6"/>
        <v>74551.684599999993</v>
      </c>
      <c r="G43" s="139">
        <f t="shared" si="6"/>
        <v>72848.590000000011</v>
      </c>
      <c r="H43" s="139">
        <f t="shared" si="6"/>
        <v>68232.88</v>
      </c>
      <c r="I43" s="139">
        <f t="shared" si="6"/>
        <v>82575.819999999992</v>
      </c>
      <c r="J43" s="138">
        <f t="shared" si="6"/>
        <v>159560.51420000003</v>
      </c>
      <c r="K43" s="139">
        <f t="shared" si="6"/>
        <v>163528.16000000003</v>
      </c>
      <c r="L43" s="139">
        <f t="shared" si="6"/>
        <v>159459.90000000002</v>
      </c>
      <c r="M43" s="139">
        <f t="shared" si="6"/>
        <v>155698.26999999999</v>
      </c>
      <c r="N43" s="138">
        <f t="shared" si="6"/>
        <v>107033.74919999999</v>
      </c>
      <c r="O43" s="139">
        <f t="shared" si="6"/>
        <v>97382.19</v>
      </c>
      <c r="P43" s="139">
        <f t="shared" si="6"/>
        <v>124300.59</v>
      </c>
      <c r="Q43" s="139">
        <f t="shared" si="6"/>
        <v>99421.680000000008</v>
      </c>
      <c r="R43" s="138">
        <f t="shared" si="6"/>
        <v>126079.62609999999</v>
      </c>
      <c r="S43" s="138">
        <f t="shared" si="6"/>
        <v>133449.21</v>
      </c>
      <c r="T43" s="138">
        <f t="shared" si="6"/>
        <v>106154.53</v>
      </c>
      <c r="U43" s="138">
        <f t="shared" si="6"/>
        <v>138638.92000000001</v>
      </c>
      <c r="V43" s="138">
        <f>SUM(V21,V30,V34,V42)</f>
        <v>467225.57459999999</v>
      </c>
      <c r="W43" s="138">
        <f t="shared" ref="W43:Y43" si="7">SUM(W21,W30,W34,W42)</f>
        <v>467208.15</v>
      </c>
      <c r="X43" s="138">
        <f t="shared" si="7"/>
        <v>458147.9</v>
      </c>
      <c r="Y43" s="138">
        <f t="shared" si="7"/>
        <v>476334.69000000006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>
      <c r="A45" s="126" t="s">
        <v>165</v>
      </c>
      <c r="B45" s="141" cm="1">
        <f t="array" ref="B45">RollUpSum(45,2)</f>
        <v>73400</v>
      </c>
      <c r="C45" s="128" cm="1">
        <f t="array" ref="C45">RollUpSum(45,3)</f>
        <v>53400</v>
      </c>
      <c r="D45" s="231" cm="1">
        <f t="array" ref="D45">RollUpSum(45,4)</f>
        <v>0</v>
      </c>
      <c r="E45" s="227" cm="1">
        <f t="array" ref="E45">RollUpSum(45,5)</f>
        <v>0</v>
      </c>
      <c r="F45" s="129" cm="1">
        <f t="array" ref="F45">RollUpSum(45,6)</f>
        <v>59509.178200000002</v>
      </c>
      <c r="G45" s="128" cm="1">
        <f t="array" ref="G45">RollUpSum(45,7)</f>
        <v>131182.32</v>
      </c>
      <c r="H45" s="231" cm="1">
        <f t="array" ref="H45">RollUpSum(45,8)</f>
        <v>47347</v>
      </c>
      <c r="I45" s="227" cm="1">
        <f t="array" ref="I45">RollUpSum(45,9)</f>
        <v>0</v>
      </c>
      <c r="J45" s="129" cm="1">
        <f t="array" ref="J45">RollUpSum(45,10)</f>
        <v>31690.219799999999</v>
      </c>
      <c r="K45" s="128" cm="1">
        <f t="array" ref="K45">RollUpSum(45,11)</f>
        <v>41986.7</v>
      </c>
      <c r="L45" s="231" cm="1">
        <f t="array" ref="L45">RollUpSum(45,12)</f>
        <v>20611.91</v>
      </c>
      <c r="M45" s="227" cm="1">
        <f t="array" ref="M45">RollUpSum(45,13)</f>
        <v>32473</v>
      </c>
      <c r="N45" s="129" cm="1">
        <f t="array" ref="N45">RollUpSum(45,14)</f>
        <v>32352.9198</v>
      </c>
      <c r="O45" s="128" cm="1">
        <f t="array" ref="O45">RollUpSum(45,15)</f>
        <v>74125.5</v>
      </c>
      <c r="P45" s="231" cm="1">
        <f t="array" ref="P45">RollUpSum(45,16)</f>
        <v>22934.23</v>
      </c>
      <c r="Q45" s="227" cm="1">
        <f t="array" ref="Q45">RollUpSum(45,17)</f>
        <v>0</v>
      </c>
      <c r="R45" s="129" cm="1">
        <f t="array" ref="R45">RollUpSum(45,18)</f>
        <v>182090.47930000001</v>
      </c>
      <c r="S45" s="142" cm="1">
        <f t="array" ref="S45">RollUpSum(45,19)</f>
        <v>158518.66</v>
      </c>
      <c r="T45" s="224" cm="1">
        <f t="array" ref="T45">RollUpSum(45,20)</f>
        <v>195448.98</v>
      </c>
      <c r="U45" s="219" cm="1">
        <f t="array" ref="U45">RollUpSum(45,21)</f>
        <v>192309.26</v>
      </c>
      <c r="V45" s="141" cm="1">
        <f t="array" ref="V45">RollUpSum(45,22)</f>
        <v>305642.79700000002</v>
      </c>
      <c r="W45" s="142" cm="1">
        <f t="array" ref="W45">RollUpSum(45,23)</f>
        <v>405813.18</v>
      </c>
      <c r="X45" s="224" cm="1">
        <f t="array" ref="X45">RollUpSum(45,24)</f>
        <v>286342.12</v>
      </c>
      <c r="Y45" s="219" cm="1">
        <f t="array" ref="Y45">RollUpSum(45,25)</f>
        <v>224782.26</v>
      </c>
    </row>
    <row r="46" spans="1:25">
      <c r="A46" s="134" t="s">
        <v>166</v>
      </c>
      <c r="B46" s="135" cm="1">
        <f t="array" ref="B46">RollUpSum(46,2)</f>
        <v>0</v>
      </c>
      <c r="C46" s="147" cm="1">
        <f t="array" ref="C46">RollUpSum(46,3)</f>
        <v>0</v>
      </c>
      <c r="D46" s="234" cm="1">
        <f t="array" ref="D46">RollUpSum(46,4)</f>
        <v>0</v>
      </c>
      <c r="E46" s="230" cm="1">
        <f t="array" ref="E46">RollUpSum(46,5)</f>
        <v>0</v>
      </c>
      <c r="F46" s="136" cm="1">
        <f t="array" ref="F46">RollUpSum(46,6)</f>
        <v>0</v>
      </c>
      <c r="G46" s="147" cm="1">
        <f t="array" ref="G46">RollUpSum(46,7)</f>
        <v>0</v>
      </c>
      <c r="H46" s="234" cm="1">
        <f t="array" ref="H46">RollUpSum(46,8)</f>
        <v>0</v>
      </c>
      <c r="I46" s="230" cm="1">
        <f t="array" ref="I46">RollUpSum(46,9)</f>
        <v>0</v>
      </c>
      <c r="J46" s="136" cm="1">
        <f t="array" ref="J46">RollUpSum(46,10)</f>
        <v>0</v>
      </c>
      <c r="K46" s="147" cm="1">
        <f t="array" ref="K46">RollUpSum(46,11)</f>
        <v>0</v>
      </c>
      <c r="L46" s="234" cm="1">
        <f t="array" ref="L46">RollUpSum(46,12)</f>
        <v>0</v>
      </c>
      <c r="M46" s="230" cm="1">
        <f t="array" ref="M46">RollUpSum(46,13)</f>
        <v>0</v>
      </c>
      <c r="N46" s="136" cm="1">
        <f t="array" ref="N46">RollUpSum(46,14)</f>
        <v>0</v>
      </c>
      <c r="O46" s="147" cm="1">
        <f t="array" ref="O46">RollUpSum(46,15)</f>
        <v>0</v>
      </c>
      <c r="P46" s="234" cm="1">
        <f t="array" ref="P46">RollUpSum(46,16)</f>
        <v>0</v>
      </c>
      <c r="Q46" s="230" cm="1">
        <f t="array" ref="Q46">RollUpSum(46,17)</f>
        <v>0</v>
      </c>
      <c r="R46" s="136" cm="1">
        <f t="array" ref="R46">RollUpSum(46,18)</f>
        <v>0</v>
      </c>
      <c r="S46" s="148" cm="1">
        <f t="array" ref="S46">RollUpSum(46,19)</f>
        <v>0</v>
      </c>
      <c r="T46" s="226" cm="1">
        <f t="array" ref="T46">RollUpSum(46,20)</f>
        <v>0</v>
      </c>
      <c r="U46" s="221" cm="1">
        <f t="array" ref="U46">RollUpSum(46,21)</f>
        <v>0</v>
      </c>
      <c r="V46" s="135" cm="1">
        <f t="array" ref="V46">RollUpSum(46,22)</f>
        <v>0</v>
      </c>
      <c r="W46" s="148" cm="1">
        <f t="array" ref="W46">RollUpSum(46,23)</f>
        <v>0</v>
      </c>
      <c r="X46" s="226" cm="1">
        <f t="array" ref="X46">RollUpSum(46,24)</f>
        <v>0</v>
      </c>
      <c r="Y46" s="221" cm="1">
        <f t="array" ref="Y46">RollUpSum(46,25)</f>
        <v>0</v>
      </c>
    </row>
    <row r="47" spans="1:25">
      <c r="A47" s="99" t="s">
        <v>167</v>
      </c>
      <c r="B47" s="153">
        <f t="shared" ref="B47:Y47" si="8">SUM(B45:B46)</f>
        <v>73400</v>
      </c>
      <c r="C47" s="91">
        <f t="shared" si="8"/>
        <v>53400</v>
      </c>
      <c r="D47" s="91">
        <f t="shared" si="8"/>
        <v>0</v>
      </c>
      <c r="E47" s="91">
        <f t="shared" si="8"/>
        <v>0</v>
      </c>
      <c r="F47" s="78">
        <f t="shared" si="8"/>
        <v>59509.178200000002</v>
      </c>
      <c r="G47" s="91">
        <f t="shared" si="8"/>
        <v>131182.32</v>
      </c>
      <c r="H47" s="91">
        <f t="shared" si="8"/>
        <v>47347</v>
      </c>
      <c r="I47" s="91">
        <f t="shared" si="8"/>
        <v>0</v>
      </c>
      <c r="J47" s="78">
        <f t="shared" si="8"/>
        <v>31690.219799999999</v>
      </c>
      <c r="K47" s="91">
        <f t="shared" si="8"/>
        <v>41986.7</v>
      </c>
      <c r="L47" s="91">
        <f t="shared" si="8"/>
        <v>20611.91</v>
      </c>
      <c r="M47" s="91">
        <f t="shared" si="8"/>
        <v>32473</v>
      </c>
      <c r="N47" s="78">
        <f t="shared" si="8"/>
        <v>32352.9198</v>
      </c>
      <c r="O47" s="91">
        <f t="shared" si="8"/>
        <v>74125.5</v>
      </c>
      <c r="P47" s="91">
        <f t="shared" si="8"/>
        <v>22934.23</v>
      </c>
      <c r="Q47" s="91">
        <f t="shared" si="8"/>
        <v>0</v>
      </c>
      <c r="R47" s="78">
        <f t="shared" si="8"/>
        <v>182090.47930000001</v>
      </c>
      <c r="S47" s="150">
        <f t="shared" si="8"/>
        <v>158518.66</v>
      </c>
      <c r="T47" s="150">
        <f t="shared" si="8"/>
        <v>195448.98</v>
      </c>
      <c r="U47" s="150">
        <f t="shared" si="8"/>
        <v>192309.26</v>
      </c>
      <c r="V47" s="153">
        <f t="shared" si="8"/>
        <v>305642.79700000002</v>
      </c>
      <c r="W47" s="150">
        <f t="shared" si="8"/>
        <v>405813.18</v>
      </c>
      <c r="X47" s="150">
        <f t="shared" si="8"/>
        <v>286342.12</v>
      </c>
      <c r="Y47" s="150">
        <f t="shared" si="8"/>
        <v>224782.26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1</v>
      </c>
      <c r="D48" s="139">
        <f t="shared" si="9"/>
        <v>0</v>
      </c>
      <c r="E48" s="139">
        <f t="shared" si="9"/>
        <v>0</v>
      </c>
      <c r="F48" s="138">
        <f t="shared" si="9"/>
        <v>-171244.37400000004</v>
      </c>
      <c r="G48" s="139">
        <f t="shared" si="9"/>
        <v>-110947.08999999997</v>
      </c>
      <c r="H48" s="139">
        <f t="shared" si="9"/>
        <v>-182921.12</v>
      </c>
      <c r="I48" s="139">
        <f t="shared" si="9"/>
        <v>-219870.05</v>
      </c>
      <c r="J48" s="138">
        <f t="shared" si="9"/>
        <v>190674.72310000003</v>
      </c>
      <c r="K48" s="139">
        <f t="shared" si="9"/>
        <v>203187.37000000005</v>
      </c>
      <c r="L48" s="139">
        <f t="shared" si="9"/>
        <v>165100.65000000002</v>
      </c>
      <c r="M48" s="139">
        <f t="shared" si="9"/>
        <v>203741.87</v>
      </c>
      <c r="N48" s="138">
        <f t="shared" si="9"/>
        <v>-178788.05260000005</v>
      </c>
      <c r="O48" s="139">
        <f t="shared" si="9"/>
        <v>-189018.05</v>
      </c>
      <c r="P48" s="139">
        <f t="shared" si="9"/>
        <v>-166085.93</v>
      </c>
      <c r="Q48" s="139">
        <f t="shared" si="9"/>
        <v>-181265.53999999998</v>
      </c>
      <c r="R48" s="138">
        <f t="shared" si="9"/>
        <v>125331.59720000002</v>
      </c>
      <c r="S48" s="138">
        <f t="shared" si="9"/>
        <v>133244.82999999999</v>
      </c>
      <c r="T48" s="138">
        <f t="shared" si="9"/>
        <v>106637.75</v>
      </c>
      <c r="U48" s="138">
        <f t="shared" si="9"/>
        <v>136115.97</v>
      </c>
      <c r="V48" s="138">
        <f>SUM(V12,V43,V47)</f>
        <v>-34026.106100000034</v>
      </c>
      <c r="W48" s="138">
        <f t="shared" ref="W48:Y48" si="10">SUM(W12,W43,W47)</f>
        <v>36467.06</v>
      </c>
      <c r="X48" s="138">
        <f t="shared" si="10"/>
        <v>-77268.650000000023</v>
      </c>
      <c r="Y48" s="138">
        <f t="shared" si="10"/>
        <v>-61277.749999999884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85" priority="13" operator="lessThan">
      <formula>-0.01</formula>
    </cfRule>
  </conditionalFormatting>
  <conditionalFormatting sqref="Y15:Y21 Y23:Y30 Y32:Y34 Y36:Y43">
    <cfRule type="cellIs" dxfId="284" priority="12" operator="lessThan">
      <formula>-0.01</formula>
    </cfRule>
  </conditionalFormatting>
  <conditionalFormatting sqref="X15:X21 X23:X30 X32:X34 X36:X43">
    <cfRule type="cellIs" dxfId="283" priority="11" operator="lessThan">
      <formula>-0.01</formula>
    </cfRule>
  </conditionalFormatting>
  <conditionalFormatting sqref="U15:U21 U23:U30 U32:U34 U36:U43">
    <cfRule type="cellIs" dxfId="282" priority="10" operator="lessThan">
      <formula>-0.01</formula>
    </cfRule>
  </conditionalFormatting>
  <conditionalFormatting sqref="T15:T21 T23:T30 T32:T34 T36:T43">
    <cfRule type="cellIs" dxfId="281" priority="9" operator="lessThan">
      <formula>-0.01</formula>
    </cfRule>
  </conditionalFormatting>
  <conditionalFormatting sqref="Q15:Q21 Q23:Q30 Q32:Q34 Q36:Q43">
    <cfRule type="cellIs" dxfId="280" priority="8" operator="lessThan">
      <formula>-0.01</formula>
    </cfRule>
  </conditionalFormatting>
  <conditionalFormatting sqref="P15:P21 P23:P30 P32:P34 P36:P43">
    <cfRule type="cellIs" dxfId="279" priority="7" operator="lessThan">
      <formula>-0.01</formula>
    </cfRule>
  </conditionalFormatting>
  <conditionalFormatting sqref="M15:M21 M23:M30 M32:M34 M36:M43">
    <cfRule type="cellIs" dxfId="278" priority="6" operator="lessThan">
      <formula>-0.01</formula>
    </cfRule>
  </conditionalFormatting>
  <conditionalFormatting sqref="L15:L21 L23:L30 L32:L34 L36:L43">
    <cfRule type="cellIs" dxfId="277" priority="5" operator="lessThan">
      <formula>-0.01</formula>
    </cfRule>
  </conditionalFormatting>
  <conditionalFormatting sqref="I15:I21 I23:I30 I32:I34 I36:I43">
    <cfRule type="cellIs" dxfId="276" priority="4" operator="lessThan">
      <formula>-0.01</formula>
    </cfRule>
  </conditionalFormatting>
  <conditionalFormatting sqref="H15:H21 H23:H30 H32:H34 H36:H43">
    <cfRule type="cellIs" dxfId="275" priority="3" operator="lessThan">
      <formula>-0.01</formula>
    </cfRule>
  </conditionalFormatting>
  <conditionalFormatting sqref="E15:E21 E23:E30 E32:E34 E36:E43">
    <cfRule type="cellIs" dxfId="274" priority="2" operator="lessThan">
      <formula>-0.01</formula>
    </cfRule>
  </conditionalFormatting>
  <conditionalFormatting sqref="D15:D21 D23:D30 D32:D34 D36:D43">
    <cfRule type="cellIs" dxfId="273" priority="1" operator="lessThan">
      <formula>-0.01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BAA-B830-487A-814E-C49962D60DFB}">
  <sheetPr codeName="Sheet73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4" width="9.109375" style="236" hidden="1" customWidth="1" outlineLevel="1"/>
    <col min="5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710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-11079</v>
      </c>
      <c r="C8" s="128">
        <v>-6188</v>
      </c>
      <c r="D8" s="231">
        <v>-6173</v>
      </c>
      <c r="E8" s="227">
        <v>-800</v>
      </c>
      <c r="F8" s="129">
        <v>-2193.3114</v>
      </c>
      <c r="G8" s="128">
        <v>-3094</v>
      </c>
      <c r="H8" s="231">
        <v>-3086</v>
      </c>
      <c r="I8" s="227">
        <v>-400</v>
      </c>
      <c r="J8" s="129">
        <v>0</v>
      </c>
      <c r="K8" s="128">
        <v>0</v>
      </c>
      <c r="L8" s="231">
        <v>0</v>
      </c>
      <c r="M8" s="227">
        <v>0</v>
      </c>
      <c r="N8" s="129">
        <v>-2193.64473</v>
      </c>
      <c r="O8" s="128">
        <v>-3094</v>
      </c>
      <c r="P8" s="231">
        <v>-3087</v>
      </c>
      <c r="Q8" s="227">
        <v>-400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-4386.9561300000005</v>
      </c>
      <c r="W8" s="130">
        <f>SUM(G8,K8,O8,S8)</f>
        <v>-6188</v>
      </c>
      <c r="X8" s="222">
        <f>SUM(H8,L8,P8,T8)</f>
        <v>-6173</v>
      </c>
      <c r="Y8" s="217">
        <f>SUM(I8,M8,Q8,U8)</f>
        <v>-800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-2697.9730199999999</v>
      </c>
      <c r="O11" s="132">
        <v>-8094</v>
      </c>
      <c r="P11" s="232">
        <v>0</v>
      </c>
      <c r="Q11" s="228">
        <v>0</v>
      </c>
      <c r="R11" s="136">
        <v>-435.71564280000007</v>
      </c>
      <c r="S11" s="133">
        <v>0</v>
      </c>
      <c r="T11" s="223">
        <v>-128</v>
      </c>
      <c r="U11" s="218">
        <v>-1179.1600000000001</v>
      </c>
      <c r="V11" s="135">
        <f>SUM(F11,J11,N11,R11)</f>
        <v>-3133.6886628000002</v>
      </c>
      <c r="W11" s="133">
        <f>SUM(G11,K11,O11,S11)</f>
        <v>-8094</v>
      </c>
      <c r="X11" s="223">
        <f>SUM(H11,L11,P11,T11)</f>
        <v>-128</v>
      </c>
      <c r="Y11" s="218">
        <f>SUM(I11,M11,Q11,U11)</f>
        <v>-1179.1600000000001</v>
      </c>
    </row>
    <row r="12" spans="1:52" ht="16.2" collapsed="1" thickBot="1">
      <c r="A12" s="137" t="s">
        <v>134</v>
      </c>
      <c r="B12" s="138">
        <f>SUM(B8:B11)</f>
        <v>-11079</v>
      </c>
      <c r="C12" s="139">
        <f t="shared" ref="C12:U12" si="0">SUM(C8:C11)</f>
        <v>-6188</v>
      </c>
      <c r="D12" s="139">
        <f t="shared" si="0"/>
        <v>-6173</v>
      </c>
      <c r="E12" s="139">
        <f t="shared" si="0"/>
        <v>-800</v>
      </c>
      <c r="F12" s="138">
        <f t="shared" si="0"/>
        <v>-2193.3114</v>
      </c>
      <c r="G12" s="139">
        <f t="shared" si="0"/>
        <v>-3094</v>
      </c>
      <c r="H12" s="139">
        <f t="shared" si="0"/>
        <v>-3086</v>
      </c>
      <c r="I12" s="139">
        <f t="shared" si="0"/>
        <v>-400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-4891.6177499999994</v>
      </c>
      <c r="O12" s="139">
        <f t="shared" si="0"/>
        <v>-11188</v>
      </c>
      <c r="P12" s="139">
        <f t="shared" si="0"/>
        <v>-3087</v>
      </c>
      <c r="Q12" s="139">
        <f t="shared" si="0"/>
        <v>-400</v>
      </c>
      <c r="R12" s="138">
        <f t="shared" si="0"/>
        <v>-435.71564280000007</v>
      </c>
      <c r="S12" s="138">
        <f t="shared" si="0"/>
        <v>0</v>
      </c>
      <c r="T12" s="138">
        <f t="shared" si="0"/>
        <v>-128</v>
      </c>
      <c r="U12" s="138">
        <f t="shared" si="0"/>
        <v>-1179.1600000000001</v>
      </c>
      <c r="V12" s="138">
        <f>SUM(V8:V11)</f>
        <v>-7520.6447928000007</v>
      </c>
      <c r="W12" s="138">
        <f t="shared" ref="W12:Y12" si="1">SUM(W8:W11)</f>
        <v>-14282</v>
      </c>
      <c r="X12" s="138">
        <f t="shared" si="1"/>
        <v>-6301</v>
      </c>
      <c r="Y12" s="138">
        <f t="shared" si="1"/>
        <v>-1979.16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5737</v>
      </c>
      <c r="E17" s="229">
        <v>742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57</v>
      </c>
      <c r="E20" s="230">
        <v>9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5794</v>
      </c>
      <c r="E21" s="91">
        <f t="shared" si="2"/>
        <v>751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10289</v>
      </c>
      <c r="C23" s="128">
        <v>5794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12.409875899999999</v>
      </c>
      <c r="S25" s="130">
        <v>0</v>
      </c>
      <c r="T25" s="222">
        <v>0</v>
      </c>
      <c r="U25" s="217">
        <v>37.229999999999997</v>
      </c>
      <c r="V25" s="127">
        <f>SUM(F25,J25,N25,R25)</f>
        <v>12.409875899999999</v>
      </c>
      <c r="W25" s="130">
        <f>SUM(G25,K25,O25,S25)</f>
        <v>0</v>
      </c>
      <c r="X25" s="222">
        <f>SUM(H25,L25,P25,T25)</f>
        <v>0</v>
      </c>
      <c r="Y25" s="217">
        <f>SUM(I25,M25,Q25,U25)</f>
        <v>37.229999999999997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49.999500000000005</v>
      </c>
      <c r="O26" s="128">
        <v>150</v>
      </c>
      <c r="P26" s="231">
        <v>0</v>
      </c>
      <c r="Q26" s="227">
        <v>0</v>
      </c>
      <c r="R26" s="129">
        <v>406.55926770000002</v>
      </c>
      <c r="S26" s="130">
        <v>0</v>
      </c>
      <c r="T26" s="222">
        <v>272.64</v>
      </c>
      <c r="U26" s="217">
        <v>947.05</v>
      </c>
      <c r="V26" s="127">
        <f>SUM(F26,J26,N26,R26)</f>
        <v>456.55876770000003</v>
      </c>
      <c r="W26" s="130">
        <f>SUM(G26,K26,O26,S26)</f>
        <v>150</v>
      </c>
      <c r="X26" s="222">
        <f>SUM(H26,L26,P26,T26)</f>
        <v>272.64</v>
      </c>
      <c r="Y26" s="217">
        <f>SUM(I26,M26,Q26,U26)</f>
        <v>947.05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13.99986</v>
      </c>
      <c r="S27" s="130">
        <v>0</v>
      </c>
      <c r="T27" s="222">
        <v>42</v>
      </c>
      <c r="U27" s="217">
        <v>0</v>
      </c>
      <c r="V27" s="127">
        <f>SUM(F27,J27,N27,R27)</f>
        <v>13.99986</v>
      </c>
      <c r="W27" s="130">
        <f>SUM(G27,K27,O27,S27)</f>
        <v>0</v>
      </c>
      <c r="X27" s="222">
        <f>SUM(H27,L27,P27,T27)</f>
        <v>42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213.7478625</v>
      </c>
      <c r="S28" s="130">
        <v>641.25</v>
      </c>
      <c r="T28" s="222">
        <v>0</v>
      </c>
      <c r="U28" s="217">
        <v>0</v>
      </c>
      <c r="V28" s="127">
        <f>SUM(F28,J28,N28,R28)</f>
        <v>213.7478625</v>
      </c>
      <c r="W28" s="130">
        <f>SUM(G28,K28,O28,S28)</f>
        <v>641.25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313.59686400000004</v>
      </c>
      <c r="G29" s="147">
        <v>780.8</v>
      </c>
      <c r="H29" s="234">
        <v>160</v>
      </c>
      <c r="I29" s="230">
        <v>0</v>
      </c>
      <c r="J29" s="136">
        <v>1607.5005915000002</v>
      </c>
      <c r="K29" s="147">
        <v>3343.95</v>
      </c>
      <c r="L29" s="234">
        <v>1465.6</v>
      </c>
      <c r="M29" s="230">
        <v>13</v>
      </c>
      <c r="N29" s="136">
        <v>1719.3428064000002</v>
      </c>
      <c r="O29" s="147">
        <v>3232.61</v>
      </c>
      <c r="P29" s="234">
        <v>1088</v>
      </c>
      <c r="Q29" s="230">
        <v>837.47</v>
      </c>
      <c r="R29" s="136">
        <v>1886.4678018</v>
      </c>
      <c r="S29" s="148">
        <v>3460.35</v>
      </c>
      <c r="T29" s="226">
        <v>2176.21</v>
      </c>
      <c r="U29" s="221">
        <v>22.9</v>
      </c>
      <c r="V29" s="135">
        <f>SUM(F29,J29,N29,R29)</f>
        <v>5526.9080637000006</v>
      </c>
      <c r="W29" s="148">
        <f>SUM(G29,K29,O29,S29)</f>
        <v>10817.710000000001</v>
      </c>
      <c r="X29" s="226">
        <f>SUM(H29,L29,P29,T29)</f>
        <v>4889.8099999999995</v>
      </c>
      <c r="Y29" s="221">
        <f>SUM(I29,M29,Q29,U29)</f>
        <v>873.37</v>
      </c>
    </row>
    <row r="30" spans="1:25" collapsed="1">
      <c r="A30" s="62" t="s">
        <v>151</v>
      </c>
      <c r="B30" s="78">
        <f t="shared" ref="B30:Y30" si="3">SUM(B23:B29)</f>
        <v>10289</v>
      </c>
      <c r="C30" s="91">
        <f t="shared" si="3"/>
        <v>5794</v>
      </c>
      <c r="D30" s="91">
        <f t="shared" si="3"/>
        <v>0</v>
      </c>
      <c r="E30" s="91">
        <f t="shared" si="3"/>
        <v>0</v>
      </c>
      <c r="F30" s="78">
        <f t="shared" si="3"/>
        <v>313.59686400000004</v>
      </c>
      <c r="G30" s="91">
        <f t="shared" si="3"/>
        <v>780.8</v>
      </c>
      <c r="H30" s="91">
        <f t="shared" si="3"/>
        <v>160</v>
      </c>
      <c r="I30" s="91">
        <f t="shared" si="3"/>
        <v>0</v>
      </c>
      <c r="J30" s="78">
        <f t="shared" si="3"/>
        <v>1607.5005915000002</v>
      </c>
      <c r="K30" s="91">
        <f t="shared" si="3"/>
        <v>3343.95</v>
      </c>
      <c r="L30" s="91">
        <f t="shared" si="3"/>
        <v>1465.6</v>
      </c>
      <c r="M30" s="91">
        <f t="shared" si="3"/>
        <v>13</v>
      </c>
      <c r="N30" s="78">
        <f t="shared" si="3"/>
        <v>1769.3423064000001</v>
      </c>
      <c r="O30" s="91">
        <f t="shared" si="3"/>
        <v>3382.61</v>
      </c>
      <c r="P30" s="91">
        <f t="shared" si="3"/>
        <v>1088</v>
      </c>
      <c r="Q30" s="91">
        <f t="shared" si="3"/>
        <v>837.47</v>
      </c>
      <c r="R30" s="78">
        <f t="shared" si="3"/>
        <v>2533.1846679</v>
      </c>
      <c r="S30" s="150">
        <f t="shared" si="3"/>
        <v>4101.6000000000004</v>
      </c>
      <c r="T30" s="150">
        <f t="shared" si="3"/>
        <v>2490.85</v>
      </c>
      <c r="U30" s="150">
        <f t="shared" si="3"/>
        <v>1007.18</v>
      </c>
      <c r="V30" s="78">
        <f t="shared" si="3"/>
        <v>6223.6244298000001</v>
      </c>
      <c r="W30" s="150">
        <f t="shared" si="3"/>
        <v>11608.960000000001</v>
      </c>
      <c r="X30" s="150">
        <f t="shared" si="3"/>
        <v>5204.45</v>
      </c>
      <c r="Y30" s="150">
        <f t="shared" si="3"/>
        <v>1857.65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726</v>
      </c>
      <c r="C40" s="128">
        <v>364</v>
      </c>
      <c r="D40" s="231">
        <v>350</v>
      </c>
      <c r="E40" s="227">
        <v>45</v>
      </c>
      <c r="F40" s="129">
        <v>20.946457200000005</v>
      </c>
      <c r="G40" s="128">
        <v>52.78</v>
      </c>
      <c r="H40" s="231">
        <v>10.06</v>
      </c>
      <c r="I40" s="227">
        <v>0</v>
      </c>
      <c r="J40" s="129">
        <v>106.3456032</v>
      </c>
      <c r="K40" s="128">
        <v>226.06</v>
      </c>
      <c r="L40" s="231">
        <v>92.19</v>
      </c>
      <c r="M40" s="227">
        <v>0.79</v>
      </c>
      <c r="N40" s="129">
        <v>115.89884099999999</v>
      </c>
      <c r="O40" s="128">
        <v>228.67</v>
      </c>
      <c r="P40" s="231">
        <v>68.44</v>
      </c>
      <c r="Q40" s="227">
        <v>50.59</v>
      </c>
      <c r="R40" s="129">
        <v>164.9250174</v>
      </c>
      <c r="S40" s="130">
        <v>277.27</v>
      </c>
      <c r="T40" s="222">
        <v>156.68</v>
      </c>
      <c r="U40" s="217">
        <v>60.83</v>
      </c>
      <c r="V40" s="127">
        <f>SUM(F40,J40,N40,R40)</f>
        <v>408.11591879999997</v>
      </c>
      <c r="W40" s="130">
        <f>SUM(G40,K40,O40,S40)</f>
        <v>784.78</v>
      </c>
      <c r="X40" s="222">
        <f>SUM(H40,L40,P40,T40)</f>
        <v>327.37</v>
      </c>
      <c r="Y40" s="217">
        <f>SUM(I40,M40,Q40,U40)</f>
        <v>112.21000000000001</v>
      </c>
    </row>
    <row r="41" spans="1:25" hidden="1" outlineLevel="1">
      <c r="A41" s="134" t="s">
        <v>161</v>
      </c>
      <c r="B41" s="135">
        <v>64</v>
      </c>
      <c r="C41" s="147">
        <v>30</v>
      </c>
      <c r="D41" s="234">
        <v>29</v>
      </c>
      <c r="E41" s="230">
        <v>4</v>
      </c>
      <c r="F41" s="136">
        <v>1.8866478</v>
      </c>
      <c r="G41" s="147">
        <v>4.84</v>
      </c>
      <c r="H41" s="234">
        <v>0.82</v>
      </c>
      <c r="I41" s="230">
        <v>0</v>
      </c>
      <c r="J41" s="136">
        <v>9.4232391000000018</v>
      </c>
      <c r="K41" s="147">
        <v>20.73</v>
      </c>
      <c r="L41" s="234">
        <v>7.47</v>
      </c>
      <c r="M41" s="230">
        <v>7.0000000000000007E-2</v>
      </c>
      <c r="N41" s="136">
        <v>10.2432309</v>
      </c>
      <c r="O41" s="147">
        <v>20.98</v>
      </c>
      <c r="P41" s="234">
        <v>5.56</v>
      </c>
      <c r="Q41" s="230">
        <v>4.1900000000000004</v>
      </c>
      <c r="R41" s="136">
        <v>14.389856100000001</v>
      </c>
      <c r="S41" s="148">
        <v>25.44</v>
      </c>
      <c r="T41" s="226">
        <v>12.69</v>
      </c>
      <c r="U41" s="221">
        <v>5.04</v>
      </c>
      <c r="V41" s="135">
        <f>SUM(F41,J41,N41,R41)</f>
        <v>35.942973900000005</v>
      </c>
      <c r="W41" s="148">
        <f>SUM(G41,K41,O41,S41)</f>
        <v>71.989999999999995</v>
      </c>
      <c r="X41" s="226">
        <f>SUM(H41,L41,P41,T41)</f>
        <v>26.54</v>
      </c>
      <c r="Y41" s="221">
        <f>SUM(I41,M41,Q41,U41)</f>
        <v>9.3000000000000007</v>
      </c>
    </row>
    <row r="42" spans="1:25" collapsed="1">
      <c r="A42" s="62" t="s">
        <v>162</v>
      </c>
      <c r="B42" s="78">
        <f t="shared" ref="B42:Y42" si="5">SUM(B36:B41)</f>
        <v>790</v>
      </c>
      <c r="C42" s="149">
        <f t="shared" si="5"/>
        <v>394</v>
      </c>
      <c r="D42" s="149">
        <f t="shared" si="5"/>
        <v>379</v>
      </c>
      <c r="E42" s="149">
        <f t="shared" si="5"/>
        <v>49</v>
      </c>
      <c r="F42" s="151">
        <f t="shared" si="5"/>
        <v>22.833105000000003</v>
      </c>
      <c r="G42" s="149">
        <f t="shared" si="5"/>
        <v>57.620000000000005</v>
      </c>
      <c r="H42" s="149">
        <f t="shared" si="5"/>
        <v>10.88</v>
      </c>
      <c r="I42" s="149">
        <f t="shared" si="5"/>
        <v>0</v>
      </c>
      <c r="J42" s="151">
        <f t="shared" si="5"/>
        <v>115.7688423</v>
      </c>
      <c r="K42" s="149">
        <f t="shared" si="5"/>
        <v>246.79</v>
      </c>
      <c r="L42" s="149">
        <f t="shared" si="5"/>
        <v>99.66</v>
      </c>
      <c r="M42" s="149">
        <f t="shared" si="5"/>
        <v>0.8600000000000001</v>
      </c>
      <c r="N42" s="151">
        <f t="shared" si="5"/>
        <v>126.14207189999999</v>
      </c>
      <c r="O42" s="149">
        <f t="shared" si="5"/>
        <v>249.64999999999998</v>
      </c>
      <c r="P42" s="149">
        <f t="shared" si="5"/>
        <v>74</v>
      </c>
      <c r="Q42" s="149">
        <f t="shared" si="5"/>
        <v>54.78</v>
      </c>
      <c r="R42" s="151">
        <f t="shared" si="5"/>
        <v>179.3148735</v>
      </c>
      <c r="S42" s="152">
        <f t="shared" si="5"/>
        <v>302.70999999999998</v>
      </c>
      <c r="T42" s="152">
        <f t="shared" si="5"/>
        <v>169.37</v>
      </c>
      <c r="U42" s="152">
        <f t="shared" si="5"/>
        <v>65.87</v>
      </c>
      <c r="V42" s="78">
        <f t="shared" si="5"/>
        <v>444.0588927</v>
      </c>
      <c r="W42" s="152">
        <f t="shared" si="5"/>
        <v>856.77</v>
      </c>
      <c r="X42" s="152">
        <f t="shared" si="5"/>
        <v>353.91</v>
      </c>
      <c r="Y42" s="152">
        <f t="shared" si="5"/>
        <v>121.51</v>
      </c>
    </row>
    <row r="43" spans="1:25" ht="16.2" thickBot="1">
      <c r="A43" s="137" t="s">
        <v>163</v>
      </c>
      <c r="B43" s="138">
        <f>SUM(B21,B30,B34,B42)</f>
        <v>11079</v>
      </c>
      <c r="C43" s="139">
        <f t="shared" ref="C43:U43" si="6">SUM(C21,C30,C34,C42)</f>
        <v>6188</v>
      </c>
      <c r="D43" s="139">
        <f t="shared" si="6"/>
        <v>6173</v>
      </c>
      <c r="E43" s="139">
        <f t="shared" si="6"/>
        <v>800</v>
      </c>
      <c r="F43" s="138">
        <f t="shared" si="6"/>
        <v>336.42996900000003</v>
      </c>
      <c r="G43" s="139">
        <f t="shared" si="6"/>
        <v>838.42</v>
      </c>
      <c r="H43" s="139">
        <f t="shared" si="6"/>
        <v>170.88</v>
      </c>
      <c r="I43" s="139">
        <f t="shared" si="6"/>
        <v>0</v>
      </c>
      <c r="J43" s="138">
        <f t="shared" si="6"/>
        <v>1723.2694338000001</v>
      </c>
      <c r="K43" s="139">
        <f t="shared" si="6"/>
        <v>3590.74</v>
      </c>
      <c r="L43" s="139">
        <f t="shared" si="6"/>
        <v>1565.26</v>
      </c>
      <c r="M43" s="139">
        <f t="shared" si="6"/>
        <v>13.86</v>
      </c>
      <c r="N43" s="138">
        <f t="shared" si="6"/>
        <v>1895.4843783000001</v>
      </c>
      <c r="O43" s="139">
        <f t="shared" si="6"/>
        <v>3632.26</v>
      </c>
      <c r="P43" s="139">
        <f t="shared" si="6"/>
        <v>1162</v>
      </c>
      <c r="Q43" s="139">
        <f t="shared" si="6"/>
        <v>892.25</v>
      </c>
      <c r="R43" s="138">
        <f t="shared" si="6"/>
        <v>2712.4995414</v>
      </c>
      <c r="S43" s="138">
        <f t="shared" si="6"/>
        <v>4404.3100000000004</v>
      </c>
      <c r="T43" s="138">
        <f t="shared" si="6"/>
        <v>2660.22</v>
      </c>
      <c r="U43" s="138">
        <f t="shared" si="6"/>
        <v>1073.05</v>
      </c>
      <c r="V43" s="138">
        <f>SUM(V21,V30,V34,V42)</f>
        <v>6667.6833225</v>
      </c>
      <c r="W43" s="138">
        <f t="shared" ref="W43:Y43" si="7">SUM(W21,W30,W34,W42)</f>
        <v>12465.730000000001</v>
      </c>
      <c r="X43" s="138">
        <f t="shared" si="7"/>
        <v>5558.36</v>
      </c>
      <c r="Y43" s="138">
        <f t="shared" si="7"/>
        <v>1979.16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852.96147029999997</v>
      </c>
      <c r="S45" s="142">
        <v>1816.27</v>
      </c>
      <c r="T45" s="224">
        <v>742.64</v>
      </c>
      <c r="U45" s="219">
        <v>0</v>
      </c>
      <c r="V45" s="141">
        <f>SUM(F45,J45,N45,R45)</f>
        <v>852.96147029999997</v>
      </c>
      <c r="W45" s="142">
        <f>SUM(G45,K45,O45,S45)</f>
        <v>1816.27</v>
      </c>
      <c r="X45" s="224">
        <f>SUM(H45,L45,P45,T45)</f>
        <v>742.64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852.96147029999997</v>
      </c>
      <c r="S47" s="150">
        <f t="shared" si="8"/>
        <v>1816.27</v>
      </c>
      <c r="T47" s="150">
        <f t="shared" si="8"/>
        <v>742.64</v>
      </c>
      <c r="U47" s="150">
        <f t="shared" si="8"/>
        <v>0</v>
      </c>
      <c r="V47" s="153">
        <f t="shared" si="8"/>
        <v>852.96147029999997</v>
      </c>
      <c r="W47" s="150">
        <f t="shared" si="8"/>
        <v>1816.27</v>
      </c>
      <c r="X47" s="150">
        <f t="shared" si="8"/>
        <v>742.64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-1856.881431</v>
      </c>
      <c r="G48" s="139">
        <f t="shared" si="9"/>
        <v>-2255.58</v>
      </c>
      <c r="H48" s="139">
        <f t="shared" si="9"/>
        <v>-2915.12</v>
      </c>
      <c r="I48" s="139">
        <f t="shared" si="9"/>
        <v>-400</v>
      </c>
      <c r="J48" s="138">
        <f t="shared" si="9"/>
        <v>1723.2694338000001</v>
      </c>
      <c r="K48" s="139">
        <f t="shared" si="9"/>
        <v>3590.74</v>
      </c>
      <c r="L48" s="139">
        <f t="shared" si="9"/>
        <v>1565.26</v>
      </c>
      <c r="M48" s="139">
        <f t="shared" si="9"/>
        <v>13.86</v>
      </c>
      <c r="N48" s="138">
        <f t="shared" si="9"/>
        <v>-2996.1333716999993</v>
      </c>
      <c r="O48" s="139">
        <f t="shared" si="9"/>
        <v>-7555.74</v>
      </c>
      <c r="P48" s="139">
        <f t="shared" si="9"/>
        <v>-1925</v>
      </c>
      <c r="Q48" s="139">
        <f t="shared" si="9"/>
        <v>492.25</v>
      </c>
      <c r="R48" s="138">
        <f t="shared" si="9"/>
        <v>3129.7453688999994</v>
      </c>
      <c r="S48" s="138">
        <f t="shared" si="9"/>
        <v>6220.58</v>
      </c>
      <c r="T48" s="138">
        <f t="shared" si="9"/>
        <v>3274.8599999999997</v>
      </c>
      <c r="U48" s="138">
        <f t="shared" si="9"/>
        <v>-106.11000000000013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72" priority="13" operator="lessThan">
      <formula>-0.01</formula>
    </cfRule>
  </conditionalFormatting>
  <conditionalFormatting sqref="Y15:Y21 Y23:Y30 Y32:Y34 Y36:Y43">
    <cfRule type="cellIs" dxfId="271" priority="12" operator="lessThan">
      <formula>-0.01</formula>
    </cfRule>
  </conditionalFormatting>
  <conditionalFormatting sqref="X15:X21 X23:X30 X32:X34 X36:X43">
    <cfRule type="cellIs" dxfId="270" priority="11" operator="lessThan">
      <formula>-0.01</formula>
    </cfRule>
  </conditionalFormatting>
  <conditionalFormatting sqref="U15:U21 U23:U30 U32:U34 U36:U43">
    <cfRule type="cellIs" dxfId="269" priority="10" operator="lessThan">
      <formula>-0.01</formula>
    </cfRule>
  </conditionalFormatting>
  <conditionalFormatting sqref="T15:T21 T23:T30 T32:T34 T36:T43">
    <cfRule type="cellIs" dxfId="268" priority="9" operator="lessThan">
      <formula>-0.01</formula>
    </cfRule>
  </conditionalFormatting>
  <conditionalFormatting sqref="Q15:Q21 Q23:Q30 Q32:Q34 Q36:Q43">
    <cfRule type="cellIs" dxfId="267" priority="8" operator="lessThan">
      <formula>-0.01</formula>
    </cfRule>
  </conditionalFormatting>
  <conditionalFormatting sqref="P15:P21 P23:P30 P32:P34 P36:P43">
    <cfRule type="cellIs" dxfId="266" priority="7" operator="lessThan">
      <formula>-0.01</formula>
    </cfRule>
  </conditionalFormatting>
  <conditionalFormatting sqref="M15:M21 M23:M30 M32:M34 M36:M43">
    <cfRule type="cellIs" dxfId="265" priority="6" operator="lessThan">
      <formula>-0.01</formula>
    </cfRule>
  </conditionalFormatting>
  <conditionalFormatting sqref="L15:L21 L23:L30 L32:L34 L36:L43">
    <cfRule type="cellIs" dxfId="264" priority="5" operator="lessThan">
      <formula>-0.01</formula>
    </cfRule>
  </conditionalFormatting>
  <conditionalFormatting sqref="I15:I21 I23:I30 I32:I34 I36:I43">
    <cfRule type="cellIs" dxfId="263" priority="4" operator="lessThan">
      <formula>-0.01</formula>
    </cfRule>
  </conditionalFormatting>
  <conditionalFormatting sqref="H15:H21 H23:H30 H32:H34 H36:H43">
    <cfRule type="cellIs" dxfId="262" priority="3" operator="lessThan">
      <formula>-0.01</formula>
    </cfRule>
  </conditionalFormatting>
  <conditionalFormatting sqref="E15:E21 E23:E30 E32:E34 E36:E43">
    <cfRule type="cellIs" dxfId="261" priority="2" operator="lessThan">
      <formula>-0.01</formula>
    </cfRule>
  </conditionalFormatting>
  <conditionalFormatting sqref="D15:D21 D23:D30 D32:D34 D36:D43">
    <cfRule type="cellIs" dxfId="260" priority="1" operator="lessThan">
      <formula>-0.01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421B-7AE1-4163-A4D8-9A8BA09F5483}">
  <sheetPr codeName="Sheet74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711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-36700</v>
      </c>
      <c r="C8" s="128">
        <v>-26700</v>
      </c>
      <c r="D8" s="231">
        <v>-26635</v>
      </c>
      <c r="E8" s="227">
        <v>-26635</v>
      </c>
      <c r="F8" s="129">
        <v>-11215.847840400002</v>
      </c>
      <c r="G8" s="128">
        <v>-13350</v>
      </c>
      <c r="H8" s="231">
        <v>-13317</v>
      </c>
      <c r="I8" s="227">
        <v>-6980.88</v>
      </c>
      <c r="J8" s="129">
        <v>3000.0433325999998</v>
      </c>
      <c r="K8" s="128">
        <v>0</v>
      </c>
      <c r="L8" s="231">
        <v>0</v>
      </c>
      <c r="M8" s="227">
        <v>9000.2199999999993</v>
      </c>
      <c r="N8" s="129">
        <v>-11146.6051995</v>
      </c>
      <c r="O8" s="128">
        <v>-13350</v>
      </c>
      <c r="P8" s="231">
        <v>-13318</v>
      </c>
      <c r="Q8" s="227">
        <v>-6772.15</v>
      </c>
      <c r="R8" s="129">
        <v>-598.61734709999996</v>
      </c>
      <c r="S8" s="130">
        <v>0</v>
      </c>
      <c r="T8" s="222">
        <v>0</v>
      </c>
      <c r="U8" s="217">
        <v>-1795.87</v>
      </c>
      <c r="V8" s="127">
        <f>SUM(F8,J8,N8,R8)</f>
        <v>-19961.027054400001</v>
      </c>
      <c r="W8" s="130">
        <f>SUM(G8,K8,O8,S8)</f>
        <v>-26700</v>
      </c>
      <c r="X8" s="222">
        <f>SUM(H8,L8,P8,T8)</f>
        <v>-26635</v>
      </c>
      <c r="Y8" s="217">
        <f>SUM(I8,M8,Q8,U8)</f>
        <v>-6548.68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-3432.2890100999998</v>
      </c>
      <c r="O11" s="132">
        <v>-10296.969999999999</v>
      </c>
      <c r="P11" s="232">
        <v>0</v>
      </c>
      <c r="Q11" s="228">
        <v>0</v>
      </c>
      <c r="R11" s="136">
        <v>-3300.6703262999999</v>
      </c>
      <c r="S11" s="133">
        <v>-4713.03</v>
      </c>
      <c r="T11" s="223">
        <v>-5189.08</v>
      </c>
      <c r="U11" s="218">
        <v>0</v>
      </c>
      <c r="V11" s="135">
        <f>SUM(F11,J11,N11,R11)</f>
        <v>-6732.9593363999993</v>
      </c>
      <c r="W11" s="133">
        <f>SUM(G11,K11,O11,S11)</f>
        <v>-15010</v>
      </c>
      <c r="X11" s="223">
        <f>SUM(H11,L11,P11,T11)</f>
        <v>-5189.08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-36700</v>
      </c>
      <c r="C12" s="139">
        <f t="shared" ref="C12:U12" si="0">SUM(C8:C11)</f>
        <v>-26700</v>
      </c>
      <c r="D12" s="139">
        <f t="shared" si="0"/>
        <v>-26635</v>
      </c>
      <c r="E12" s="139">
        <f t="shared" si="0"/>
        <v>-26635</v>
      </c>
      <c r="F12" s="138">
        <f t="shared" si="0"/>
        <v>-11215.847840400002</v>
      </c>
      <c r="G12" s="139">
        <f t="shared" si="0"/>
        <v>-13350</v>
      </c>
      <c r="H12" s="139">
        <f t="shared" si="0"/>
        <v>-13317</v>
      </c>
      <c r="I12" s="139">
        <f t="shared" si="0"/>
        <v>-6980.88</v>
      </c>
      <c r="J12" s="138">
        <f t="shared" si="0"/>
        <v>3000.0433325999998</v>
      </c>
      <c r="K12" s="139">
        <f t="shared" si="0"/>
        <v>0</v>
      </c>
      <c r="L12" s="139">
        <f t="shared" si="0"/>
        <v>0</v>
      </c>
      <c r="M12" s="139">
        <f t="shared" si="0"/>
        <v>9000.2199999999993</v>
      </c>
      <c r="N12" s="138">
        <f t="shared" si="0"/>
        <v>-14578.894209599999</v>
      </c>
      <c r="O12" s="139">
        <f t="shared" si="0"/>
        <v>-23646.97</v>
      </c>
      <c r="P12" s="139">
        <f t="shared" si="0"/>
        <v>-13318</v>
      </c>
      <c r="Q12" s="139">
        <f t="shared" si="0"/>
        <v>-6772.15</v>
      </c>
      <c r="R12" s="138">
        <f t="shared" si="0"/>
        <v>-3899.2876734000001</v>
      </c>
      <c r="S12" s="138">
        <f t="shared" si="0"/>
        <v>-4713.03</v>
      </c>
      <c r="T12" s="138">
        <f t="shared" si="0"/>
        <v>-5189.08</v>
      </c>
      <c r="U12" s="138">
        <f t="shared" si="0"/>
        <v>-1795.87</v>
      </c>
      <c r="V12" s="138">
        <f>SUM(V8:V11)</f>
        <v>-26693.986390800001</v>
      </c>
      <c r="W12" s="138">
        <f t="shared" ref="W12:Y12" si="1">SUM(W8:W11)</f>
        <v>-41710</v>
      </c>
      <c r="X12" s="138">
        <f t="shared" si="1"/>
        <v>-31824.080000000002</v>
      </c>
      <c r="Y12" s="138">
        <f t="shared" si="1"/>
        <v>-6548.68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-21.333120000000001</v>
      </c>
      <c r="G17" s="145">
        <v>0</v>
      </c>
      <c r="H17" s="233">
        <v>0</v>
      </c>
      <c r="I17" s="229">
        <v>-64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-21.333120000000001</v>
      </c>
      <c r="W17" s="56">
        <f>SUM(G17,K17,O17,S17)</f>
        <v>0</v>
      </c>
      <c r="X17" s="225">
        <f>SUM(H17,L17,P17,T17)</f>
        <v>0</v>
      </c>
      <c r="Y17" s="220">
        <f>SUM(I17,M17,Q17,U17)</f>
        <v>-64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-0.23666429999999999</v>
      </c>
      <c r="G20" s="147">
        <v>0</v>
      </c>
      <c r="H20" s="234">
        <v>0</v>
      </c>
      <c r="I20" s="230">
        <v>-0.71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-0.23666429999999999</v>
      </c>
      <c r="W20" s="148">
        <f>SUM(G20,K20,O20,S20)</f>
        <v>0</v>
      </c>
      <c r="X20" s="226">
        <f>SUM(H20,L20,P20,T20)</f>
        <v>0</v>
      </c>
      <c r="Y20" s="221">
        <f>SUM(I20,M20,Q20,U20)</f>
        <v>-0.71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-21.569784300000002</v>
      </c>
      <c r="G21" s="149">
        <f t="shared" si="2"/>
        <v>0</v>
      </c>
      <c r="H21" s="149">
        <f t="shared" si="2"/>
        <v>0</v>
      </c>
      <c r="I21" s="149">
        <f t="shared" si="2"/>
        <v>-64.709999999999994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-21.569784300000002</v>
      </c>
      <c r="W21" s="150">
        <f t="shared" si="2"/>
        <v>0</v>
      </c>
      <c r="X21" s="150">
        <f t="shared" si="2"/>
        <v>0</v>
      </c>
      <c r="Y21" s="150">
        <f t="shared" si="2"/>
        <v>-64.709999999999994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25000</v>
      </c>
      <c r="E23" s="227">
        <v>25000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21.989780100000001</v>
      </c>
      <c r="S29" s="148">
        <v>0</v>
      </c>
      <c r="T29" s="226">
        <v>65.97</v>
      </c>
      <c r="U29" s="221">
        <v>0</v>
      </c>
      <c r="V29" s="135">
        <f>SUM(F29,J29,N29,R29)</f>
        <v>21.989780100000001</v>
      </c>
      <c r="W29" s="148">
        <f>SUM(G29,K29,O29,S29)</f>
        <v>0</v>
      </c>
      <c r="X29" s="226">
        <f>SUM(H29,L29,P29,T29)</f>
        <v>65.97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25000</v>
      </c>
      <c r="E30" s="91">
        <f t="shared" si="3"/>
        <v>25000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21.989780100000001</v>
      </c>
      <c r="S30" s="150">
        <f t="shared" si="3"/>
        <v>0</v>
      </c>
      <c r="T30" s="150">
        <f t="shared" si="3"/>
        <v>65.97</v>
      </c>
      <c r="U30" s="150">
        <f t="shared" si="3"/>
        <v>0</v>
      </c>
      <c r="V30" s="78">
        <f t="shared" si="3"/>
        <v>21.989780100000001</v>
      </c>
      <c r="W30" s="150">
        <f t="shared" si="3"/>
        <v>0</v>
      </c>
      <c r="X30" s="150">
        <f t="shared" si="3"/>
        <v>65.97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1510</v>
      </c>
      <c r="E40" s="227">
        <v>1510</v>
      </c>
      <c r="F40" s="129">
        <v>-1.3033203000000002</v>
      </c>
      <c r="G40" s="128">
        <v>0</v>
      </c>
      <c r="H40" s="231">
        <v>0</v>
      </c>
      <c r="I40" s="227">
        <v>-3.91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1.3833195000000003</v>
      </c>
      <c r="S40" s="130">
        <v>0</v>
      </c>
      <c r="T40" s="222">
        <v>4.1500000000000004</v>
      </c>
      <c r="U40" s="217">
        <v>0</v>
      </c>
      <c r="V40" s="127">
        <f>SUM(F40,J40,N40,R40)</f>
        <v>7.9999200000000048E-2</v>
      </c>
      <c r="W40" s="130">
        <f>SUM(G40,K40,O40,S40)</f>
        <v>0</v>
      </c>
      <c r="X40" s="222">
        <f>SUM(H40,L40,P40,T40)</f>
        <v>4.1500000000000004</v>
      </c>
      <c r="Y40" s="217">
        <f>SUM(I40,M40,Q40,U40)</f>
        <v>-3.91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125</v>
      </c>
      <c r="E41" s="230">
        <v>125</v>
      </c>
      <c r="F41" s="136">
        <v>-0.10666560000000001</v>
      </c>
      <c r="G41" s="147">
        <v>0</v>
      </c>
      <c r="H41" s="234">
        <v>0</v>
      </c>
      <c r="I41" s="230">
        <v>-0.32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0.11333220000000001</v>
      </c>
      <c r="S41" s="148">
        <v>0</v>
      </c>
      <c r="T41" s="226">
        <v>0.34</v>
      </c>
      <c r="U41" s="221">
        <v>0</v>
      </c>
      <c r="V41" s="135">
        <f>SUM(F41,J41,N41,R41)</f>
        <v>6.6665999999999948E-3</v>
      </c>
      <c r="W41" s="148">
        <f>SUM(G41,K41,O41,S41)</f>
        <v>0</v>
      </c>
      <c r="X41" s="226">
        <f>SUM(H41,L41,P41,T41)</f>
        <v>0.34</v>
      </c>
      <c r="Y41" s="221">
        <f>SUM(I41,M41,Q41,U41)</f>
        <v>-0.32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1635</v>
      </c>
      <c r="E42" s="149">
        <f t="shared" si="5"/>
        <v>1635</v>
      </c>
      <c r="F42" s="151">
        <f t="shared" si="5"/>
        <v>-1.4099859000000001</v>
      </c>
      <c r="G42" s="149">
        <f t="shared" si="5"/>
        <v>0</v>
      </c>
      <c r="H42" s="149">
        <f t="shared" si="5"/>
        <v>0</v>
      </c>
      <c r="I42" s="149">
        <f t="shared" si="5"/>
        <v>-4.2300000000000004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1.4966517000000004</v>
      </c>
      <c r="S42" s="152">
        <f t="shared" si="5"/>
        <v>0</v>
      </c>
      <c r="T42" s="152">
        <f t="shared" si="5"/>
        <v>4.49</v>
      </c>
      <c r="U42" s="152">
        <f t="shared" si="5"/>
        <v>0</v>
      </c>
      <c r="V42" s="78">
        <f t="shared" si="5"/>
        <v>8.6665800000000043E-2</v>
      </c>
      <c r="W42" s="152">
        <f t="shared" si="5"/>
        <v>0</v>
      </c>
      <c r="X42" s="152">
        <f t="shared" si="5"/>
        <v>4.49</v>
      </c>
      <c r="Y42" s="152">
        <f t="shared" si="5"/>
        <v>-4.2300000000000004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26635</v>
      </c>
      <c r="E43" s="139">
        <f t="shared" si="6"/>
        <v>26635</v>
      </c>
      <c r="F43" s="138">
        <f t="shared" si="6"/>
        <v>-22.979770200000001</v>
      </c>
      <c r="G43" s="139">
        <f t="shared" si="6"/>
        <v>0</v>
      </c>
      <c r="H43" s="139">
        <f t="shared" si="6"/>
        <v>0</v>
      </c>
      <c r="I43" s="139">
        <f t="shared" si="6"/>
        <v>-68.94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23.486431800000002</v>
      </c>
      <c r="S43" s="138">
        <f t="shared" si="6"/>
        <v>0</v>
      </c>
      <c r="T43" s="138">
        <f t="shared" si="6"/>
        <v>70.459999999999994</v>
      </c>
      <c r="U43" s="138">
        <f t="shared" si="6"/>
        <v>0</v>
      </c>
      <c r="V43" s="138">
        <f>SUM(V21,V30,V34,V42)</f>
        <v>0.50666159999999882</v>
      </c>
      <c r="W43" s="138">
        <f t="shared" ref="W43:Y43" si="7">SUM(W21,W30,W34,W42)</f>
        <v>0</v>
      </c>
      <c r="X43" s="138">
        <f t="shared" si="7"/>
        <v>70.459999999999994</v>
      </c>
      <c r="Y43" s="138">
        <f t="shared" si="7"/>
        <v>-68.94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36700</v>
      </c>
      <c r="C45" s="128">
        <v>26700</v>
      </c>
      <c r="D45" s="231">
        <v>0</v>
      </c>
      <c r="E45" s="227">
        <v>0</v>
      </c>
      <c r="F45" s="129">
        <v>355.99644000000001</v>
      </c>
      <c r="G45" s="128">
        <v>0</v>
      </c>
      <c r="H45" s="231">
        <v>1068</v>
      </c>
      <c r="I45" s="227">
        <v>0</v>
      </c>
      <c r="J45" s="129">
        <v>10727.9860524</v>
      </c>
      <c r="K45" s="128">
        <v>22343.47</v>
      </c>
      <c r="L45" s="231">
        <v>9840.81</v>
      </c>
      <c r="M45" s="227">
        <v>0</v>
      </c>
      <c r="N45" s="129">
        <v>8886.3144692999995</v>
      </c>
      <c r="O45" s="128">
        <v>16623.21</v>
      </c>
      <c r="P45" s="231">
        <v>10036</v>
      </c>
      <c r="Q45" s="227">
        <v>0</v>
      </c>
      <c r="R45" s="129">
        <v>6723.1827675000004</v>
      </c>
      <c r="S45" s="142">
        <v>2743.32</v>
      </c>
      <c r="T45" s="224">
        <v>10808.81</v>
      </c>
      <c r="U45" s="219">
        <v>6617.62</v>
      </c>
      <c r="V45" s="141">
        <f>SUM(F45,J45,N45,R45)</f>
        <v>26693.4797292</v>
      </c>
      <c r="W45" s="142">
        <f>SUM(G45,K45,O45,S45)</f>
        <v>41710</v>
      </c>
      <c r="X45" s="224">
        <f>SUM(H45,L45,P45,T45)</f>
        <v>31753.619999999995</v>
      </c>
      <c r="Y45" s="219">
        <f>SUM(I45,M45,Q45,U45)</f>
        <v>6617.62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36700</v>
      </c>
      <c r="C47" s="91">
        <f t="shared" si="8"/>
        <v>26700</v>
      </c>
      <c r="D47" s="91">
        <f t="shared" si="8"/>
        <v>0</v>
      </c>
      <c r="E47" s="91">
        <f t="shared" si="8"/>
        <v>0</v>
      </c>
      <c r="F47" s="78">
        <f t="shared" si="8"/>
        <v>355.99644000000001</v>
      </c>
      <c r="G47" s="91">
        <f t="shared" si="8"/>
        <v>0</v>
      </c>
      <c r="H47" s="91">
        <f t="shared" si="8"/>
        <v>1068</v>
      </c>
      <c r="I47" s="91">
        <f t="shared" si="8"/>
        <v>0</v>
      </c>
      <c r="J47" s="78">
        <f t="shared" si="8"/>
        <v>10727.9860524</v>
      </c>
      <c r="K47" s="91">
        <f t="shared" si="8"/>
        <v>22343.47</v>
      </c>
      <c r="L47" s="91">
        <f t="shared" si="8"/>
        <v>9840.81</v>
      </c>
      <c r="M47" s="91">
        <f t="shared" si="8"/>
        <v>0</v>
      </c>
      <c r="N47" s="78">
        <f t="shared" si="8"/>
        <v>8886.3144692999995</v>
      </c>
      <c r="O47" s="91">
        <f t="shared" si="8"/>
        <v>16623.21</v>
      </c>
      <c r="P47" s="91">
        <f t="shared" si="8"/>
        <v>10036</v>
      </c>
      <c r="Q47" s="91">
        <f t="shared" si="8"/>
        <v>0</v>
      </c>
      <c r="R47" s="78">
        <f t="shared" si="8"/>
        <v>6723.1827675000004</v>
      </c>
      <c r="S47" s="150">
        <f t="shared" si="8"/>
        <v>2743.32</v>
      </c>
      <c r="T47" s="150">
        <f t="shared" si="8"/>
        <v>10808.81</v>
      </c>
      <c r="U47" s="150">
        <f t="shared" si="8"/>
        <v>6617.62</v>
      </c>
      <c r="V47" s="153">
        <f t="shared" si="8"/>
        <v>26693.4797292</v>
      </c>
      <c r="W47" s="150">
        <f t="shared" si="8"/>
        <v>41710</v>
      </c>
      <c r="X47" s="150">
        <f t="shared" si="8"/>
        <v>31753.619999999995</v>
      </c>
      <c r="Y47" s="150">
        <f t="shared" si="8"/>
        <v>6617.62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-10882.8311706</v>
      </c>
      <c r="G48" s="139">
        <f t="shared" si="9"/>
        <v>-13350</v>
      </c>
      <c r="H48" s="139">
        <f t="shared" si="9"/>
        <v>-12249</v>
      </c>
      <c r="I48" s="139">
        <f t="shared" si="9"/>
        <v>-7049.82</v>
      </c>
      <c r="J48" s="138">
        <f t="shared" si="9"/>
        <v>13728.029385</v>
      </c>
      <c r="K48" s="139">
        <f t="shared" si="9"/>
        <v>22343.47</v>
      </c>
      <c r="L48" s="139">
        <f t="shared" si="9"/>
        <v>9840.81</v>
      </c>
      <c r="M48" s="139">
        <f t="shared" si="9"/>
        <v>9000.2199999999993</v>
      </c>
      <c r="N48" s="138">
        <f t="shared" si="9"/>
        <v>-5692.5797402999997</v>
      </c>
      <c r="O48" s="139">
        <f t="shared" si="9"/>
        <v>-7023.760000000002</v>
      </c>
      <c r="P48" s="139">
        <f t="shared" si="9"/>
        <v>-3282</v>
      </c>
      <c r="Q48" s="139">
        <f t="shared" si="9"/>
        <v>-6772.15</v>
      </c>
      <c r="R48" s="138">
        <f t="shared" si="9"/>
        <v>2847.3815259000003</v>
      </c>
      <c r="S48" s="138">
        <f t="shared" si="9"/>
        <v>-1969.7099999999996</v>
      </c>
      <c r="T48" s="138">
        <f t="shared" si="9"/>
        <v>5690.19</v>
      </c>
      <c r="U48" s="138">
        <f t="shared" si="9"/>
        <v>4821.75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59" priority="13" operator="lessThan">
      <formula>-0.01</formula>
    </cfRule>
  </conditionalFormatting>
  <conditionalFormatting sqref="Y15:Y21 Y23:Y30 Y32:Y34 Y36:Y43">
    <cfRule type="cellIs" dxfId="258" priority="12" operator="lessThan">
      <formula>-0.01</formula>
    </cfRule>
  </conditionalFormatting>
  <conditionalFormatting sqref="X15:X21 X23:X30 X32:X34 X36:X43">
    <cfRule type="cellIs" dxfId="257" priority="11" operator="lessThan">
      <formula>-0.01</formula>
    </cfRule>
  </conditionalFormatting>
  <conditionalFormatting sqref="U15:U21 U23:U30 U32:U34 U36:U43">
    <cfRule type="cellIs" dxfId="256" priority="10" operator="lessThan">
      <formula>-0.01</formula>
    </cfRule>
  </conditionalFormatting>
  <conditionalFormatting sqref="T15:T21 T23:T30 T32:T34 T36:T43">
    <cfRule type="cellIs" dxfId="255" priority="9" operator="lessThan">
      <formula>-0.01</formula>
    </cfRule>
  </conditionalFormatting>
  <conditionalFormatting sqref="Q15:Q21 Q23:Q30 Q32:Q34 Q36:Q43">
    <cfRule type="cellIs" dxfId="254" priority="8" operator="lessThan">
      <formula>-0.01</formula>
    </cfRule>
  </conditionalFormatting>
  <conditionalFormatting sqref="P15:P21 P23:P30 P32:P34 P36:P43">
    <cfRule type="cellIs" dxfId="253" priority="7" operator="lessThan">
      <formula>-0.01</formula>
    </cfRule>
  </conditionalFormatting>
  <conditionalFormatting sqref="M15:M21 M23:M30 M32:M34 M36:M43">
    <cfRule type="cellIs" dxfId="252" priority="6" operator="lessThan">
      <formula>-0.01</formula>
    </cfRule>
  </conditionalFormatting>
  <conditionalFormatting sqref="L15:L21 L23:L30 L32:L34 L36:L43">
    <cfRule type="cellIs" dxfId="251" priority="5" operator="lessThan">
      <formula>-0.01</formula>
    </cfRule>
  </conditionalFormatting>
  <conditionalFormatting sqref="I15:I21 I23:I30 I32:I34 I36:I43">
    <cfRule type="cellIs" dxfId="250" priority="4" operator="lessThan">
      <formula>-0.01</formula>
    </cfRule>
  </conditionalFormatting>
  <conditionalFormatting sqref="H15:H21 H23:H30 H32:H34 H36:H43">
    <cfRule type="cellIs" dxfId="249" priority="3" operator="lessThan">
      <formula>-0.01</formula>
    </cfRule>
  </conditionalFormatting>
  <conditionalFormatting sqref="E15:E21 E23:E30 E32:E34 E36:E43">
    <cfRule type="cellIs" dxfId="248" priority="2" operator="lessThan">
      <formula>-0.01</formula>
    </cfRule>
  </conditionalFormatting>
  <conditionalFormatting sqref="D15:D21 D23:D30 D32:D34 D36:D43">
    <cfRule type="cellIs" dxfId="247" priority="1" operator="lessThan">
      <formula>-0.01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E86A0-9E25-4E4F-A215-35490C5F662D}">
  <sheetPr codeName="Sheet75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714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0</v>
      </c>
      <c r="D8" s="231">
        <v>0</v>
      </c>
      <c r="E8" s="227">
        <v>0</v>
      </c>
      <c r="F8" s="129">
        <v>0</v>
      </c>
      <c r="G8" s="128">
        <v>0</v>
      </c>
      <c r="H8" s="231">
        <v>0</v>
      </c>
      <c r="I8" s="227">
        <v>0</v>
      </c>
      <c r="J8" s="129">
        <v>0</v>
      </c>
      <c r="K8" s="128">
        <v>0</v>
      </c>
      <c r="L8" s="231">
        <v>0</v>
      </c>
      <c r="M8" s="227">
        <v>0</v>
      </c>
      <c r="N8" s="129">
        <v>0</v>
      </c>
      <c r="O8" s="128">
        <v>0</v>
      </c>
      <c r="P8" s="231">
        <v>0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0</v>
      </c>
      <c r="W8" s="130">
        <f>SUM(G8,K8,O8,S8)</f>
        <v>0</v>
      </c>
      <c r="X8" s="222">
        <f>SUM(H8,L8,P8,T8)</f>
        <v>0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-4190.0380992000009</v>
      </c>
      <c r="S11" s="133">
        <v>-35.61</v>
      </c>
      <c r="T11" s="223">
        <v>-5917.01</v>
      </c>
      <c r="U11" s="218">
        <v>-6617.62</v>
      </c>
      <c r="V11" s="135">
        <f>SUM(F11,J11,N11,R11)</f>
        <v>-4190.0380992000009</v>
      </c>
      <c r="W11" s="133">
        <f>SUM(G11,K11,O11,S11)</f>
        <v>-35.61</v>
      </c>
      <c r="X11" s="223">
        <f>SUM(H11,L11,P11,T11)</f>
        <v>-5917.01</v>
      </c>
      <c r="Y11" s="218">
        <f>SUM(I11,M11,Q11,U11)</f>
        <v>-6617.62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0</v>
      </c>
      <c r="D12" s="139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9">
        <f t="shared" si="0"/>
        <v>0</v>
      </c>
      <c r="I12" s="139">
        <f t="shared" si="0"/>
        <v>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0</v>
      </c>
      <c r="O12" s="139">
        <f t="shared" si="0"/>
        <v>0</v>
      </c>
      <c r="P12" s="139">
        <f t="shared" si="0"/>
        <v>0</v>
      </c>
      <c r="Q12" s="139">
        <f t="shared" si="0"/>
        <v>0</v>
      </c>
      <c r="R12" s="138">
        <f t="shared" si="0"/>
        <v>-4190.0380992000009</v>
      </c>
      <c r="S12" s="138">
        <f t="shared" si="0"/>
        <v>-35.61</v>
      </c>
      <c r="T12" s="138">
        <f t="shared" si="0"/>
        <v>-5917.01</v>
      </c>
      <c r="U12" s="138">
        <f t="shared" si="0"/>
        <v>-6617.62</v>
      </c>
      <c r="V12" s="138">
        <f>SUM(V8:V11)</f>
        <v>-4190.0380992000009</v>
      </c>
      <c r="W12" s="138">
        <f t="shared" ref="W12:Y12" si="1">SUM(W8:W11)</f>
        <v>-35.61</v>
      </c>
      <c r="X12" s="138">
        <f t="shared" si="1"/>
        <v>-5917.01</v>
      </c>
      <c r="Y12" s="138">
        <f t="shared" si="1"/>
        <v>-6617.62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0</v>
      </c>
      <c r="W30" s="150">
        <f t="shared" si="3"/>
        <v>0</v>
      </c>
      <c r="X30" s="150">
        <f t="shared" si="3"/>
        <v>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0</v>
      </c>
      <c r="E40" s="227">
        <v>0</v>
      </c>
      <c r="F40" s="129">
        <v>0</v>
      </c>
      <c r="G40" s="128">
        <v>0</v>
      </c>
      <c r="H40" s="231">
        <v>0</v>
      </c>
      <c r="I40" s="227">
        <v>0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0</v>
      </c>
      <c r="S40" s="130">
        <v>0</v>
      </c>
      <c r="T40" s="222">
        <v>0</v>
      </c>
      <c r="U40" s="217">
        <v>0</v>
      </c>
      <c r="V40" s="127">
        <f>SUM(F40,J40,N40,R40)</f>
        <v>0</v>
      </c>
      <c r="W40" s="130">
        <f>SUM(G40,K40,O40,S40)</f>
        <v>0</v>
      </c>
      <c r="X40" s="222">
        <f>SUM(H40,L40,P40,T40)</f>
        <v>0</v>
      </c>
      <c r="Y40" s="217">
        <f>SUM(I40,M40,Q40,U40)</f>
        <v>0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0</v>
      </c>
      <c r="E41" s="230">
        <v>0</v>
      </c>
      <c r="F41" s="136">
        <v>0</v>
      </c>
      <c r="G41" s="147">
        <v>0</v>
      </c>
      <c r="H41" s="234">
        <v>0</v>
      </c>
      <c r="I41" s="230">
        <v>0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</v>
      </c>
      <c r="S41" s="148">
        <v>0</v>
      </c>
      <c r="T41" s="226">
        <v>0</v>
      </c>
      <c r="U41" s="221">
        <v>0</v>
      </c>
      <c r="V41" s="135">
        <f>SUM(F41,J41,N41,R41)</f>
        <v>0</v>
      </c>
      <c r="W41" s="148">
        <f>SUM(G41,K41,O41,S41)</f>
        <v>0</v>
      </c>
      <c r="X41" s="226">
        <f>SUM(H41,L41,P41,T41)</f>
        <v>0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0</v>
      </c>
      <c r="E42" s="149">
        <f t="shared" si="5"/>
        <v>0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0</v>
      </c>
      <c r="S42" s="152">
        <f t="shared" si="5"/>
        <v>0</v>
      </c>
      <c r="T42" s="152">
        <f t="shared" si="5"/>
        <v>0</v>
      </c>
      <c r="U42" s="152">
        <f t="shared" si="5"/>
        <v>0</v>
      </c>
      <c r="V42" s="78">
        <f t="shared" si="5"/>
        <v>0</v>
      </c>
      <c r="W42" s="152">
        <f t="shared" si="5"/>
        <v>0</v>
      </c>
      <c r="X42" s="152">
        <f t="shared" si="5"/>
        <v>0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0</v>
      </c>
      <c r="E43" s="139">
        <f t="shared" si="6"/>
        <v>0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0</v>
      </c>
      <c r="S43" s="138">
        <f t="shared" si="6"/>
        <v>0</v>
      </c>
      <c r="T43" s="138">
        <f t="shared" si="6"/>
        <v>0</v>
      </c>
      <c r="U43" s="138">
        <f t="shared" si="6"/>
        <v>0</v>
      </c>
      <c r="V43" s="138">
        <f>SUM(V21,V30,V34,V42)</f>
        <v>0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3042.4029089999999</v>
      </c>
      <c r="O45" s="128">
        <v>9127.2999999999993</v>
      </c>
      <c r="P45" s="231">
        <v>0</v>
      </c>
      <c r="Q45" s="227">
        <v>0</v>
      </c>
      <c r="R45" s="129">
        <v>690.80309190000003</v>
      </c>
      <c r="S45" s="142">
        <v>2072.4299999999998</v>
      </c>
      <c r="T45" s="224">
        <v>0</v>
      </c>
      <c r="U45" s="219">
        <v>0</v>
      </c>
      <c r="V45" s="141">
        <f>SUM(F45,J45,N45,R45)</f>
        <v>3733.2060008999997</v>
      </c>
      <c r="W45" s="142">
        <f>SUM(G45,K45,O45,S45)</f>
        <v>11199.73</v>
      </c>
      <c r="X45" s="224">
        <f>SUM(H45,L45,P45,T45)</f>
        <v>0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3042.4029089999999</v>
      </c>
      <c r="O47" s="91">
        <f t="shared" si="8"/>
        <v>9127.2999999999993</v>
      </c>
      <c r="P47" s="91">
        <f t="shared" si="8"/>
        <v>0</v>
      </c>
      <c r="Q47" s="91">
        <f t="shared" si="8"/>
        <v>0</v>
      </c>
      <c r="R47" s="78">
        <f t="shared" si="8"/>
        <v>690.80309190000003</v>
      </c>
      <c r="S47" s="150">
        <f t="shared" si="8"/>
        <v>2072.4299999999998</v>
      </c>
      <c r="T47" s="150">
        <f t="shared" si="8"/>
        <v>0</v>
      </c>
      <c r="U47" s="150">
        <f t="shared" si="8"/>
        <v>0</v>
      </c>
      <c r="V47" s="153">
        <f t="shared" si="8"/>
        <v>3733.2060008999997</v>
      </c>
      <c r="W47" s="150">
        <f t="shared" si="8"/>
        <v>11199.73</v>
      </c>
      <c r="X47" s="150">
        <f t="shared" si="8"/>
        <v>0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0</v>
      </c>
      <c r="G48" s="139">
        <f t="shared" si="9"/>
        <v>0</v>
      </c>
      <c r="H48" s="139">
        <f t="shared" si="9"/>
        <v>0</v>
      </c>
      <c r="I48" s="139">
        <f t="shared" si="9"/>
        <v>0</v>
      </c>
      <c r="J48" s="138">
        <f t="shared" si="9"/>
        <v>0</v>
      </c>
      <c r="K48" s="139">
        <f t="shared" si="9"/>
        <v>0</v>
      </c>
      <c r="L48" s="139">
        <f t="shared" si="9"/>
        <v>0</v>
      </c>
      <c r="M48" s="139">
        <f t="shared" si="9"/>
        <v>0</v>
      </c>
      <c r="N48" s="138">
        <f t="shared" si="9"/>
        <v>3042.4029089999999</v>
      </c>
      <c r="O48" s="139">
        <f t="shared" si="9"/>
        <v>9127.2999999999993</v>
      </c>
      <c r="P48" s="139">
        <f t="shared" si="9"/>
        <v>0</v>
      </c>
      <c r="Q48" s="139">
        <f t="shared" si="9"/>
        <v>0</v>
      </c>
      <c r="R48" s="138">
        <f t="shared" si="9"/>
        <v>-3499.2350073000007</v>
      </c>
      <c r="S48" s="138">
        <f t="shared" si="9"/>
        <v>2036.82</v>
      </c>
      <c r="T48" s="138">
        <f t="shared" si="9"/>
        <v>-5917.01</v>
      </c>
      <c r="U48" s="138">
        <f t="shared" si="9"/>
        <v>-6617.62</v>
      </c>
      <c r="V48" s="138">
        <f>SUM(V12,V43,V47)</f>
        <v>-456.83209830000123</v>
      </c>
      <c r="W48" s="138">
        <f t="shared" ref="W48:Y48" si="10">SUM(W12,W43,W47)</f>
        <v>11164.119999999999</v>
      </c>
      <c r="X48" s="138">
        <f t="shared" si="10"/>
        <v>-5917.01</v>
      </c>
      <c r="Y48" s="138">
        <f t="shared" si="10"/>
        <v>-6617.62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46" priority="13" operator="lessThan">
      <formula>-0.01</formula>
    </cfRule>
  </conditionalFormatting>
  <conditionalFormatting sqref="Y15:Y21 Y23:Y30 Y32:Y34 Y36:Y43">
    <cfRule type="cellIs" dxfId="245" priority="12" operator="lessThan">
      <formula>-0.01</formula>
    </cfRule>
  </conditionalFormatting>
  <conditionalFormatting sqref="X15:X21 X23:X30 X32:X34 X36:X43">
    <cfRule type="cellIs" dxfId="244" priority="11" operator="lessThan">
      <formula>-0.01</formula>
    </cfRule>
  </conditionalFormatting>
  <conditionalFormatting sqref="U15:U21 U23:U30 U32:U34 U36:U43">
    <cfRule type="cellIs" dxfId="243" priority="10" operator="lessThan">
      <formula>-0.01</formula>
    </cfRule>
  </conditionalFormatting>
  <conditionalFormatting sqref="T15:T21 T23:T30 T32:T34 T36:T43">
    <cfRule type="cellIs" dxfId="242" priority="9" operator="lessThan">
      <formula>-0.01</formula>
    </cfRule>
  </conditionalFormatting>
  <conditionalFormatting sqref="Q15:Q21 Q23:Q30 Q32:Q34 Q36:Q43">
    <cfRule type="cellIs" dxfId="241" priority="8" operator="lessThan">
      <formula>-0.01</formula>
    </cfRule>
  </conditionalFormatting>
  <conditionalFormatting sqref="P15:P21 P23:P30 P32:P34 P36:P43">
    <cfRule type="cellIs" dxfId="240" priority="7" operator="lessThan">
      <formula>-0.01</formula>
    </cfRule>
  </conditionalFormatting>
  <conditionalFormatting sqref="M15:M21 M23:M30 M32:M34 M36:M43">
    <cfRule type="cellIs" dxfId="239" priority="6" operator="lessThan">
      <formula>-0.01</formula>
    </cfRule>
  </conditionalFormatting>
  <conditionalFormatting sqref="L15:L21 L23:L30 L32:L34 L36:L43">
    <cfRule type="cellIs" dxfId="238" priority="5" operator="lessThan">
      <formula>-0.01</formula>
    </cfRule>
  </conditionalFormatting>
  <conditionalFormatting sqref="I15:I21 I23:I30 I32:I34 I36:I43">
    <cfRule type="cellIs" dxfId="237" priority="4" operator="lessThan">
      <formula>-0.01</formula>
    </cfRule>
  </conditionalFormatting>
  <conditionalFormatting sqref="H15:H21 H23:H30 H32:H34 H36:H43">
    <cfRule type="cellIs" dxfId="236" priority="3" operator="lessThan">
      <formula>-0.01</formula>
    </cfRule>
  </conditionalFormatting>
  <conditionalFormatting sqref="E15:E21 E23:E30 E32:E34 E36:E43">
    <cfRule type="cellIs" dxfId="235" priority="2" operator="lessThan">
      <formula>-0.01</formula>
    </cfRule>
  </conditionalFormatting>
  <conditionalFormatting sqref="D15:D21 D23:D30 D32:D34 D36:D43">
    <cfRule type="cellIs" dxfId="234" priority="1" operator="lessThan">
      <formula>-0.01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905AB-DAB1-49A8-9885-DFA8F7D3B910}">
  <sheetPr codeName="Sheet76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716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-14860</v>
      </c>
      <c r="C8" s="128">
        <v>-10466</v>
      </c>
      <c r="D8" s="231">
        <v>-10441</v>
      </c>
      <c r="E8" s="227">
        <v>-10441</v>
      </c>
      <c r="F8" s="129">
        <v>-5224.6144199999999</v>
      </c>
      <c r="G8" s="128">
        <v>-5233</v>
      </c>
      <c r="H8" s="231">
        <v>-5220</v>
      </c>
      <c r="I8" s="227">
        <v>-5221</v>
      </c>
      <c r="J8" s="129">
        <v>0</v>
      </c>
      <c r="K8" s="128">
        <v>0</v>
      </c>
      <c r="L8" s="231">
        <v>0</v>
      </c>
      <c r="M8" s="227">
        <v>0</v>
      </c>
      <c r="N8" s="129">
        <v>-5224.6144199999999</v>
      </c>
      <c r="O8" s="128">
        <v>-5233</v>
      </c>
      <c r="P8" s="231">
        <v>-5221</v>
      </c>
      <c r="Q8" s="227">
        <v>-5220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-10449.22884</v>
      </c>
      <c r="W8" s="130">
        <f>SUM(G8,K8,O8,S8)</f>
        <v>-10466</v>
      </c>
      <c r="X8" s="222">
        <f>SUM(H8,L8,P8,T8)</f>
        <v>-10441</v>
      </c>
      <c r="Y8" s="217">
        <f>SUM(I8,M8,Q8,U8)</f>
        <v>-10441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-1492.2417441000002</v>
      </c>
      <c r="S11" s="133">
        <v>-2526.77</v>
      </c>
      <c r="T11" s="223">
        <v>-1950</v>
      </c>
      <c r="U11" s="218">
        <v>0</v>
      </c>
      <c r="V11" s="135">
        <f>SUM(F11,J11,N11,R11)</f>
        <v>-1492.2417441000002</v>
      </c>
      <c r="W11" s="133">
        <f>SUM(G11,K11,O11,S11)</f>
        <v>-2526.77</v>
      </c>
      <c r="X11" s="223">
        <f>SUM(H11,L11,P11,T11)</f>
        <v>-1950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-14860</v>
      </c>
      <c r="C12" s="139">
        <f t="shared" ref="C12:U12" si="0">SUM(C8:C11)</f>
        <v>-10466</v>
      </c>
      <c r="D12" s="139">
        <f t="shared" si="0"/>
        <v>-10441</v>
      </c>
      <c r="E12" s="139">
        <f t="shared" si="0"/>
        <v>-10441</v>
      </c>
      <c r="F12" s="138">
        <f t="shared" si="0"/>
        <v>-5224.6144199999999</v>
      </c>
      <c r="G12" s="139">
        <f t="shared" si="0"/>
        <v>-5233</v>
      </c>
      <c r="H12" s="139">
        <f t="shared" si="0"/>
        <v>-5220</v>
      </c>
      <c r="I12" s="139">
        <f t="shared" si="0"/>
        <v>-5221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-5224.6144199999999</v>
      </c>
      <c r="O12" s="139">
        <f t="shared" si="0"/>
        <v>-5233</v>
      </c>
      <c r="P12" s="139">
        <f t="shared" si="0"/>
        <v>-5221</v>
      </c>
      <c r="Q12" s="139">
        <f t="shared" si="0"/>
        <v>-5220</v>
      </c>
      <c r="R12" s="138">
        <f t="shared" si="0"/>
        <v>-1492.2417441000002</v>
      </c>
      <c r="S12" s="138">
        <f t="shared" si="0"/>
        <v>-2526.77</v>
      </c>
      <c r="T12" s="138">
        <f t="shared" si="0"/>
        <v>-1950</v>
      </c>
      <c r="U12" s="138">
        <f t="shared" si="0"/>
        <v>0</v>
      </c>
      <c r="V12" s="138">
        <f>SUM(V8:V11)</f>
        <v>-11941.4705841</v>
      </c>
      <c r="W12" s="138">
        <f t="shared" ref="W12:Y12" si="1">SUM(W8:W11)</f>
        <v>-12992.77</v>
      </c>
      <c r="X12" s="138">
        <f t="shared" si="1"/>
        <v>-12391</v>
      </c>
      <c r="Y12" s="138">
        <f t="shared" si="1"/>
        <v>-10441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318.19681800000001</v>
      </c>
      <c r="O17" s="145">
        <v>0</v>
      </c>
      <c r="P17" s="233">
        <v>954.6</v>
      </c>
      <c r="Q17" s="229">
        <v>0</v>
      </c>
      <c r="R17" s="146">
        <v>-281.19718800000004</v>
      </c>
      <c r="S17" s="56">
        <v>0</v>
      </c>
      <c r="T17" s="225">
        <v>-843.6</v>
      </c>
      <c r="U17" s="220">
        <v>0</v>
      </c>
      <c r="V17" s="144">
        <f>SUM(F17,J17,N17,R17)</f>
        <v>36.999629999999968</v>
      </c>
      <c r="W17" s="56">
        <f>SUM(G17,K17,O17,S17)</f>
        <v>0</v>
      </c>
      <c r="X17" s="225">
        <f>SUM(H17,L17,P17,T17)</f>
        <v>111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3.1833015000000002</v>
      </c>
      <c r="O20" s="147">
        <v>0</v>
      </c>
      <c r="P20" s="234">
        <v>9.5500000000000007</v>
      </c>
      <c r="Q20" s="230">
        <v>0</v>
      </c>
      <c r="R20" s="136">
        <v>-2.8133051999999998</v>
      </c>
      <c r="S20" s="148">
        <v>0</v>
      </c>
      <c r="T20" s="226">
        <v>-8.44</v>
      </c>
      <c r="U20" s="221">
        <v>0</v>
      </c>
      <c r="V20" s="135">
        <f>SUM(F20,J20,N20,R20)</f>
        <v>0.36999630000000039</v>
      </c>
      <c r="W20" s="148">
        <f>SUM(G20,K20,O20,S20)</f>
        <v>0</v>
      </c>
      <c r="X20" s="226">
        <f>SUM(H20,L20,P20,T20)</f>
        <v>1.1100000000000012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321.38011950000003</v>
      </c>
      <c r="O21" s="91">
        <f t="shared" si="2"/>
        <v>0</v>
      </c>
      <c r="P21" s="91">
        <f t="shared" si="2"/>
        <v>964.15</v>
      </c>
      <c r="Q21" s="91">
        <f t="shared" si="2"/>
        <v>0</v>
      </c>
      <c r="R21" s="78">
        <f t="shared" si="2"/>
        <v>-284.01049320000004</v>
      </c>
      <c r="S21" s="150">
        <f t="shared" si="2"/>
        <v>0</v>
      </c>
      <c r="T21" s="150">
        <f t="shared" si="2"/>
        <v>-852.04000000000008</v>
      </c>
      <c r="U21" s="150">
        <f t="shared" si="2"/>
        <v>0</v>
      </c>
      <c r="V21" s="78">
        <f t="shared" si="2"/>
        <v>37.369626299999965</v>
      </c>
      <c r="W21" s="150">
        <f t="shared" si="2"/>
        <v>0</v>
      </c>
      <c r="X21" s="150">
        <f t="shared" si="2"/>
        <v>112.11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13800</v>
      </c>
      <c r="C23" s="128">
        <v>9800</v>
      </c>
      <c r="D23" s="231">
        <v>9800</v>
      </c>
      <c r="E23" s="227">
        <v>9800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1212.0645459</v>
      </c>
      <c r="K25" s="128">
        <v>3615</v>
      </c>
      <c r="L25" s="231">
        <v>0</v>
      </c>
      <c r="M25" s="227">
        <v>21.23</v>
      </c>
      <c r="N25" s="129">
        <v>16.666499999999999</v>
      </c>
      <c r="O25" s="128">
        <v>50</v>
      </c>
      <c r="P25" s="231">
        <v>0</v>
      </c>
      <c r="Q25" s="227">
        <v>0</v>
      </c>
      <c r="R25" s="129">
        <v>2372.1262784999999</v>
      </c>
      <c r="S25" s="130">
        <v>80</v>
      </c>
      <c r="T25" s="222">
        <v>1950</v>
      </c>
      <c r="U25" s="217">
        <v>5086.45</v>
      </c>
      <c r="V25" s="127">
        <f>SUM(F25,J25,N25,R25)</f>
        <v>3600.8573243999999</v>
      </c>
      <c r="W25" s="130">
        <f>SUM(G25,K25,O25,S25)</f>
        <v>3745</v>
      </c>
      <c r="X25" s="222">
        <f>SUM(H25,L25,P25,T25)</f>
        <v>1950</v>
      </c>
      <c r="Y25" s="217">
        <f>SUM(I25,M25,Q25,U25)</f>
        <v>5107.6799999999994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1016.6998329</v>
      </c>
      <c r="K26" s="128">
        <v>2243.46</v>
      </c>
      <c r="L26" s="231">
        <v>724.27</v>
      </c>
      <c r="M26" s="227">
        <v>82.4</v>
      </c>
      <c r="N26" s="129">
        <v>299.82033510000002</v>
      </c>
      <c r="O26" s="128">
        <v>401</v>
      </c>
      <c r="P26" s="231">
        <v>206.78</v>
      </c>
      <c r="Q26" s="227">
        <v>291.69</v>
      </c>
      <c r="R26" s="129">
        <v>2436.1323051000004</v>
      </c>
      <c r="S26" s="130">
        <v>3300.8</v>
      </c>
      <c r="T26" s="222">
        <v>2643.76</v>
      </c>
      <c r="U26" s="217">
        <v>1363.91</v>
      </c>
      <c r="V26" s="127">
        <f>SUM(F26,J26,N26,R26)</f>
        <v>3752.6524731000004</v>
      </c>
      <c r="W26" s="130">
        <f>SUM(G26,K26,O26,S26)</f>
        <v>5945.26</v>
      </c>
      <c r="X26" s="222">
        <f>SUM(H26,L26,P26,T26)</f>
        <v>3574.8100000000004</v>
      </c>
      <c r="Y26" s="217">
        <f>SUM(I26,M26,Q26,U26)</f>
        <v>1738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145.66521</v>
      </c>
      <c r="K27" s="128">
        <v>0</v>
      </c>
      <c r="L27" s="231">
        <v>72</v>
      </c>
      <c r="M27" s="227">
        <v>365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145.66521</v>
      </c>
      <c r="W27" s="130">
        <f>SUM(G27,K27,O27,S27)</f>
        <v>0</v>
      </c>
      <c r="X27" s="222">
        <f>SUM(H27,L27,P27,T27)</f>
        <v>72</v>
      </c>
      <c r="Y27" s="217">
        <f>SUM(I27,M27,Q27,U27)</f>
        <v>365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3.9199608000000001</v>
      </c>
      <c r="G28" s="128">
        <v>0</v>
      </c>
      <c r="H28" s="231">
        <v>11.76</v>
      </c>
      <c r="I28" s="227">
        <v>0</v>
      </c>
      <c r="J28" s="129">
        <v>406.4826018</v>
      </c>
      <c r="K28" s="128">
        <v>829.23</v>
      </c>
      <c r="L28" s="231">
        <v>15.83</v>
      </c>
      <c r="M28" s="227">
        <v>374.4</v>
      </c>
      <c r="N28" s="129">
        <v>256.84409820000002</v>
      </c>
      <c r="O28" s="128">
        <v>50</v>
      </c>
      <c r="P28" s="231">
        <v>60.31</v>
      </c>
      <c r="Q28" s="227">
        <v>660.23</v>
      </c>
      <c r="R28" s="129">
        <v>360.94639050000001</v>
      </c>
      <c r="S28" s="130">
        <v>299.97000000000003</v>
      </c>
      <c r="T28" s="222">
        <v>159.03</v>
      </c>
      <c r="U28" s="217">
        <v>623.85</v>
      </c>
      <c r="V28" s="127">
        <f>SUM(F28,J28,N28,R28)</f>
        <v>1028.1930513</v>
      </c>
      <c r="W28" s="130">
        <f>SUM(G28,K28,O28,S28)</f>
        <v>1179.2</v>
      </c>
      <c r="X28" s="222">
        <f>SUM(H28,L28,P28,T28)</f>
        <v>246.93</v>
      </c>
      <c r="Y28" s="217">
        <f>SUM(I28,M28,Q28,U28)</f>
        <v>1658.48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-30.666360000000001</v>
      </c>
      <c r="G29" s="147">
        <v>0</v>
      </c>
      <c r="H29" s="234">
        <v>0</v>
      </c>
      <c r="I29" s="230">
        <v>-92</v>
      </c>
      <c r="J29" s="136">
        <v>54.912784200000004</v>
      </c>
      <c r="K29" s="147">
        <v>72.739999999999995</v>
      </c>
      <c r="L29" s="234">
        <v>0</v>
      </c>
      <c r="M29" s="230">
        <v>92</v>
      </c>
      <c r="N29" s="136">
        <v>139.64860350000001</v>
      </c>
      <c r="O29" s="147">
        <v>350</v>
      </c>
      <c r="P29" s="234">
        <v>0</v>
      </c>
      <c r="Q29" s="230">
        <v>68.95</v>
      </c>
      <c r="R29" s="136">
        <v>269.1906414</v>
      </c>
      <c r="S29" s="148">
        <v>807.58</v>
      </c>
      <c r="T29" s="226">
        <v>0</v>
      </c>
      <c r="U29" s="221">
        <v>0</v>
      </c>
      <c r="V29" s="135">
        <f>SUM(F29,J29,N29,R29)</f>
        <v>433.08566910000002</v>
      </c>
      <c r="W29" s="148">
        <f>SUM(G29,K29,O29,S29)</f>
        <v>1230.3200000000002</v>
      </c>
      <c r="X29" s="226">
        <f>SUM(H29,L29,P29,T29)</f>
        <v>0</v>
      </c>
      <c r="Y29" s="221">
        <f>SUM(I29,M29,Q29,U29)</f>
        <v>68.95</v>
      </c>
    </row>
    <row r="30" spans="1:25" collapsed="1">
      <c r="A30" s="62" t="s">
        <v>151</v>
      </c>
      <c r="B30" s="78">
        <f t="shared" ref="B30:Y30" si="3">SUM(B23:B29)</f>
        <v>13800</v>
      </c>
      <c r="C30" s="91">
        <f t="shared" si="3"/>
        <v>9800</v>
      </c>
      <c r="D30" s="91">
        <f t="shared" si="3"/>
        <v>9800</v>
      </c>
      <c r="E30" s="91">
        <f t="shared" si="3"/>
        <v>9800</v>
      </c>
      <c r="F30" s="78">
        <f t="shared" si="3"/>
        <v>-26.746399199999999</v>
      </c>
      <c r="G30" s="91">
        <f t="shared" si="3"/>
        <v>0</v>
      </c>
      <c r="H30" s="91">
        <f t="shared" si="3"/>
        <v>11.76</v>
      </c>
      <c r="I30" s="91">
        <f t="shared" si="3"/>
        <v>-92</v>
      </c>
      <c r="J30" s="78">
        <f t="shared" si="3"/>
        <v>2835.8249747999998</v>
      </c>
      <c r="K30" s="91">
        <f t="shared" si="3"/>
        <v>6760.43</v>
      </c>
      <c r="L30" s="91">
        <f t="shared" si="3"/>
        <v>812.1</v>
      </c>
      <c r="M30" s="91">
        <f t="shared" si="3"/>
        <v>935.03</v>
      </c>
      <c r="N30" s="78">
        <f t="shared" si="3"/>
        <v>712.97953680000001</v>
      </c>
      <c r="O30" s="91">
        <f t="shared" si="3"/>
        <v>851</v>
      </c>
      <c r="P30" s="91">
        <f t="shared" si="3"/>
        <v>267.09000000000003</v>
      </c>
      <c r="Q30" s="91">
        <f t="shared" si="3"/>
        <v>1020.8700000000001</v>
      </c>
      <c r="R30" s="78">
        <f t="shared" si="3"/>
        <v>5438.3956154999996</v>
      </c>
      <c r="S30" s="150">
        <f t="shared" si="3"/>
        <v>4488.3500000000004</v>
      </c>
      <c r="T30" s="150">
        <f t="shared" si="3"/>
        <v>4752.79</v>
      </c>
      <c r="U30" s="150">
        <f t="shared" si="3"/>
        <v>7074.21</v>
      </c>
      <c r="V30" s="78">
        <f t="shared" si="3"/>
        <v>8960.4537279000015</v>
      </c>
      <c r="W30" s="150">
        <f t="shared" si="3"/>
        <v>12099.78</v>
      </c>
      <c r="X30" s="150">
        <f t="shared" si="3"/>
        <v>5843.7400000000007</v>
      </c>
      <c r="Y30" s="150">
        <f t="shared" si="3"/>
        <v>8938.11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974</v>
      </c>
      <c r="C40" s="128">
        <v>616</v>
      </c>
      <c r="D40" s="231">
        <v>592</v>
      </c>
      <c r="E40" s="227">
        <v>592</v>
      </c>
      <c r="F40" s="129">
        <v>-1.6066506</v>
      </c>
      <c r="G40" s="128">
        <v>0</v>
      </c>
      <c r="H40" s="231">
        <v>0.74</v>
      </c>
      <c r="I40" s="227">
        <v>-5.56</v>
      </c>
      <c r="J40" s="129">
        <v>188.1881181</v>
      </c>
      <c r="K40" s="128">
        <v>457.01</v>
      </c>
      <c r="L40" s="231">
        <v>51.08</v>
      </c>
      <c r="M40" s="227">
        <v>56.48</v>
      </c>
      <c r="N40" s="129">
        <v>65.542677900000001</v>
      </c>
      <c r="O40" s="128">
        <v>57.53</v>
      </c>
      <c r="P40" s="231">
        <v>77.44</v>
      </c>
      <c r="Q40" s="227">
        <v>61.66</v>
      </c>
      <c r="R40" s="129">
        <v>325.35674640000002</v>
      </c>
      <c r="S40" s="130">
        <v>303.42</v>
      </c>
      <c r="T40" s="222">
        <v>245.37</v>
      </c>
      <c r="U40" s="217">
        <v>427.29</v>
      </c>
      <c r="V40" s="127">
        <f>SUM(F40,J40,N40,R40)</f>
        <v>577.48089179999999</v>
      </c>
      <c r="W40" s="130">
        <f>SUM(G40,K40,O40,S40)</f>
        <v>817.96</v>
      </c>
      <c r="X40" s="222">
        <f>SUM(H40,L40,P40,T40)</f>
        <v>374.63</v>
      </c>
      <c r="Y40" s="217">
        <f>SUM(I40,M40,Q40,U40)</f>
        <v>539.87</v>
      </c>
    </row>
    <row r="41" spans="1:25" hidden="1" outlineLevel="1">
      <c r="A41" s="134" t="s">
        <v>161</v>
      </c>
      <c r="B41" s="135">
        <v>86</v>
      </c>
      <c r="C41" s="147">
        <v>50</v>
      </c>
      <c r="D41" s="234">
        <v>49</v>
      </c>
      <c r="E41" s="230">
        <v>49</v>
      </c>
      <c r="F41" s="136">
        <v>-0.13333200000000001</v>
      </c>
      <c r="G41" s="147">
        <v>0</v>
      </c>
      <c r="H41" s="234">
        <v>0.06</v>
      </c>
      <c r="I41" s="230">
        <v>-0.46</v>
      </c>
      <c r="J41" s="136">
        <v>16.916497500000002</v>
      </c>
      <c r="K41" s="147">
        <v>41.92</v>
      </c>
      <c r="L41" s="234">
        <v>4.1500000000000004</v>
      </c>
      <c r="M41" s="230">
        <v>4.68</v>
      </c>
      <c r="N41" s="136">
        <v>5.5532778</v>
      </c>
      <c r="O41" s="147">
        <v>5.28</v>
      </c>
      <c r="P41" s="234">
        <v>6.28</v>
      </c>
      <c r="Q41" s="230">
        <v>5.0999999999999996</v>
      </c>
      <c r="R41" s="136">
        <v>27.699722999999999</v>
      </c>
      <c r="S41" s="148">
        <v>27.83</v>
      </c>
      <c r="T41" s="226">
        <v>19.899999999999999</v>
      </c>
      <c r="U41" s="221">
        <v>35.369999999999997</v>
      </c>
      <c r="V41" s="135">
        <f>SUM(F41,J41,N41,R41)</f>
        <v>50.036166300000005</v>
      </c>
      <c r="W41" s="148">
        <f>SUM(G41,K41,O41,S41)</f>
        <v>75.03</v>
      </c>
      <c r="X41" s="226">
        <f>SUM(H41,L41,P41,T41)</f>
        <v>30.39</v>
      </c>
      <c r="Y41" s="221">
        <f>SUM(I41,M41,Q41,U41)</f>
        <v>44.69</v>
      </c>
    </row>
    <row r="42" spans="1:25" collapsed="1">
      <c r="A42" s="62" t="s">
        <v>162</v>
      </c>
      <c r="B42" s="78">
        <f t="shared" ref="B42:Y42" si="5">SUM(B36:B41)</f>
        <v>1060</v>
      </c>
      <c r="C42" s="149">
        <f t="shared" si="5"/>
        <v>666</v>
      </c>
      <c r="D42" s="149">
        <f t="shared" si="5"/>
        <v>641</v>
      </c>
      <c r="E42" s="149">
        <f t="shared" si="5"/>
        <v>641</v>
      </c>
      <c r="F42" s="151">
        <f t="shared" si="5"/>
        <v>-1.7399826</v>
      </c>
      <c r="G42" s="149">
        <f t="shared" si="5"/>
        <v>0</v>
      </c>
      <c r="H42" s="149">
        <f t="shared" si="5"/>
        <v>0.8</v>
      </c>
      <c r="I42" s="149">
        <f t="shared" si="5"/>
        <v>-6.02</v>
      </c>
      <c r="J42" s="151">
        <f t="shared" si="5"/>
        <v>205.10461559999999</v>
      </c>
      <c r="K42" s="149">
        <f t="shared" si="5"/>
        <v>498.93</v>
      </c>
      <c r="L42" s="149">
        <f t="shared" si="5"/>
        <v>55.23</v>
      </c>
      <c r="M42" s="149">
        <f t="shared" si="5"/>
        <v>61.16</v>
      </c>
      <c r="N42" s="151">
        <f t="shared" si="5"/>
        <v>71.095955700000005</v>
      </c>
      <c r="O42" s="149">
        <f t="shared" si="5"/>
        <v>62.81</v>
      </c>
      <c r="P42" s="149">
        <f t="shared" si="5"/>
        <v>83.72</v>
      </c>
      <c r="Q42" s="149">
        <f t="shared" si="5"/>
        <v>66.759999999999991</v>
      </c>
      <c r="R42" s="151">
        <f t="shared" si="5"/>
        <v>353.05646940000003</v>
      </c>
      <c r="S42" s="152">
        <f t="shared" si="5"/>
        <v>331.25</v>
      </c>
      <c r="T42" s="152">
        <f t="shared" si="5"/>
        <v>265.27</v>
      </c>
      <c r="U42" s="152">
        <f t="shared" si="5"/>
        <v>462.66</v>
      </c>
      <c r="V42" s="78">
        <f t="shared" si="5"/>
        <v>627.51705809999999</v>
      </c>
      <c r="W42" s="152">
        <f t="shared" si="5"/>
        <v>892.99</v>
      </c>
      <c r="X42" s="152">
        <f t="shared" si="5"/>
        <v>405.02</v>
      </c>
      <c r="Y42" s="152">
        <f t="shared" si="5"/>
        <v>584.55999999999995</v>
      </c>
    </row>
    <row r="43" spans="1:25" ht="16.2" thickBot="1">
      <c r="A43" s="137" t="s">
        <v>163</v>
      </c>
      <c r="B43" s="138">
        <f>SUM(B21,B30,B34,B42)</f>
        <v>14860</v>
      </c>
      <c r="C43" s="139">
        <f t="shared" ref="C43:U43" si="6">SUM(C21,C30,C34,C42)</f>
        <v>10466</v>
      </c>
      <c r="D43" s="139">
        <f t="shared" si="6"/>
        <v>10441</v>
      </c>
      <c r="E43" s="139">
        <f t="shared" si="6"/>
        <v>10441</v>
      </c>
      <c r="F43" s="138">
        <f t="shared" si="6"/>
        <v>-28.4863818</v>
      </c>
      <c r="G43" s="139">
        <f t="shared" si="6"/>
        <v>0</v>
      </c>
      <c r="H43" s="139">
        <f t="shared" si="6"/>
        <v>12.56</v>
      </c>
      <c r="I43" s="139">
        <f t="shared" si="6"/>
        <v>-98.02</v>
      </c>
      <c r="J43" s="138">
        <f t="shared" si="6"/>
        <v>3040.9295904000001</v>
      </c>
      <c r="K43" s="139">
        <f t="shared" si="6"/>
        <v>7259.3600000000006</v>
      </c>
      <c r="L43" s="139">
        <f t="shared" si="6"/>
        <v>867.33</v>
      </c>
      <c r="M43" s="139">
        <f t="shared" si="6"/>
        <v>996.18999999999994</v>
      </c>
      <c r="N43" s="138">
        <f t="shared" si="6"/>
        <v>1105.4556120000002</v>
      </c>
      <c r="O43" s="139">
        <f t="shared" si="6"/>
        <v>913.81</v>
      </c>
      <c r="P43" s="139">
        <f t="shared" si="6"/>
        <v>1314.96</v>
      </c>
      <c r="Q43" s="139">
        <f t="shared" si="6"/>
        <v>1087.6300000000001</v>
      </c>
      <c r="R43" s="138">
        <f t="shared" si="6"/>
        <v>5507.4415916999997</v>
      </c>
      <c r="S43" s="138">
        <f t="shared" si="6"/>
        <v>4819.6000000000004</v>
      </c>
      <c r="T43" s="138">
        <f t="shared" si="6"/>
        <v>4166.0200000000004</v>
      </c>
      <c r="U43" s="138">
        <f t="shared" si="6"/>
        <v>7536.87</v>
      </c>
      <c r="V43" s="138">
        <f>SUM(V21,V30,V34,V42)</f>
        <v>9625.3404123000018</v>
      </c>
      <c r="W43" s="138">
        <f t="shared" ref="W43:Y43" si="7">SUM(W21,W30,W34,W42)</f>
        <v>12992.77</v>
      </c>
      <c r="X43" s="138">
        <f t="shared" si="7"/>
        <v>6360.8700000000008</v>
      </c>
      <c r="Y43" s="138">
        <f t="shared" si="7"/>
        <v>9522.67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2316.1335051000001</v>
      </c>
      <c r="S45" s="142">
        <v>0</v>
      </c>
      <c r="T45" s="224">
        <v>6030.13</v>
      </c>
      <c r="U45" s="219">
        <v>918.34</v>
      </c>
      <c r="V45" s="141">
        <f>SUM(F45,J45,N45,R45)</f>
        <v>2316.1335051000001</v>
      </c>
      <c r="W45" s="142">
        <f>SUM(G45,K45,O45,S45)</f>
        <v>0</v>
      </c>
      <c r="X45" s="224">
        <f>SUM(H45,L45,P45,T45)</f>
        <v>6030.13</v>
      </c>
      <c r="Y45" s="219">
        <f>SUM(I45,M45,Q45,U45)</f>
        <v>918.34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2316.1335051000001</v>
      </c>
      <c r="S47" s="150">
        <f t="shared" si="8"/>
        <v>0</v>
      </c>
      <c r="T47" s="150">
        <f t="shared" si="8"/>
        <v>6030.13</v>
      </c>
      <c r="U47" s="150">
        <f t="shared" si="8"/>
        <v>918.34</v>
      </c>
      <c r="V47" s="153">
        <f t="shared" si="8"/>
        <v>2316.1335051000001</v>
      </c>
      <c r="W47" s="150">
        <f t="shared" si="8"/>
        <v>0</v>
      </c>
      <c r="X47" s="150">
        <f t="shared" si="8"/>
        <v>6030.13</v>
      </c>
      <c r="Y47" s="150">
        <f t="shared" si="8"/>
        <v>918.34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-5253.1008018000002</v>
      </c>
      <c r="G48" s="139">
        <f t="shared" si="9"/>
        <v>-5233</v>
      </c>
      <c r="H48" s="139">
        <f t="shared" si="9"/>
        <v>-5207.4399999999996</v>
      </c>
      <c r="I48" s="139">
        <f t="shared" si="9"/>
        <v>-5319.02</v>
      </c>
      <c r="J48" s="138">
        <f t="shared" si="9"/>
        <v>3040.9295904000001</v>
      </c>
      <c r="K48" s="139">
        <f t="shared" si="9"/>
        <v>7259.3600000000006</v>
      </c>
      <c r="L48" s="139">
        <f t="shared" si="9"/>
        <v>867.33</v>
      </c>
      <c r="M48" s="139">
        <f t="shared" si="9"/>
        <v>996.18999999999994</v>
      </c>
      <c r="N48" s="138">
        <f t="shared" si="9"/>
        <v>-4119.1588080000001</v>
      </c>
      <c r="O48" s="139">
        <f t="shared" si="9"/>
        <v>-4319.1900000000005</v>
      </c>
      <c r="P48" s="139">
        <f t="shared" si="9"/>
        <v>-3906.04</v>
      </c>
      <c r="Q48" s="139">
        <f t="shared" si="9"/>
        <v>-4132.37</v>
      </c>
      <c r="R48" s="138">
        <f t="shared" si="9"/>
        <v>6331.3333526999995</v>
      </c>
      <c r="S48" s="138">
        <f t="shared" si="9"/>
        <v>2292.8300000000004</v>
      </c>
      <c r="T48" s="138">
        <f t="shared" si="9"/>
        <v>8246.1500000000015</v>
      </c>
      <c r="U48" s="138">
        <f t="shared" si="9"/>
        <v>8455.2099999999991</v>
      </c>
      <c r="V48" s="138">
        <f>SUM(V12,V43,V47)</f>
        <v>3.3333000023958448E-3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1.0000000000104592E-2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33" priority="13" operator="lessThan">
      <formula>-0.01</formula>
    </cfRule>
  </conditionalFormatting>
  <conditionalFormatting sqref="Y15:Y21 Y23:Y30 Y32:Y34 Y36:Y43">
    <cfRule type="cellIs" dxfId="232" priority="12" operator="lessThan">
      <formula>-0.01</formula>
    </cfRule>
  </conditionalFormatting>
  <conditionalFormatting sqref="X15:X21 X23:X30 X32:X34 X36:X43">
    <cfRule type="cellIs" dxfId="231" priority="11" operator="lessThan">
      <formula>-0.01</formula>
    </cfRule>
  </conditionalFormatting>
  <conditionalFormatting sqref="U15:U21 U23:U30 U32:U34 U36:U43">
    <cfRule type="cellIs" dxfId="230" priority="10" operator="lessThan">
      <formula>-0.01</formula>
    </cfRule>
  </conditionalFormatting>
  <conditionalFormatting sqref="T15:T21 T23:T30 T32:T34 T36:T43">
    <cfRule type="cellIs" dxfId="229" priority="9" operator="lessThan">
      <formula>-0.01</formula>
    </cfRule>
  </conditionalFormatting>
  <conditionalFormatting sqref="Q15:Q21 Q23:Q30 Q32:Q34 Q36:Q43">
    <cfRule type="cellIs" dxfId="228" priority="8" operator="lessThan">
      <formula>-0.01</formula>
    </cfRule>
  </conditionalFormatting>
  <conditionalFormatting sqref="P15:P21 P23:P30 P32:P34 P36:P43">
    <cfRule type="cellIs" dxfId="227" priority="7" operator="lessThan">
      <formula>-0.01</formula>
    </cfRule>
  </conditionalFormatting>
  <conditionalFormatting sqref="M15:M21 M23:M30 M32:M34 M36:M43">
    <cfRule type="cellIs" dxfId="226" priority="6" operator="lessThan">
      <formula>-0.01</formula>
    </cfRule>
  </conditionalFormatting>
  <conditionalFormatting sqref="L15:L21 L23:L30 L32:L34 L36:L43">
    <cfRule type="cellIs" dxfId="225" priority="5" operator="lessThan">
      <formula>-0.01</formula>
    </cfRule>
  </conditionalFormatting>
  <conditionalFormatting sqref="I15:I21 I23:I30 I32:I34 I36:I43">
    <cfRule type="cellIs" dxfId="224" priority="4" operator="lessThan">
      <formula>-0.01</formula>
    </cfRule>
  </conditionalFormatting>
  <conditionalFormatting sqref="H15:H21 H23:H30 H32:H34 H36:H43">
    <cfRule type="cellIs" dxfId="223" priority="3" operator="lessThan">
      <formula>-0.01</formula>
    </cfRule>
  </conditionalFormatting>
  <conditionalFormatting sqref="E15:E21 E23:E30 E32:E34 E36:E43">
    <cfRule type="cellIs" dxfId="222" priority="2" operator="lessThan">
      <formula>-0.01</formula>
    </cfRule>
  </conditionalFormatting>
  <conditionalFormatting sqref="D15:D21 D23:D30 D32:D34 D36:D43">
    <cfRule type="cellIs" dxfId="221" priority="1" operator="lessThan">
      <formula>-0.01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359B6-05CC-42F9-B27E-65196AA68EC9}">
  <sheetPr codeName="Sheet77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718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0</v>
      </c>
      <c r="D8" s="231">
        <v>0</v>
      </c>
      <c r="E8" s="227">
        <v>0</v>
      </c>
      <c r="F8" s="129">
        <v>0</v>
      </c>
      <c r="G8" s="128">
        <v>0</v>
      </c>
      <c r="H8" s="231">
        <v>0</v>
      </c>
      <c r="I8" s="227">
        <v>0</v>
      </c>
      <c r="J8" s="129">
        <v>0</v>
      </c>
      <c r="K8" s="128">
        <v>0</v>
      </c>
      <c r="L8" s="231">
        <v>0</v>
      </c>
      <c r="M8" s="227">
        <v>0</v>
      </c>
      <c r="N8" s="129">
        <v>0</v>
      </c>
      <c r="O8" s="128">
        <v>0</v>
      </c>
      <c r="P8" s="231">
        <v>0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0</v>
      </c>
      <c r="W8" s="130">
        <f>SUM(G8,K8,O8,S8)</f>
        <v>0</v>
      </c>
      <c r="X8" s="222">
        <f>SUM(H8,L8,P8,T8)</f>
        <v>0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-125701.30297440001</v>
      </c>
      <c r="S11" s="133">
        <v>-127865.01</v>
      </c>
      <c r="T11" s="223">
        <v>-128949.1</v>
      </c>
      <c r="U11" s="218">
        <v>-120293.57</v>
      </c>
      <c r="V11" s="135">
        <f>SUM(F11,J11,N11,R11)</f>
        <v>-125701.30297440001</v>
      </c>
      <c r="W11" s="133">
        <f>SUM(G11,K11,O11,S11)</f>
        <v>-127865.01</v>
      </c>
      <c r="X11" s="223">
        <f>SUM(H11,L11,P11,T11)</f>
        <v>-128949.1</v>
      </c>
      <c r="Y11" s="218">
        <f>SUM(I11,M11,Q11,U11)</f>
        <v>-120293.57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0</v>
      </c>
      <c r="D12" s="139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9">
        <f t="shared" si="0"/>
        <v>0</v>
      </c>
      <c r="I12" s="139">
        <f t="shared" si="0"/>
        <v>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0</v>
      </c>
      <c r="O12" s="139">
        <f t="shared" si="0"/>
        <v>0</v>
      </c>
      <c r="P12" s="139">
        <f t="shared" si="0"/>
        <v>0</v>
      </c>
      <c r="Q12" s="139">
        <f t="shared" si="0"/>
        <v>0</v>
      </c>
      <c r="R12" s="138">
        <f t="shared" si="0"/>
        <v>-125701.30297440001</v>
      </c>
      <c r="S12" s="138">
        <f t="shared" si="0"/>
        <v>-127865.01</v>
      </c>
      <c r="T12" s="138">
        <f t="shared" si="0"/>
        <v>-128949.1</v>
      </c>
      <c r="U12" s="138">
        <f t="shared" si="0"/>
        <v>-120293.57</v>
      </c>
      <c r="V12" s="138">
        <f>SUM(V8:V11)</f>
        <v>-125701.30297440001</v>
      </c>
      <c r="W12" s="138">
        <f t="shared" ref="W12:Y12" si="1">SUM(W8:W11)</f>
        <v>-127865.01</v>
      </c>
      <c r="X12" s="138">
        <f t="shared" si="1"/>
        <v>-128949.1</v>
      </c>
      <c r="Y12" s="138">
        <f t="shared" si="1"/>
        <v>-120293.57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0</v>
      </c>
      <c r="W30" s="150">
        <f t="shared" si="3"/>
        <v>0</v>
      </c>
      <c r="X30" s="150">
        <f t="shared" si="3"/>
        <v>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0</v>
      </c>
      <c r="E40" s="227">
        <v>0</v>
      </c>
      <c r="F40" s="129">
        <v>0</v>
      </c>
      <c r="G40" s="128">
        <v>0</v>
      </c>
      <c r="H40" s="231">
        <v>0</v>
      </c>
      <c r="I40" s="227">
        <v>0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0</v>
      </c>
      <c r="S40" s="130">
        <v>0</v>
      </c>
      <c r="T40" s="222">
        <v>0</v>
      </c>
      <c r="U40" s="217">
        <v>0</v>
      </c>
      <c r="V40" s="127">
        <f>SUM(F40,J40,N40,R40)</f>
        <v>0</v>
      </c>
      <c r="W40" s="130">
        <f>SUM(G40,K40,O40,S40)</f>
        <v>0</v>
      </c>
      <c r="X40" s="222">
        <f>SUM(H40,L40,P40,T40)</f>
        <v>0</v>
      </c>
      <c r="Y40" s="217">
        <f>SUM(I40,M40,Q40,U40)</f>
        <v>0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0</v>
      </c>
      <c r="E41" s="230">
        <v>0</v>
      </c>
      <c r="F41" s="136">
        <v>0</v>
      </c>
      <c r="G41" s="147">
        <v>0</v>
      </c>
      <c r="H41" s="234">
        <v>0</v>
      </c>
      <c r="I41" s="230">
        <v>0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</v>
      </c>
      <c r="S41" s="148">
        <v>0</v>
      </c>
      <c r="T41" s="226">
        <v>0</v>
      </c>
      <c r="U41" s="221">
        <v>0</v>
      </c>
      <c r="V41" s="135">
        <f>SUM(F41,J41,N41,R41)</f>
        <v>0</v>
      </c>
      <c r="W41" s="148">
        <f>SUM(G41,K41,O41,S41)</f>
        <v>0</v>
      </c>
      <c r="X41" s="226">
        <f>SUM(H41,L41,P41,T41)</f>
        <v>0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0</v>
      </c>
      <c r="E42" s="149">
        <f t="shared" si="5"/>
        <v>0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0</v>
      </c>
      <c r="S42" s="152">
        <f t="shared" si="5"/>
        <v>0</v>
      </c>
      <c r="T42" s="152">
        <f t="shared" si="5"/>
        <v>0</v>
      </c>
      <c r="U42" s="152">
        <f t="shared" si="5"/>
        <v>0</v>
      </c>
      <c r="V42" s="78">
        <f t="shared" si="5"/>
        <v>0</v>
      </c>
      <c r="W42" s="152">
        <f t="shared" si="5"/>
        <v>0</v>
      </c>
      <c r="X42" s="152">
        <f t="shared" si="5"/>
        <v>0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0</v>
      </c>
      <c r="E43" s="139">
        <f t="shared" si="6"/>
        <v>0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0</v>
      </c>
      <c r="S43" s="138">
        <f t="shared" si="6"/>
        <v>0</v>
      </c>
      <c r="T43" s="138">
        <f t="shared" si="6"/>
        <v>0</v>
      </c>
      <c r="U43" s="138">
        <f t="shared" si="6"/>
        <v>0</v>
      </c>
      <c r="V43" s="138">
        <f>SUM(V21,V30,V34,V42)</f>
        <v>0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55944.767213400002</v>
      </c>
      <c r="G45" s="128">
        <v>121556.98</v>
      </c>
      <c r="H45" s="231">
        <v>46279</v>
      </c>
      <c r="I45" s="227">
        <v>0</v>
      </c>
      <c r="J45" s="129">
        <v>10824.22509</v>
      </c>
      <c r="K45" s="128">
        <v>0</v>
      </c>
      <c r="L45" s="231">
        <v>0</v>
      </c>
      <c r="M45" s="227">
        <v>32473</v>
      </c>
      <c r="N45" s="129">
        <v>2697.9730199999999</v>
      </c>
      <c r="O45" s="128">
        <v>8094</v>
      </c>
      <c r="P45" s="231">
        <v>0</v>
      </c>
      <c r="Q45" s="227">
        <v>0</v>
      </c>
      <c r="R45" s="129">
        <v>17497.581689099999</v>
      </c>
      <c r="S45" s="142">
        <v>9217.16</v>
      </c>
      <c r="T45" s="224">
        <v>12737.71</v>
      </c>
      <c r="U45" s="219">
        <v>30538.400000000001</v>
      </c>
      <c r="V45" s="141">
        <f>SUM(F45,J45,N45,R45)</f>
        <v>86964.547012500014</v>
      </c>
      <c r="W45" s="142">
        <f>SUM(G45,K45,O45,S45)</f>
        <v>138868.13999999998</v>
      </c>
      <c r="X45" s="224">
        <f>SUM(H45,L45,P45,T45)</f>
        <v>59016.71</v>
      </c>
      <c r="Y45" s="219">
        <f>SUM(I45,M45,Q45,U45)</f>
        <v>63011.4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55944.767213400002</v>
      </c>
      <c r="G47" s="91">
        <f t="shared" si="8"/>
        <v>121556.98</v>
      </c>
      <c r="H47" s="91">
        <f t="shared" si="8"/>
        <v>46279</v>
      </c>
      <c r="I47" s="91">
        <f t="shared" si="8"/>
        <v>0</v>
      </c>
      <c r="J47" s="78">
        <f t="shared" si="8"/>
        <v>10824.22509</v>
      </c>
      <c r="K47" s="91">
        <f t="shared" si="8"/>
        <v>0</v>
      </c>
      <c r="L47" s="91">
        <f t="shared" si="8"/>
        <v>0</v>
      </c>
      <c r="M47" s="91">
        <f t="shared" si="8"/>
        <v>32473</v>
      </c>
      <c r="N47" s="78">
        <f t="shared" si="8"/>
        <v>2697.9730199999999</v>
      </c>
      <c r="O47" s="91">
        <f t="shared" si="8"/>
        <v>8094</v>
      </c>
      <c r="P47" s="91">
        <f t="shared" si="8"/>
        <v>0</v>
      </c>
      <c r="Q47" s="91">
        <f t="shared" si="8"/>
        <v>0</v>
      </c>
      <c r="R47" s="78">
        <f t="shared" si="8"/>
        <v>17497.581689099999</v>
      </c>
      <c r="S47" s="150">
        <f t="shared" si="8"/>
        <v>9217.16</v>
      </c>
      <c r="T47" s="150">
        <f t="shared" si="8"/>
        <v>12737.71</v>
      </c>
      <c r="U47" s="150">
        <f t="shared" si="8"/>
        <v>30538.400000000001</v>
      </c>
      <c r="V47" s="153">
        <f t="shared" si="8"/>
        <v>86964.547012500014</v>
      </c>
      <c r="W47" s="150">
        <f t="shared" si="8"/>
        <v>138868.13999999998</v>
      </c>
      <c r="X47" s="150">
        <f t="shared" si="8"/>
        <v>59016.71</v>
      </c>
      <c r="Y47" s="150">
        <f t="shared" si="8"/>
        <v>63011.4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55944.767213400002</v>
      </c>
      <c r="G48" s="139">
        <f t="shared" si="9"/>
        <v>121556.98</v>
      </c>
      <c r="H48" s="139">
        <f t="shared" si="9"/>
        <v>46279</v>
      </c>
      <c r="I48" s="139">
        <f t="shared" si="9"/>
        <v>0</v>
      </c>
      <c r="J48" s="138">
        <f t="shared" si="9"/>
        <v>10824.22509</v>
      </c>
      <c r="K48" s="139">
        <f t="shared" si="9"/>
        <v>0</v>
      </c>
      <c r="L48" s="139">
        <f t="shared" si="9"/>
        <v>0</v>
      </c>
      <c r="M48" s="139">
        <f t="shared" si="9"/>
        <v>32473</v>
      </c>
      <c r="N48" s="138">
        <f t="shared" si="9"/>
        <v>2697.9730199999999</v>
      </c>
      <c r="O48" s="139">
        <f t="shared" si="9"/>
        <v>8094</v>
      </c>
      <c r="P48" s="139">
        <f t="shared" si="9"/>
        <v>0</v>
      </c>
      <c r="Q48" s="139">
        <f t="shared" si="9"/>
        <v>0</v>
      </c>
      <c r="R48" s="138">
        <f t="shared" si="9"/>
        <v>-108203.72128530001</v>
      </c>
      <c r="S48" s="138">
        <f t="shared" si="9"/>
        <v>-118647.84999999999</v>
      </c>
      <c r="T48" s="138">
        <f t="shared" si="9"/>
        <v>-116211.39000000001</v>
      </c>
      <c r="U48" s="138">
        <f t="shared" si="9"/>
        <v>-89755.170000000013</v>
      </c>
      <c r="V48" s="138">
        <f>SUM(V12,V43,V47)</f>
        <v>-38736.755961899995</v>
      </c>
      <c r="W48" s="138">
        <f t="shared" ref="W48:Y48" si="10">SUM(W12,W43,W47)</f>
        <v>11003.12999999999</v>
      </c>
      <c r="X48" s="138">
        <f t="shared" si="10"/>
        <v>-69932.390000000014</v>
      </c>
      <c r="Y48" s="138">
        <f t="shared" si="10"/>
        <v>-57282.170000000006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20" priority="13" operator="lessThan">
      <formula>-0.01</formula>
    </cfRule>
  </conditionalFormatting>
  <conditionalFormatting sqref="Y15:Y21 Y23:Y30 Y32:Y34 Y36:Y43">
    <cfRule type="cellIs" dxfId="219" priority="12" operator="lessThan">
      <formula>-0.01</formula>
    </cfRule>
  </conditionalFormatting>
  <conditionalFormatting sqref="X15:X21 X23:X30 X32:X34 X36:X43">
    <cfRule type="cellIs" dxfId="218" priority="11" operator="lessThan">
      <formula>-0.01</formula>
    </cfRule>
  </conditionalFormatting>
  <conditionalFormatting sqref="U15:U21 U23:U30 U32:U34 U36:U43">
    <cfRule type="cellIs" dxfId="217" priority="10" operator="lessThan">
      <formula>-0.01</formula>
    </cfRule>
  </conditionalFormatting>
  <conditionalFormatting sqref="T15:T21 T23:T30 T32:T34 T36:T43">
    <cfRule type="cellIs" dxfId="216" priority="9" operator="lessThan">
      <formula>-0.01</formula>
    </cfRule>
  </conditionalFormatting>
  <conditionalFormatting sqref="Q15:Q21 Q23:Q30 Q32:Q34 Q36:Q43">
    <cfRule type="cellIs" dxfId="215" priority="8" operator="lessThan">
      <formula>-0.01</formula>
    </cfRule>
  </conditionalFormatting>
  <conditionalFormatting sqref="P15:P21 P23:P30 P32:P34 P36:P43">
    <cfRule type="cellIs" dxfId="214" priority="7" operator="lessThan">
      <formula>-0.01</formula>
    </cfRule>
  </conditionalFormatting>
  <conditionalFormatting sqref="M15:M21 M23:M30 M32:M34 M36:M43">
    <cfRule type="cellIs" dxfId="213" priority="6" operator="lessThan">
      <formula>-0.01</formula>
    </cfRule>
  </conditionalFormatting>
  <conditionalFormatting sqref="L15:L21 L23:L30 L32:L34 L36:L43">
    <cfRule type="cellIs" dxfId="212" priority="5" operator="lessThan">
      <formula>-0.01</formula>
    </cfRule>
  </conditionalFormatting>
  <conditionalFormatting sqref="I15:I21 I23:I30 I32:I34 I36:I43">
    <cfRule type="cellIs" dxfId="211" priority="4" operator="lessThan">
      <formula>-0.01</formula>
    </cfRule>
  </conditionalFormatting>
  <conditionalFormatting sqref="H15:H21 H23:H30 H32:H34 H36:H43">
    <cfRule type="cellIs" dxfId="210" priority="3" operator="lessThan">
      <formula>-0.01</formula>
    </cfRule>
  </conditionalFormatting>
  <conditionalFormatting sqref="E15:E21 E23:E30 E32:E34 E36:E43">
    <cfRule type="cellIs" dxfId="209" priority="2" operator="lessThan">
      <formula>-0.01</formula>
    </cfRule>
  </conditionalFormatting>
  <conditionalFormatting sqref="D15:D21 D23:D30 D32:D34 D36:D43">
    <cfRule type="cellIs" dxfId="208" priority="1" operator="lessThan">
      <formula>-0.01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3268C-8995-4977-9509-EE8D030611F6}">
  <sheetPr codeName="Sheet78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720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-5384</v>
      </c>
      <c r="C8" s="128">
        <v>-5340</v>
      </c>
      <c r="D8" s="231">
        <v>-5327</v>
      </c>
      <c r="E8" s="227">
        <v>-5327</v>
      </c>
      <c r="F8" s="129">
        <v>-2665.6400100000001</v>
      </c>
      <c r="G8" s="128">
        <v>-2670</v>
      </c>
      <c r="H8" s="231">
        <v>-2663</v>
      </c>
      <c r="I8" s="227">
        <v>-2664</v>
      </c>
      <c r="J8" s="129">
        <v>0</v>
      </c>
      <c r="K8" s="128">
        <v>0</v>
      </c>
      <c r="L8" s="231">
        <v>0</v>
      </c>
      <c r="M8" s="227">
        <v>0</v>
      </c>
      <c r="N8" s="129">
        <v>-2665.6400100000001</v>
      </c>
      <c r="O8" s="128">
        <v>-2670</v>
      </c>
      <c r="P8" s="231">
        <v>-2664</v>
      </c>
      <c r="Q8" s="227">
        <v>-2663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-5331.2800200000001</v>
      </c>
      <c r="W8" s="130">
        <f>SUM(G8,K8,O8,S8)</f>
        <v>-5340</v>
      </c>
      <c r="X8" s="222">
        <f>SUM(H8,L8,P8,T8)</f>
        <v>-5327</v>
      </c>
      <c r="Y8" s="217">
        <f>SUM(I8,M8,Q8,U8)</f>
        <v>-5327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-5384</v>
      </c>
      <c r="C12" s="139">
        <f t="shared" ref="C12:U12" si="0">SUM(C8:C11)</f>
        <v>-5340</v>
      </c>
      <c r="D12" s="139">
        <f t="shared" si="0"/>
        <v>-5327</v>
      </c>
      <c r="E12" s="139">
        <f t="shared" si="0"/>
        <v>-5327</v>
      </c>
      <c r="F12" s="138">
        <f t="shared" si="0"/>
        <v>-2665.6400100000001</v>
      </c>
      <c r="G12" s="139">
        <f t="shared" si="0"/>
        <v>-2670</v>
      </c>
      <c r="H12" s="139">
        <f t="shared" si="0"/>
        <v>-2663</v>
      </c>
      <c r="I12" s="139">
        <f t="shared" si="0"/>
        <v>-2664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-2665.6400100000001</v>
      </c>
      <c r="O12" s="139">
        <f t="shared" si="0"/>
        <v>-2670</v>
      </c>
      <c r="P12" s="139">
        <f t="shared" si="0"/>
        <v>-2664</v>
      </c>
      <c r="Q12" s="139">
        <f t="shared" si="0"/>
        <v>-2663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-5331.2800200000001</v>
      </c>
      <c r="W12" s="138">
        <f t="shared" ref="W12:Y12" si="1">SUM(W8:W11)</f>
        <v>-5340</v>
      </c>
      <c r="X12" s="138">
        <f t="shared" si="1"/>
        <v>-5327</v>
      </c>
      <c r="Y12" s="138">
        <f t="shared" si="1"/>
        <v>-5327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249.9975</v>
      </c>
      <c r="G26" s="128">
        <v>0</v>
      </c>
      <c r="H26" s="231">
        <v>750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249.9975</v>
      </c>
      <c r="W26" s="130">
        <f>SUM(G26,K26,O26,S26)</f>
        <v>0</v>
      </c>
      <c r="X26" s="222">
        <f>SUM(H26,L26,P26,T26)</f>
        <v>750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293.3304</v>
      </c>
      <c r="G29" s="147">
        <v>880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293.3304</v>
      </c>
      <c r="W29" s="148">
        <f>SUM(G29,K29,O29,S29)</f>
        <v>880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543.3279</v>
      </c>
      <c r="G30" s="91">
        <f t="shared" si="3"/>
        <v>880</v>
      </c>
      <c r="H30" s="91">
        <f t="shared" si="3"/>
        <v>750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543.3279</v>
      </c>
      <c r="W30" s="150">
        <f t="shared" si="3"/>
        <v>880</v>
      </c>
      <c r="X30" s="150">
        <f t="shared" si="3"/>
        <v>750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5000</v>
      </c>
      <c r="C32" s="128">
        <v>5000</v>
      </c>
      <c r="D32" s="231">
        <v>5000</v>
      </c>
      <c r="E32" s="227">
        <v>5000</v>
      </c>
      <c r="F32" s="129">
        <v>549.99116670000001</v>
      </c>
      <c r="G32" s="128">
        <v>583.01</v>
      </c>
      <c r="H32" s="231">
        <v>1066.98</v>
      </c>
      <c r="I32" s="227">
        <v>0</v>
      </c>
      <c r="J32" s="129">
        <v>42.1395786</v>
      </c>
      <c r="K32" s="128">
        <v>0</v>
      </c>
      <c r="L32" s="231">
        <v>0</v>
      </c>
      <c r="M32" s="227">
        <v>126.42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592.13074530000006</v>
      </c>
      <c r="W32" s="142">
        <f>SUM(G32,K32,O32,S32)</f>
        <v>583.01</v>
      </c>
      <c r="X32" s="224">
        <f>SUM(H32,L32,P32,T32)</f>
        <v>1066.98</v>
      </c>
      <c r="Y32" s="219">
        <f>SUM(I32,M32,Q32,U32)</f>
        <v>126.42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334.33332329999996</v>
      </c>
      <c r="G33" s="147">
        <v>469.52</v>
      </c>
      <c r="H33" s="234">
        <v>533.49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78.182551500000002</v>
      </c>
      <c r="S33" s="148">
        <v>234.55</v>
      </c>
      <c r="T33" s="226">
        <v>0</v>
      </c>
      <c r="U33" s="221">
        <v>0</v>
      </c>
      <c r="V33" s="135">
        <f>SUM(F33,J33,N33,R33)</f>
        <v>412.51587479999995</v>
      </c>
      <c r="W33" s="148">
        <f>SUM(G33,K33,O33,S33)</f>
        <v>704.06999999999994</v>
      </c>
      <c r="X33" s="226">
        <f>SUM(H33,L33,P33,T33)</f>
        <v>533.49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5000</v>
      </c>
      <c r="C34" s="91">
        <f t="shared" si="4"/>
        <v>5000</v>
      </c>
      <c r="D34" s="91">
        <f t="shared" si="4"/>
        <v>5000</v>
      </c>
      <c r="E34" s="91">
        <f t="shared" si="4"/>
        <v>5000</v>
      </c>
      <c r="F34" s="78">
        <f t="shared" si="4"/>
        <v>884.32448999999997</v>
      </c>
      <c r="G34" s="91">
        <f t="shared" si="4"/>
        <v>1052.53</v>
      </c>
      <c r="H34" s="91">
        <f t="shared" si="4"/>
        <v>1600.47</v>
      </c>
      <c r="I34" s="91">
        <f t="shared" si="4"/>
        <v>0</v>
      </c>
      <c r="J34" s="78">
        <f t="shared" si="4"/>
        <v>42.1395786</v>
      </c>
      <c r="K34" s="91">
        <f t="shared" si="4"/>
        <v>0</v>
      </c>
      <c r="L34" s="91">
        <f t="shared" si="4"/>
        <v>0</v>
      </c>
      <c r="M34" s="91">
        <f t="shared" si="4"/>
        <v>126.42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78.182551500000002</v>
      </c>
      <c r="S34" s="150">
        <f t="shared" si="4"/>
        <v>234.55</v>
      </c>
      <c r="T34" s="150">
        <f t="shared" si="4"/>
        <v>0</v>
      </c>
      <c r="U34" s="150">
        <f t="shared" si="4"/>
        <v>0</v>
      </c>
      <c r="V34" s="78">
        <f t="shared" si="4"/>
        <v>1004.6466201000001</v>
      </c>
      <c r="W34" s="150">
        <f t="shared" si="4"/>
        <v>1287.08</v>
      </c>
      <c r="X34" s="150">
        <f t="shared" si="4"/>
        <v>1600.47</v>
      </c>
      <c r="Y34" s="150">
        <f t="shared" si="4"/>
        <v>126.42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353</v>
      </c>
      <c r="C40" s="128">
        <v>314</v>
      </c>
      <c r="D40" s="231">
        <v>302</v>
      </c>
      <c r="E40" s="227">
        <v>302</v>
      </c>
      <c r="F40" s="129">
        <v>92.829071699999986</v>
      </c>
      <c r="G40" s="128">
        <v>130.63999999999999</v>
      </c>
      <c r="H40" s="231">
        <v>147.85</v>
      </c>
      <c r="I40" s="227">
        <v>0</v>
      </c>
      <c r="J40" s="129">
        <v>2.5466411999999998</v>
      </c>
      <c r="K40" s="128">
        <v>0</v>
      </c>
      <c r="L40" s="231">
        <v>0</v>
      </c>
      <c r="M40" s="227">
        <v>7.64</v>
      </c>
      <c r="N40" s="129">
        <v>0</v>
      </c>
      <c r="O40" s="128">
        <v>0</v>
      </c>
      <c r="P40" s="231">
        <v>0</v>
      </c>
      <c r="Q40" s="227">
        <v>0</v>
      </c>
      <c r="R40" s="129">
        <v>5.2866138000000005</v>
      </c>
      <c r="S40" s="130">
        <v>15.86</v>
      </c>
      <c r="T40" s="222">
        <v>0</v>
      </c>
      <c r="U40" s="217">
        <v>0</v>
      </c>
      <c r="V40" s="127">
        <f>SUM(F40,J40,N40,R40)</f>
        <v>100.66232669999998</v>
      </c>
      <c r="W40" s="130">
        <f>SUM(G40,K40,O40,S40)</f>
        <v>146.5</v>
      </c>
      <c r="X40" s="222">
        <f>SUM(H40,L40,P40,T40)</f>
        <v>147.85</v>
      </c>
      <c r="Y40" s="217">
        <f>SUM(I40,M40,Q40,U40)</f>
        <v>7.64</v>
      </c>
    </row>
    <row r="41" spans="1:25" hidden="1" outlineLevel="1">
      <c r="A41" s="134" t="s">
        <v>161</v>
      </c>
      <c r="B41" s="135">
        <v>31</v>
      </c>
      <c r="C41" s="147">
        <v>26</v>
      </c>
      <c r="D41" s="234">
        <v>25</v>
      </c>
      <c r="E41" s="230">
        <v>25</v>
      </c>
      <c r="F41" s="136">
        <v>7.9932534000000004</v>
      </c>
      <c r="G41" s="147">
        <v>11.99</v>
      </c>
      <c r="H41" s="234">
        <v>11.99</v>
      </c>
      <c r="I41" s="230">
        <v>0</v>
      </c>
      <c r="J41" s="136">
        <v>0.20999790000000002</v>
      </c>
      <c r="K41" s="147">
        <v>0</v>
      </c>
      <c r="L41" s="234">
        <v>0</v>
      </c>
      <c r="M41" s="230">
        <v>0.63</v>
      </c>
      <c r="N41" s="136">
        <v>0</v>
      </c>
      <c r="O41" s="147">
        <v>0</v>
      </c>
      <c r="P41" s="234">
        <v>0</v>
      </c>
      <c r="Q41" s="230">
        <v>0</v>
      </c>
      <c r="R41" s="136">
        <v>0.48332849999999999</v>
      </c>
      <c r="S41" s="148">
        <v>1.45</v>
      </c>
      <c r="T41" s="226">
        <v>0</v>
      </c>
      <c r="U41" s="221">
        <v>0</v>
      </c>
      <c r="V41" s="135">
        <f>SUM(F41,J41,N41,R41)</f>
        <v>8.6865798000000005</v>
      </c>
      <c r="W41" s="148">
        <f>SUM(G41,K41,O41,S41)</f>
        <v>13.44</v>
      </c>
      <c r="X41" s="226">
        <f>SUM(H41,L41,P41,T41)</f>
        <v>11.99</v>
      </c>
      <c r="Y41" s="221">
        <f>SUM(I41,M41,Q41,U41)</f>
        <v>0.63</v>
      </c>
    </row>
    <row r="42" spans="1:25" collapsed="1">
      <c r="A42" s="62" t="s">
        <v>162</v>
      </c>
      <c r="B42" s="78">
        <f t="shared" ref="B42:Y42" si="5">SUM(B36:B41)</f>
        <v>384</v>
      </c>
      <c r="C42" s="149">
        <f t="shared" si="5"/>
        <v>340</v>
      </c>
      <c r="D42" s="149">
        <f t="shared" si="5"/>
        <v>327</v>
      </c>
      <c r="E42" s="149">
        <f t="shared" si="5"/>
        <v>327</v>
      </c>
      <c r="F42" s="151">
        <f t="shared" si="5"/>
        <v>100.82232509999999</v>
      </c>
      <c r="G42" s="149">
        <f t="shared" si="5"/>
        <v>142.63</v>
      </c>
      <c r="H42" s="149">
        <f t="shared" si="5"/>
        <v>159.84</v>
      </c>
      <c r="I42" s="149">
        <f t="shared" si="5"/>
        <v>0</v>
      </c>
      <c r="J42" s="151">
        <f t="shared" si="5"/>
        <v>2.7566390999999997</v>
      </c>
      <c r="K42" s="149">
        <f t="shared" si="5"/>
        <v>0</v>
      </c>
      <c r="L42" s="149">
        <f t="shared" si="5"/>
        <v>0</v>
      </c>
      <c r="M42" s="149">
        <f t="shared" si="5"/>
        <v>8.27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5.7699423000000003</v>
      </c>
      <c r="S42" s="152">
        <f t="shared" si="5"/>
        <v>17.309999999999999</v>
      </c>
      <c r="T42" s="152">
        <f t="shared" si="5"/>
        <v>0</v>
      </c>
      <c r="U42" s="152">
        <f t="shared" si="5"/>
        <v>0</v>
      </c>
      <c r="V42" s="78">
        <f t="shared" si="5"/>
        <v>109.34890649999998</v>
      </c>
      <c r="W42" s="152">
        <f t="shared" si="5"/>
        <v>159.94</v>
      </c>
      <c r="X42" s="152">
        <f t="shared" si="5"/>
        <v>159.84</v>
      </c>
      <c r="Y42" s="152">
        <f t="shared" si="5"/>
        <v>8.27</v>
      </c>
    </row>
    <row r="43" spans="1:25" ht="16.2" thickBot="1">
      <c r="A43" s="137" t="s">
        <v>163</v>
      </c>
      <c r="B43" s="138">
        <f>SUM(B21,B30,B34,B42)</f>
        <v>5384</v>
      </c>
      <c r="C43" s="139">
        <f t="shared" ref="C43:U43" si="6">SUM(C21,C30,C34,C42)</f>
        <v>5340</v>
      </c>
      <c r="D43" s="139">
        <f t="shared" si="6"/>
        <v>5327</v>
      </c>
      <c r="E43" s="139">
        <f t="shared" si="6"/>
        <v>5327</v>
      </c>
      <c r="F43" s="138">
        <f t="shared" si="6"/>
        <v>1528.4747150999999</v>
      </c>
      <c r="G43" s="139">
        <f t="shared" si="6"/>
        <v>2075.16</v>
      </c>
      <c r="H43" s="139">
        <f t="shared" si="6"/>
        <v>2510.3100000000004</v>
      </c>
      <c r="I43" s="139">
        <f t="shared" si="6"/>
        <v>0</v>
      </c>
      <c r="J43" s="138">
        <f t="shared" si="6"/>
        <v>44.896217700000001</v>
      </c>
      <c r="K43" s="139">
        <f t="shared" si="6"/>
        <v>0</v>
      </c>
      <c r="L43" s="139">
        <f t="shared" si="6"/>
        <v>0</v>
      </c>
      <c r="M43" s="139">
        <f t="shared" si="6"/>
        <v>134.69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83.952493799999999</v>
      </c>
      <c r="S43" s="138">
        <f t="shared" si="6"/>
        <v>251.86</v>
      </c>
      <c r="T43" s="138">
        <f t="shared" si="6"/>
        <v>0</v>
      </c>
      <c r="U43" s="138">
        <f t="shared" si="6"/>
        <v>0</v>
      </c>
      <c r="V43" s="138">
        <f>SUM(V21,V30,V34,V42)</f>
        <v>1657.3234265999999</v>
      </c>
      <c r="W43" s="138">
        <f t="shared" ref="W43:Y43" si="7">SUM(W21,W30,W34,W42)</f>
        <v>2327.02</v>
      </c>
      <c r="X43" s="138">
        <f t="shared" si="7"/>
        <v>2510.3100000000004</v>
      </c>
      <c r="Y43" s="138">
        <f t="shared" si="7"/>
        <v>134.69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3673.9565934000002</v>
      </c>
      <c r="S45" s="142">
        <v>3012.98</v>
      </c>
      <c r="T45" s="224">
        <v>2816.69</v>
      </c>
      <c r="U45" s="219">
        <v>5192.3100000000004</v>
      </c>
      <c r="V45" s="141">
        <f>SUM(F45,J45,N45,R45)</f>
        <v>3673.9565934000002</v>
      </c>
      <c r="W45" s="142">
        <f>SUM(G45,K45,O45,S45)</f>
        <v>3012.98</v>
      </c>
      <c r="X45" s="224">
        <f>SUM(H45,L45,P45,T45)</f>
        <v>2816.69</v>
      </c>
      <c r="Y45" s="219">
        <f>SUM(I45,M45,Q45,U45)</f>
        <v>5192.3100000000004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3673.9565934000002</v>
      </c>
      <c r="S47" s="150">
        <f t="shared" si="8"/>
        <v>3012.98</v>
      </c>
      <c r="T47" s="150">
        <f t="shared" si="8"/>
        <v>2816.69</v>
      </c>
      <c r="U47" s="150">
        <f t="shared" si="8"/>
        <v>5192.3100000000004</v>
      </c>
      <c r="V47" s="153">
        <f t="shared" si="8"/>
        <v>3673.9565934000002</v>
      </c>
      <c r="W47" s="150">
        <f t="shared" si="8"/>
        <v>3012.98</v>
      </c>
      <c r="X47" s="150">
        <f t="shared" si="8"/>
        <v>2816.69</v>
      </c>
      <c r="Y47" s="150">
        <f t="shared" si="8"/>
        <v>5192.3100000000004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-1137.1652949000002</v>
      </c>
      <c r="G48" s="139">
        <f t="shared" si="9"/>
        <v>-594.84000000000015</v>
      </c>
      <c r="H48" s="139">
        <f t="shared" si="9"/>
        <v>-152.6899999999996</v>
      </c>
      <c r="I48" s="139">
        <f t="shared" si="9"/>
        <v>-2664</v>
      </c>
      <c r="J48" s="138">
        <f t="shared" si="9"/>
        <v>44.896217700000001</v>
      </c>
      <c r="K48" s="139">
        <f t="shared" si="9"/>
        <v>0</v>
      </c>
      <c r="L48" s="139">
        <f t="shared" si="9"/>
        <v>0</v>
      </c>
      <c r="M48" s="139">
        <f t="shared" si="9"/>
        <v>134.69</v>
      </c>
      <c r="N48" s="138">
        <f t="shared" si="9"/>
        <v>-2665.6400100000001</v>
      </c>
      <c r="O48" s="139">
        <f t="shared" si="9"/>
        <v>-2670</v>
      </c>
      <c r="P48" s="139">
        <f t="shared" si="9"/>
        <v>-2664</v>
      </c>
      <c r="Q48" s="139">
        <f t="shared" si="9"/>
        <v>-2663</v>
      </c>
      <c r="R48" s="138">
        <f t="shared" si="9"/>
        <v>3757.9090872000002</v>
      </c>
      <c r="S48" s="138">
        <f t="shared" si="9"/>
        <v>3264.84</v>
      </c>
      <c r="T48" s="138">
        <f t="shared" si="9"/>
        <v>2816.69</v>
      </c>
      <c r="U48" s="138">
        <f t="shared" si="9"/>
        <v>5192.3100000000004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07" priority="13" operator="lessThan">
      <formula>-0.01</formula>
    </cfRule>
  </conditionalFormatting>
  <conditionalFormatting sqref="Y15:Y21 Y23:Y30 Y32:Y34 Y36:Y43">
    <cfRule type="cellIs" dxfId="206" priority="12" operator="lessThan">
      <formula>-0.01</formula>
    </cfRule>
  </conditionalFormatting>
  <conditionalFormatting sqref="X15:X21 X23:X30 X32:X34 X36:X43">
    <cfRule type="cellIs" dxfId="205" priority="11" operator="lessThan">
      <formula>-0.01</formula>
    </cfRule>
  </conditionalFormatting>
  <conditionalFormatting sqref="U15:U21 U23:U30 U32:U34 U36:U43">
    <cfRule type="cellIs" dxfId="204" priority="10" operator="lessThan">
      <formula>-0.01</formula>
    </cfRule>
  </conditionalFormatting>
  <conditionalFormatting sqref="T15:T21 T23:T30 T32:T34 T36:T43">
    <cfRule type="cellIs" dxfId="203" priority="9" operator="lessThan">
      <formula>-0.01</formula>
    </cfRule>
  </conditionalFormatting>
  <conditionalFormatting sqref="Q15:Q21 Q23:Q30 Q32:Q34 Q36:Q43">
    <cfRule type="cellIs" dxfId="202" priority="8" operator="lessThan">
      <formula>-0.01</formula>
    </cfRule>
  </conditionalFormatting>
  <conditionalFormatting sqref="P15:P21 P23:P30 P32:P34 P36:P43">
    <cfRule type="cellIs" dxfId="201" priority="7" operator="lessThan">
      <formula>-0.01</formula>
    </cfRule>
  </conditionalFormatting>
  <conditionalFormatting sqref="M15:M21 M23:M30 M32:M34 M36:M43">
    <cfRule type="cellIs" dxfId="200" priority="6" operator="lessThan">
      <formula>-0.01</formula>
    </cfRule>
  </conditionalFormatting>
  <conditionalFormatting sqref="L15:L21 L23:L30 L32:L34 L36:L43">
    <cfRule type="cellIs" dxfId="199" priority="5" operator="lessThan">
      <formula>-0.01</formula>
    </cfRule>
  </conditionalFormatting>
  <conditionalFormatting sqref="I15:I21 I23:I30 I32:I34 I36:I43">
    <cfRule type="cellIs" dxfId="198" priority="4" operator="lessThan">
      <formula>-0.01</formula>
    </cfRule>
  </conditionalFormatting>
  <conditionalFormatting sqref="H15:H21 H23:H30 H32:H34 H36:H43">
    <cfRule type="cellIs" dxfId="197" priority="3" operator="lessThan">
      <formula>-0.01</formula>
    </cfRule>
  </conditionalFormatting>
  <conditionalFormatting sqref="E15:E21 E23:E30 E32:E34 E36:E43">
    <cfRule type="cellIs" dxfId="196" priority="2" operator="lessThan">
      <formula>-0.01</formula>
    </cfRule>
  </conditionalFormatting>
  <conditionalFormatting sqref="D15:D21 D23:D30 D32:D34 D36:D43">
    <cfRule type="cellIs" dxfId="195" priority="1" operator="lessThan">
      <formula>-0.01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232B9-DB80-4542-8090-A016EAD54CEB}">
  <sheetPr codeName="Sheet79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722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-1615</v>
      </c>
      <c r="C8" s="128">
        <v>-1602</v>
      </c>
      <c r="D8" s="231">
        <v>-1599</v>
      </c>
      <c r="E8" s="227">
        <v>-1599</v>
      </c>
      <c r="F8" s="129">
        <v>-799.99199999999996</v>
      </c>
      <c r="G8" s="128">
        <v>-801</v>
      </c>
      <c r="H8" s="231">
        <v>-799</v>
      </c>
      <c r="I8" s="227">
        <v>-800</v>
      </c>
      <c r="J8" s="129">
        <v>0</v>
      </c>
      <c r="K8" s="128">
        <v>0</v>
      </c>
      <c r="L8" s="231">
        <v>0</v>
      </c>
      <c r="M8" s="227">
        <v>0</v>
      </c>
      <c r="N8" s="129">
        <v>-799.99199999999996</v>
      </c>
      <c r="O8" s="128">
        <v>-801</v>
      </c>
      <c r="P8" s="231">
        <v>-800</v>
      </c>
      <c r="Q8" s="227">
        <v>-799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-1599.9839999999999</v>
      </c>
      <c r="W8" s="130">
        <f>SUM(G8,K8,O8,S8)</f>
        <v>-1602</v>
      </c>
      <c r="X8" s="222">
        <f>SUM(H8,L8,P8,T8)</f>
        <v>-1599</v>
      </c>
      <c r="Y8" s="217">
        <f>SUM(I8,M8,Q8,U8)</f>
        <v>-1599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-1615</v>
      </c>
      <c r="C12" s="139">
        <f t="shared" ref="C12:U12" si="0">SUM(C8:C11)</f>
        <v>-1602</v>
      </c>
      <c r="D12" s="139">
        <f t="shared" si="0"/>
        <v>-1599</v>
      </c>
      <c r="E12" s="139">
        <f t="shared" si="0"/>
        <v>-1599</v>
      </c>
      <c r="F12" s="138">
        <f t="shared" si="0"/>
        <v>-799.99199999999996</v>
      </c>
      <c r="G12" s="139">
        <f t="shared" si="0"/>
        <v>-801</v>
      </c>
      <c r="H12" s="139">
        <f t="shared" si="0"/>
        <v>-799</v>
      </c>
      <c r="I12" s="139">
        <f t="shared" si="0"/>
        <v>-800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-799.99199999999996</v>
      </c>
      <c r="O12" s="139">
        <f t="shared" si="0"/>
        <v>-801</v>
      </c>
      <c r="P12" s="139">
        <f t="shared" si="0"/>
        <v>-800</v>
      </c>
      <c r="Q12" s="139">
        <f t="shared" si="0"/>
        <v>-799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-1599.9839999999999</v>
      </c>
      <c r="W12" s="138">
        <f t="shared" ref="W12:Y12" si="1">SUM(W8:W11)</f>
        <v>-1602</v>
      </c>
      <c r="X12" s="138">
        <f t="shared" si="1"/>
        <v>-1599</v>
      </c>
      <c r="Y12" s="138">
        <f t="shared" si="1"/>
        <v>-1599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1500</v>
      </c>
      <c r="C23" s="128">
        <v>1500</v>
      </c>
      <c r="D23" s="231">
        <v>1500</v>
      </c>
      <c r="E23" s="227">
        <v>1500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5.3899461000000004</v>
      </c>
      <c r="O25" s="128">
        <v>0</v>
      </c>
      <c r="P25" s="231">
        <v>10.18</v>
      </c>
      <c r="Q25" s="227">
        <v>5.99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5.3899461000000004</v>
      </c>
      <c r="W25" s="130">
        <f>SUM(G25,K25,O25,S25)</f>
        <v>0</v>
      </c>
      <c r="X25" s="222">
        <f>SUM(H25,L25,P25,T25)</f>
        <v>10.18</v>
      </c>
      <c r="Y25" s="217">
        <f>SUM(I25,M25,Q25,U25)</f>
        <v>5.99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1273.0039365</v>
      </c>
      <c r="O26" s="128">
        <v>1396.86</v>
      </c>
      <c r="P26" s="231">
        <v>1316</v>
      </c>
      <c r="Q26" s="227">
        <v>1106.19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1273.0039365</v>
      </c>
      <c r="W26" s="130">
        <f>SUM(G26,K26,O26,S26)</f>
        <v>1396.86</v>
      </c>
      <c r="X26" s="222">
        <f>SUM(H26,L26,P26,T26)</f>
        <v>1316</v>
      </c>
      <c r="Y26" s="217">
        <f>SUM(I26,M26,Q26,U26)</f>
        <v>1106.19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23.333100000000002</v>
      </c>
      <c r="O27" s="128">
        <v>35</v>
      </c>
      <c r="P27" s="231">
        <v>0</v>
      </c>
      <c r="Q27" s="227">
        <v>35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23.333100000000002</v>
      </c>
      <c r="W27" s="130">
        <f>SUM(G27,K27,O27,S27)</f>
        <v>35</v>
      </c>
      <c r="X27" s="222">
        <f>SUM(H27,L27,P27,T27)</f>
        <v>0</v>
      </c>
      <c r="Y27" s="217">
        <f>SUM(I27,M27,Q27,U27)</f>
        <v>35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16.333169999999999</v>
      </c>
      <c r="S28" s="130">
        <v>0</v>
      </c>
      <c r="T28" s="222">
        <v>0</v>
      </c>
      <c r="U28" s="217">
        <v>49</v>
      </c>
      <c r="V28" s="127">
        <f>SUM(F28,J28,N28,R28)</f>
        <v>16.333169999999999</v>
      </c>
      <c r="W28" s="130">
        <f>SUM(G28,K28,O28,S28)</f>
        <v>0</v>
      </c>
      <c r="X28" s="222">
        <f>SUM(H28,L28,P28,T28)</f>
        <v>0</v>
      </c>
      <c r="Y28" s="217">
        <f>SUM(I28,M28,Q28,U28)</f>
        <v>49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8.6665799999999997</v>
      </c>
      <c r="G29" s="147">
        <v>0</v>
      </c>
      <c r="H29" s="234">
        <v>26</v>
      </c>
      <c r="I29" s="230">
        <v>0</v>
      </c>
      <c r="J29" s="136">
        <v>19.749802500000001</v>
      </c>
      <c r="K29" s="147">
        <v>33.75</v>
      </c>
      <c r="L29" s="234">
        <v>0</v>
      </c>
      <c r="M29" s="230">
        <v>25.5</v>
      </c>
      <c r="N29" s="136">
        <v>12.8165385</v>
      </c>
      <c r="O29" s="147">
        <v>13.25</v>
      </c>
      <c r="P29" s="234">
        <v>13</v>
      </c>
      <c r="Q29" s="230">
        <v>12.2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41.232921000000005</v>
      </c>
      <c r="W29" s="148">
        <f>SUM(G29,K29,O29,S29)</f>
        <v>47</v>
      </c>
      <c r="X29" s="226">
        <f>SUM(H29,L29,P29,T29)</f>
        <v>39</v>
      </c>
      <c r="Y29" s="221">
        <f>SUM(I29,M29,Q29,U29)</f>
        <v>37.700000000000003</v>
      </c>
    </row>
    <row r="30" spans="1:25" collapsed="1">
      <c r="A30" s="62" t="s">
        <v>151</v>
      </c>
      <c r="B30" s="78">
        <f t="shared" ref="B30:Y30" si="3">SUM(B23:B29)</f>
        <v>1500</v>
      </c>
      <c r="C30" s="91">
        <f t="shared" si="3"/>
        <v>1500</v>
      </c>
      <c r="D30" s="91">
        <f t="shared" si="3"/>
        <v>1500</v>
      </c>
      <c r="E30" s="91">
        <f t="shared" si="3"/>
        <v>1500</v>
      </c>
      <c r="F30" s="78">
        <f t="shared" si="3"/>
        <v>8.6665799999999997</v>
      </c>
      <c r="G30" s="91">
        <f t="shared" si="3"/>
        <v>0</v>
      </c>
      <c r="H30" s="91">
        <f t="shared" si="3"/>
        <v>26</v>
      </c>
      <c r="I30" s="91">
        <f t="shared" si="3"/>
        <v>0</v>
      </c>
      <c r="J30" s="78">
        <f t="shared" si="3"/>
        <v>19.749802500000001</v>
      </c>
      <c r="K30" s="91">
        <f t="shared" si="3"/>
        <v>33.75</v>
      </c>
      <c r="L30" s="91">
        <f t="shared" si="3"/>
        <v>0</v>
      </c>
      <c r="M30" s="91">
        <f t="shared" si="3"/>
        <v>25.5</v>
      </c>
      <c r="N30" s="78">
        <f t="shared" si="3"/>
        <v>1314.5435211000001</v>
      </c>
      <c r="O30" s="91">
        <f t="shared" si="3"/>
        <v>1445.11</v>
      </c>
      <c r="P30" s="91">
        <f t="shared" si="3"/>
        <v>1339.18</v>
      </c>
      <c r="Q30" s="91">
        <f t="shared" si="3"/>
        <v>1159.3800000000001</v>
      </c>
      <c r="R30" s="78">
        <f t="shared" si="3"/>
        <v>16.333169999999999</v>
      </c>
      <c r="S30" s="150">
        <f t="shared" si="3"/>
        <v>0</v>
      </c>
      <c r="T30" s="150">
        <f t="shared" si="3"/>
        <v>0</v>
      </c>
      <c r="U30" s="150">
        <f t="shared" si="3"/>
        <v>49</v>
      </c>
      <c r="V30" s="78">
        <f t="shared" si="3"/>
        <v>1359.2930736000003</v>
      </c>
      <c r="W30" s="150">
        <f t="shared" si="3"/>
        <v>1478.86</v>
      </c>
      <c r="X30" s="150">
        <f t="shared" si="3"/>
        <v>1365.18</v>
      </c>
      <c r="Y30" s="150">
        <f t="shared" si="3"/>
        <v>1233.8800000000001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106</v>
      </c>
      <c r="C40" s="128">
        <v>94</v>
      </c>
      <c r="D40" s="231">
        <v>91</v>
      </c>
      <c r="E40" s="227">
        <v>91</v>
      </c>
      <c r="F40" s="129">
        <v>0.54666119999999996</v>
      </c>
      <c r="G40" s="128">
        <v>0</v>
      </c>
      <c r="H40" s="231">
        <v>1.64</v>
      </c>
      <c r="I40" s="227">
        <v>0</v>
      </c>
      <c r="J40" s="129">
        <v>1.2733205999999999</v>
      </c>
      <c r="K40" s="128">
        <v>2.2799999999999998</v>
      </c>
      <c r="L40" s="231">
        <v>0</v>
      </c>
      <c r="M40" s="227">
        <v>1.54</v>
      </c>
      <c r="N40" s="129">
        <v>83.985826799999998</v>
      </c>
      <c r="O40" s="128">
        <v>97.69</v>
      </c>
      <c r="P40" s="231">
        <v>84.24</v>
      </c>
      <c r="Q40" s="227">
        <v>70.03</v>
      </c>
      <c r="R40" s="129">
        <v>0.9866568</v>
      </c>
      <c r="S40" s="130">
        <v>0</v>
      </c>
      <c r="T40" s="222">
        <v>0</v>
      </c>
      <c r="U40" s="217">
        <v>2.96</v>
      </c>
      <c r="V40" s="127">
        <f>SUM(F40,J40,N40,R40)</f>
        <v>86.792465399999998</v>
      </c>
      <c r="W40" s="130">
        <f>SUM(G40,K40,O40,S40)</f>
        <v>99.97</v>
      </c>
      <c r="X40" s="222">
        <f>SUM(H40,L40,P40,T40)</f>
        <v>85.88</v>
      </c>
      <c r="Y40" s="217">
        <f>SUM(I40,M40,Q40,U40)</f>
        <v>74.53</v>
      </c>
    </row>
    <row r="41" spans="1:25" hidden="1" outlineLevel="1">
      <c r="A41" s="134" t="s">
        <v>161</v>
      </c>
      <c r="B41" s="135">
        <v>9</v>
      </c>
      <c r="C41" s="147">
        <v>8</v>
      </c>
      <c r="D41" s="234">
        <v>8</v>
      </c>
      <c r="E41" s="230">
        <v>8</v>
      </c>
      <c r="F41" s="136">
        <v>4.3332900000000001E-2</v>
      </c>
      <c r="G41" s="147">
        <v>0</v>
      </c>
      <c r="H41" s="234">
        <v>0.13</v>
      </c>
      <c r="I41" s="230">
        <v>0</v>
      </c>
      <c r="J41" s="136">
        <v>0.11333219999999999</v>
      </c>
      <c r="K41" s="147">
        <v>0.21</v>
      </c>
      <c r="L41" s="234">
        <v>0</v>
      </c>
      <c r="M41" s="230">
        <v>0.13</v>
      </c>
      <c r="N41" s="136">
        <v>7.1965947000000012</v>
      </c>
      <c r="O41" s="147">
        <v>8.9600000000000009</v>
      </c>
      <c r="P41" s="234">
        <v>6.83</v>
      </c>
      <c r="Q41" s="230">
        <v>5.8</v>
      </c>
      <c r="R41" s="136">
        <v>8.3332500000000004E-2</v>
      </c>
      <c r="S41" s="148">
        <v>0</v>
      </c>
      <c r="T41" s="226">
        <v>0</v>
      </c>
      <c r="U41" s="221">
        <v>0.25</v>
      </c>
      <c r="V41" s="135">
        <f>SUM(F41,J41,N41,R41)</f>
        <v>7.4365923000000009</v>
      </c>
      <c r="W41" s="148">
        <f>SUM(G41,K41,O41,S41)</f>
        <v>9.1700000000000017</v>
      </c>
      <c r="X41" s="226">
        <f>SUM(H41,L41,P41,T41)</f>
        <v>6.96</v>
      </c>
      <c r="Y41" s="221">
        <f>SUM(I41,M41,Q41,U41)</f>
        <v>6.18</v>
      </c>
    </row>
    <row r="42" spans="1:25" collapsed="1">
      <c r="A42" s="62" t="s">
        <v>162</v>
      </c>
      <c r="B42" s="78">
        <f t="shared" ref="B42:Y42" si="5">SUM(B36:B41)</f>
        <v>115</v>
      </c>
      <c r="C42" s="149">
        <f t="shared" si="5"/>
        <v>102</v>
      </c>
      <c r="D42" s="149">
        <f t="shared" si="5"/>
        <v>99</v>
      </c>
      <c r="E42" s="149">
        <f t="shared" si="5"/>
        <v>99</v>
      </c>
      <c r="F42" s="151">
        <f t="shared" si="5"/>
        <v>0.58999409999999997</v>
      </c>
      <c r="G42" s="149">
        <f t="shared" si="5"/>
        <v>0</v>
      </c>
      <c r="H42" s="149">
        <f t="shared" si="5"/>
        <v>1.77</v>
      </c>
      <c r="I42" s="149">
        <f t="shared" si="5"/>
        <v>0</v>
      </c>
      <c r="J42" s="151">
        <f t="shared" si="5"/>
        <v>1.3866527999999998</v>
      </c>
      <c r="K42" s="149">
        <f t="shared" si="5"/>
        <v>2.4899999999999998</v>
      </c>
      <c r="L42" s="149">
        <f t="shared" si="5"/>
        <v>0</v>
      </c>
      <c r="M42" s="149">
        <f t="shared" si="5"/>
        <v>1.67</v>
      </c>
      <c r="N42" s="151">
        <f t="shared" si="5"/>
        <v>91.182421500000004</v>
      </c>
      <c r="O42" s="149">
        <f t="shared" si="5"/>
        <v>106.65</v>
      </c>
      <c r="P42" s="149">
        <f t="shared" si="5"/>
        <v>91.07</v>
      </c>
      <c r="Q42" s="149">
        <f t="shared" si="5"/>
        <v>75.83</v>
      </c>
      <c r="R42" s="151">
        <f t="shared" si="5"/>
        <v>1.0699893</v>
      </c>
      <c r="S42" s="152">
        <f t="shared" si="5"/>
        <v>0</v>
      </c>
      <c r="T42" s="152">
        <f t="shared" si="5"/>
        <v>0</v>
      </c>
      <c r="U42" s="152">
        <f t="shared" si="5"/>
        <v>3.21</v>
      </c>
      <c r="V42" s="78">
        <f t="shared" si="5"/>
        <v>94.229057699999998</v>
      </c>
      <c r="W42" s="152">
        <f t="shared" si="5"/>
        <v>109.14</v>
      </c>
      <c r="X42" s="152">
        <f t="shared" si="5"/>
        <v>92.839999999999989</v>
      </c>
      <c r="Y42" s="152">
        <f t="shared" si="5"/>
        <v>80.710000000000008</v>
      </c>
    </row>
    <row r="43" spans="1:25" ht="16.2" thickBot="1">
      <c r="A43" s="137" t="s">
        <v>163</v>
      </c>
      <c r="B43" s="138">
        <f>SUM(B21,B30,B34,B42)</f>
        <v>1615</v>
      </c>
      <c r="C43" s="139">
        <f t="shared" ref="C43:U43" si="6">SUM(C21,C30,C34,C42)</f>
        <v>1602</v>
      </c>
      <c r="D43" s="139">
        <f t="shared" si="6"/>
        <v>1599</v>
      </c>
      <c r="E43" s="139">
        <f t="shared" si="6"/>
        <v>1599</v>
      </c>
      <c r="F43" s="138">
        <f t="shared" si="6"/>
        <v>9.2565740999999999</v>
      </c>
      <c r="G43" s="139">
        <f t="shared" si="6"/>
        <v>0</v>
      </c>
      <c r="H43" s="139">
        <f t="shared" si="6"/>
        <v>27.77</v>
      </c>
      <c r="I43" s="139">
        <f t="shared" si="6"/>
        <v>0</v>
      </c>
      <c r="J43" s="138">
        <f t="shared" si="6"/>
        <v>21.136455300000002</v>
      </c>
      <c r="K43" s="139">
        <f t="shared" si="6"/>
        <v>36.24</v>
      </c>
      <c r="L43" s="139">
        <f t="shared" si="6"/>
        <v>0</v>
      </c>
      <c r="M43" s="139">
        <f t="shared" si="6"/>
        <v>27.17</v>
      </c>
      <c r="N43" s="138">
        <f t="shared" si="6"/>
        <v>1405.7259426000001</v>
      </c>
      <c r="O43" s="139">
        <f t="shared" si="6"/>
        <v>1551.76</v>
      </c>
      <c r="P43" s="139">
        <f t="shared" si="6"/>
        <v>1430.25</v>
      </c>
      <c r="Q43" s="139">
        <f t="shared" si="6"/>
        <v>1235.21</v>
      </c>
      <c r="R43" s="138">
        <f t="shared" si="6"/>
        <v>17.403159299999999</v>
      </c>
      <c r="S43" s="138">
        <f t="shared" si="6"/>
        <v>0</v>
      </c>
      <c r="T43" s="138">
        <f t="shared" si="6"/>
        <v>0</v>
      </c>
      <c r="U43" s="138">
        <f t="shared" si="6"/>
        <v>52.21</v>
      </c>
      <c r="V43" s="138">
        <f>SUM(V21,V30,V34,V42)</f>
        <v>1453.5221313000002</v>
      </c>
      <c r="W43" s="138">
        <f t="shared" ref="W43:Y43" si="7">SUM(W21,W30,W34,W42)</f>
        <v>1588</v>
      </c>
      <c r="X43" s="138">
        <f t="shared" si="7"/>
        <v>1458.02</v>
      </c>
      <c r="Y43" s="138">
        <f t="shared" si="7"/>
        <v>1314.5900000000001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146.46186870000003</v>
      </c>
      <c r="S45" s="142">
        <v>14</v>
      </c>
      <c r="T45" s="224">
        <v>140.97999999999999</v>
      </c>
      <c r="U45" s="219">
        <v>284.41000000000003</v>
      </c>
      <c r="V45" s="141">
        <f>SUM(F45,J45,N45,R45)</f>
        <v>146.46186870000003</v>
      </c>
      <c r="W45" s="142">
        <f>SUM(G45,K45,O45,S45)</f>
        <v>14</v>
      </c>
      <c r="X45" s="224">
        <f>SUM(H45,L45,P45,T45)</f>
        <v>140.97999999999999</v>
      </c>
      <c r="Y45" s="219">
        <f>SUM(I45,M45,Q45,U45)</f>
        <v>284.41000000000003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146.46186870000003</v>
      </c>
      <c r="S47" s="150">
        <f t="shared" si="8"/>
        <v>14</v>
      </c>
      <c r="T47" s="150">
        <f t="shared" si="8"/>
        <v>140.97999999999999</v>
      </c>
      <c r="U47" s="150">
        <f t="shared" si="8"/>
        <v>284.41000000000003</v>
      </c>
      <c r="V47" s="153">
        <f t="shared" si="8"/>
        <v>146.46186870000003</v>
      </c>
      <c r="W47" s="150">
        <f t="shared" si="8"/>
        <v>14</v>
      </c>
      <c r="X47" s="150">
        <f t="shared" si="8"/>
        <v>140.97999999999999</v>
      </c>
      <c r="Y47" s="150">
        <f t="shared" si="8"/>
        <v>284.41000000000003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-790.7354259</v>
      </c>
      <c r="G48" s="139">
        <f t="shared" si="9"/>
        <v>-801</v>
      </c>
      <c r="H48" s="139">
        <f t="shared" si="9"/>
        <v>-771.23</v>
      </c>
      <c r="I48" s="139">
        <f t="shared" si="9"/>
        <v>-800</v>
      </c>
      <c r="J48" s="138">
        <f t="shared" si="9"/>
        <v>21.136455300000002</v>
      </c>
      <c r="K48" s="139">
        <f t="shared" si="9"/>
        <v>36.24</v>
      </c>
      <c r="L48" s="139">
        <f t="shared" si="9"/>
        <v>0</v>
      </c>
      <c r="M48" s="139">
        <f t="shared" si="9"/>
        <v>27.17</v>
      </c>
      <c r="N48" s="138">
        <f t="shared" si="9"/>
        <v>605.73394260000009</v>
      </c>
      <c r="O48" s="139">
        <f t="shared" si="9"/>
        <v>750.76</v>
      </c>
      <c r="P48" s="139">
        <f t="shared" si="9"/>
        <v>630.25</v>
      </c>
      <c r="Q48" s="139">
        <f t="shared" si="9"/>
        <v>436.21000000000004</v>
      </c>
      <c r="R48" s="138">
        <f t="shared" si="9"/>
        <v>163.86502800000002</v>
      </c>
      <c r="S48" s="138">
        <f t="shared" si="9"/>
        <v>14</v>
      </c>
      <c r="T48" s="138">
        <f t="shared" si="9"/>
        <v>140.97999999999999</v>
      </c>
      <c r="U48" s="138">
        <f t="shared" si="9"/>
        <v>336.62</v>
      </c>
      <c r="V48" s="138">
        <f>SUM(V12,V43,V47)</f>
        <v>2.8421709430404007E-13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94" priority="13" operator="lessThan">
      <formula>-0.01</formula>
    </cfRule>
  </conditionalFormatting>
  <conditionalFormatting sqref="Y15:Y21 Y23:Y30 Y32:Y34 Y36:Y43">
    <cfRule type="cellIs" dxfId="193" priority="12" operator="lessThan">
      <formula>-0.01</formula>
    </cfRule>
  </conditionalFormatting>
  <conditionalFormatting sqref="X15:X21 X23:X30 X32:X34 X36:X43">
    <cfRule type="cellIs" dxfId="192" priority="11" operator="lessThan">
      <formula>-0.01</formula>
    </cfRule>
  </conditionalFormatting>
  <conditionalFormatting sqref="U15:U21 U23:U30 U32:U34 U36:U43">
    <cfRule type="cellIs" dxfId="191" priority="10" operator="lessThan">
      <formula>-0.01</formula>
    </cfRule>
  </conditionalFormatting>
  <conditionalFormatting sqref="T15:T21 T23:T30 T32:T34 T36:T43">
    <cfRule type="cellIs" dxfId="190" priority="9" operator="lessThan">
      <formula>-0.01</formula>
    </cfRule>
  </conditionalFormatting>
  <conditionalFormatting sqref="Q15:Q21 Q23:Q30 Q32:Q34 Q36:Q43">
    <cfRule type="cellIs" dxfId="189" priority="8" operator="lessThan">
      <formula>-0.01</formula>
    </cfRule>
  </conditionalFormatting>
  <conditionalFormatting sqref="P15:P21 P23:P30 P32:P34 P36:P43">
    <cfRule type="cellIs" dxfId="188" priority="7" operator="lessThan">
      <formula>-0.01</formula>
    </cfRule>
  </conditionalFormatting>
  <conditionalFormatting sqref="M15:M21 M23:M30 M32:M34 M36:M43">
    <cfRule type="cellIs" dxfId="187" priority="6" operator="lessThan">
      <formula>-0.01</formula>
    </cfRule>
  </conditionalFormatting>
  <conditionalFormatting sqref="L15:L21 L23:L30 L32:L34 L36:L43">
    <cfRule type="cellIs" dxfId="186" priority="5" operator="lessThan">
      <formula>-0.01</formula>
    </cfRule>
  </conditionalFormatting>
  <conditionalFormatting sqref="I15:I21 I23:I30 I32:I34 I36:I43">
    <cfRule type="cellIs" dxfId="185" priority="4" operator="lessThan">
      <formula>-0.01</formula>
    </cfRule>
  </conditionalFormatting>
  <conditionalFormatting sqref="H15:H21 H23:H30 H32:H34 H36:H43">
    <cfRule type="cellIs" dxfId="184" priority="3" operator="lessThan">
      <formula>-0.01</formula>
    </cfRule>
  </conditionalFormatting>
  <conditionalFormatting sqref="E15:E21 E23:E30 E32:E34 E36:E43">
    <cfRule type="cellIs" dxfId="183" priority="2" operator="lessThan">
      <formula>-0.01</formula>
    </cfRule>
  </conditionalFormatting>
  <conditionalFormatting sqref="D15:D21 D23:D30 D32:D34 D36:D43">
    <cfRule type="cellIs" dxfId="182" priority="1" operator="lessThan">
      <formula>-0.01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7CDC8-3E8C-4463-B832-8CD3927C3829}">
  <sheetPr codeName="Sheet80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724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-45279</v>
      </c>
      <c r="C8" s="128">
        <v>-42185</v>
      </c>
      <c r="D8" s="231">
        <v>-42082</v>
      </c>
      <c r="E8" s="227">
        <v>-42082</v>
      </c>
      <c r="F8" s="129">
        <v>-21057.789420000001</v>
      </c>
      <c r="G8" s="128">
        <v>-21092</v>
      </c>
      <c r="H8" s="231">
        <v>-21041</v>
      </c>
      <c r="I8" s="227">
        <v>-21041</v>
      </c>
      <c r="J8" s="129">
        <v>0</v>
      </c>
      <c r="K8" s="128">
        <v>0</v>
      </c>
      <c r="L8" s="231">
        <v>0</v>
      </c>
      <c r="M8" s="227">
        <v>0</v>
      </c>
      <c r="N8" s="129">
        <v>-21058.122750000002</v>
      </c>
      <c r="O8" s="128">
        <v>-21093</v>
      </c>
      <c r="P8" s="231">
        <v>-21041</v>
      </c>
      <c r="Q8" s="227">
        <v>-21041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-42115.912170000003</v>
      </c>
      <c r="W8" s="130">
        <f>SUM(G8,K8,O8,S8)</f>
        <v>-42185</v>
      </c>
      <c r="X8" s="222">
        <f>SUM(H8,L8,P8,T8)</f>
        <v>-42082</v>
      </c>
      <c r="Y8" s="217">
        <f>SUM(I8,M8,Q8,U8)</f>
        <v>-42082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-1098.4956815999999</v>
      </c>
      <c r="S11" s="133">
        <v>-1468.47</v>
      </c>
      <c r="T11" s="223">
        <v>-1827.05</v>
      </c>
      <c r="U11" s="218">
        <v>0</v>
      </c>
      <c r="V11" s="135">
        <f>SUM(F11,J11,N11,R11)</f>
        <v>-1098.4956815999999</v>
      </c>
      <c r="W11" s="133">
        <f>SUM(G11,K11,O11,S11)</f>
        <v>-1468.47</v>
      </c>
      <c r="X11" s="223">
        <f>SUM(H11,L11,P11,T11)</f>
        <v>-1827.05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-45279</v>
      </c>
      <c r="C12" s="139">
        <f t="shared" ref="C12:U12" si="0">SUM(C8:C11)</f>
        <v>-42185</v>
      </c>
      <c r="D12" s="139">
        <f t="shared" si="0"/>
        <v>-42082</v>
      </c>
      <c r="E12" s="139">
        <f t="shared" si="0"/>
        <v>-42082</v>
      </c>
      <c r="F12" s="138">
        <f t="shared" si="0"/>
        <v>-21057.789420000001</v>
      </c>
      <c r="G12" s="139">
        <f t="shared" si="0"/>
        <v>-21092</v>
      </c>
      <c r="H12" s="139">
        <f t="shared" si="0"/>
        <v>-21041</v>
      </c>
      <c r="I12" s="139">
        <f t="shared" si="0"/>
        <v>-21041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-21058.122750000002</v>
      </c>
      <c r="O12" s="139">
        <f t="shared" si="0"/>
        <v>-21093</v>
      </c>
      <c r="P12" s="139">
        <f t="shared" si="0"/>
        <v>-21041</v>
      </c>
      <c r="Q12" s="139">
        <f t="shared" si="0"/>
        <v>-21041</v>
      </c>
      <c r="R12" s="138">
        <f t="shared" si="0"/>
        <v>-1098.4956815999999</v>
      </c>
      <c r="S12" s="138">
        <f t="shared" si="0"/>
        <v>-1468.47</v>
      </c>
      <c r="T12" s="138">
        <f t="shared" si="0"/>
        <v>-1827.05</v>
      </c>
      <c r="U12" s="138">
        <f t="shared" si="0"/>
        <v>0</v>
      </c>
      <c r="V12" s="138">
        <f>SUM(V8:V11)</f>
        <v>-43214.407851600001</v>
      </c>
      <c r="W12" s="138">
        <f t="shared" ref="W12:Y12" si="1">SUM(W8:W11)</f>
        <v>-43653.47</v>
      </c>
      <c r="X12" s="138">
        <f t="shared" si="1"/>
        <v>-43909.05</v>
      </c>
      <c r="Y12" s="138">
        <f t="shared" si="1"/>
        <v>-42082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333.33000000000004</v>
      </c>
      <c r="K16" s="128">
        <v>0</v>
      </c>
      <c r="L16" s="231">
        <v>1000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333.33000000000004</v>
      </c>
      <c r="W16" s="130">
        <f>SUM(G16,K16,O16,S16)</f>
        <v>0</v>
      </c>
      <c r="X16" s="222">
        <f>SUM(H16,L16,P16,T16)</f>
        <v>1000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158.33175</v>
      </c>
      <c r="G17" s="145">
        <v>225</v>
      </c>
      <c r="H17" s="233">
        <v>250</v>
      </c>
      <c r="I17" s="229">
        <v>0</v>
      </c>
      <c r="J17" s="146">
        <v>1364.9863500000001</v>
      </c>
      <c r="K17" s="145">
        <v>1600</v>
      </c>
      <c r="L17" s="233">
        <v>2495</v>
      </c>
      <c r="M17" s="229">
        <v>0</v>
      </c>
      <c r="N17" s="146">
        <v>83.33250000000001</v>
      </c>
      <c r="O17" s="145">
        <v>0</v>
      </c>
      <c r="P17" s="233">
        <v>250</v>
      </c>
      <c r="Q17" s="229">
        <v>0</v>
      </c>
      <c r="R17" s="146">
        <v>-299.99700000000001</v>
      </c>
      <c r="S17" s="56">
        <v>0</v>
      </c>
      <c r="T17" s="225">
        <v>-900</v>
      </c>
      <c r="U17" s="220">
        <v>0</v>
      </c>
      <c r="V17" s="144">
        <f>SUM(F17,J17,N17,R17)</f>
        <v>1306.6536000000001</v>
      </c>
      <c r="W17" s="56">
        <f>SUM(G17,K17,O17,S17)</f>
        <v>1825</v>
      </c>
      <c r="X17" s="225">
        <f>SUM(H17,L17,P17,T17)</f>
        <v>2095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49.332840000000004</v>
      </c>
      <c r="K19" s="128">
        <v>0</v>
      </c>
      <c r="L19" s="231">
        <v>148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49.332840000000004</v>
      </c>
      <c r="W19" s="130">
        <f>SUM(G19,K19,O19,S19)</f>
        <v>0</v>
      </c>
      <c r="X19" s="222">
        <f>SUM(H19,L19,P19,T19)</f>
        <v>148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1.433319</v>
      </c>
      <c r="G20" s="147">
        <v>1.8</v>
      </c>
      <c r="H20" s="234">
        <v>2.5</v>
      </c>
      <c r="I20" s="230">
        <v>0</v>
      </c>
      <c r="J20" s="136">
        <v>12.5832075</v>
      </c>
      <c r="K20" s="147">
        <v>12.8</v>
      </c>
      <c r="L20" s="234">
        <v>24.95</v>
      </c>
      <c r="M20" s="230">
        <v>0</v>
      </c>
      <c r="N20" s="136">
        <v>0.83332500000000009</v>
      </c>
      <c r="O20" s="147">
        <v>0</v>
      </c>
      <c r="P20" s="234">
        <v>2.5</v>
      </c>
      <c r="Q20" s="230">
        <v>0</v>
      </c>
      <c r="R20" s="136">
        <v>-2.9999700000000002</v>
      </c>
      <c r="S20" s="148">
        <v>0</v>
      </c>
      <c r="T20" s="226">
        <v>-9</v>
      </c>
      <c r="U20" s="221">
        <v>0</v>
      </c>
      <c r="V20" s="135">
        <f>SUM(F20,J20,N20,R20)</f>
        <v>11.849881500000002</v>
      </c>
      <c r="W20" s="148">
        <f>SUM(G20,K20,O20,S20)</f>
        <v>14.600000000000001</v>
      </c>
      <c r="X20" s="226">
        <f>SUM(H20,L20,P20,T20)</f>
        <v>20.95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159.76506900000001</v>
      </c>
      <c r="G21" s="149">
        <f t="shared" si="2"/>
        <v>226.8</v>
      </c>
      <c r="H21" s="149">
        <f t="shared" si="2"/>
        <v>252.5</v>
      </c>
      <c r="I21" s="149">
        <f t="shared" si="2"/>
        <v>0</v>
      </c>
      <c r="J21" s="78">
        <f t="shared" si="2"/>
        <v>1760.2323975000002</v>
      </c>
      <c r="K21" s="91">
        <f t="shared" si="2"/>
        <v>1612.8</v>
      </c>
      <c r="L21" s="91">
        <f t="shared" si="2"/>
        <v>3667.95</v>
      </c>
      <c r="M21" s="91">
        <f t="shared" si="2"/>
        <v>0</v>
      </c>
      <c r="N21" s="78">
        <f t="shared" si="2"/>
        <v>84.165825000000012</v>
      </c>
      <c r="O21" s="91">
        <f t="shared" si="2"/>
        <v>0</v>
      </c>
      <c r="P21" s="91">
        <f t="shared" si="2"/>
        <v>252.5</v>
      </c>
      <c r="Q21" s="91">
        <f t="shared" si="2"/>
        <v>0</v>
      </c>
      <c r="R21" s="78">
        <f t="shared" si="2"/>
        <v>-302.99697000000003</v>
      </c>
      <c r="S21" s="150">
        <f t="shared" si="2"/>
        <v>0</v>
      </c>
      <c r="T21" s="150">
        <f t="shared" si="2"/>
        <v>-909</v>
      </c>
      <c r="U21" s="150">
        <f t="shared" si="2"/>
        <v>0</v>
      </c>
      <c r="V21" s="78">
        <f t="shared" si="2"/>
        <v>1701.1663215000001</v>
      </c>
      <c r="W21" s="150">
        <f t="shared" si="2"/>
        <v>1839.6</v>
      </c>
      <c r="X21" s="150">
        <f t="shared" si="2"/>
        <v>3263.95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42049</v>
      </c>
      <c r="C23" s="128">
        <v>39499</v>
      </c>
      <c r="D23" s="231">
        <v>39499</v>
      </c>
      <c r="E23" s="227">
        <v>39499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23.759762400000003</v>
      </c>
      <c r="G25" s="128">
        <v>71.28</v>
      </c>
      <c r="H25" s="231">
        <v>0</v>
      </c>
      <c r="I25" s="227">
        <v>0</v>
      </c>
      <c r="J25" s="129">
        <v>47.542857900000001</v>
      </c>
      <c r="K25" s="128">
        <v>122.34</v>
      </c>
      <c r="L25" s="231">
        <v>13</v>
      </c>
      <c r="M25" s="227">
        <v>7.29</v>
      </c>
      <c r="N25" s="129">
        <v>23.759762400000003</v>
      </c>
      <c r="O25" s="128">
        <v>71.28</v>
      </c>
      <c r="P25" s="231">
        <v>0</v>
      </c>
      <c r="Q25" s="227">
        <v>0</v>
      </c>
      <c r="R25" s="129">
        <v>30.843024900000003</v>
      </c>
      <c r="S25" s="130">
        <v>71.28</v>
      </c>
      <c r="T25" s="222">
        <v>21.25</v>
      </c>
      <c r="U25" s="217">
        <v>0</v>
      </c>
      <c r="V25" s="127">
        <f>SUM(F25,J25,N25,R25)</f>
        <v>125.9054076</v>
      </c>
      <c r="W25" s="130">
        <f>SUM(G25,K25,O25,S25)</f>
        <v>336.17999999999995</v>
      </c>
      <c r="X25" s="222">
        <f>SUM(H25,L25,P25,T25)</f>
        <v>34.25</v>
      </c>
      <c r="Y25" s="217">
        <f>SUM(I25,M25,Q25,U25)</f>
        <v>7.29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2739.772602</v>
      </c>
      <c r="K26" s="128">
        <v>4503.3900000000003</v>
      </c>
      <c r="L26" s="231">
        <v>2957.41</v>
      </c>
      <c r="M26" s="227">
        <v>758.6</v>
      </c>
      <c r="N26" s="129">
        <v>12.5832075</v>
      </c>
      <c r="O26" s="128">
        <v>0</v>
      </c>
      <c r="P26" s="231">
        <v>37.75</v>
      </c>
      <c r="Q26" s="227">
        <v>0</v>
      </c>
      <c r="R26" s="129">
        <v>277.41389250000003</v>
      </c>
      <c r="S26" s="130">
        <v>0</v>
      </c>
      <c r="T26" s="222">
        <v>262.25</v>
      </c>
      <c r="U26" s="217">
        <v>570</v>
      </c>
      <c r="V26" s="127">
        <f>SUM(F26,J26,N26,R26)</f>
        <v>3029.7697020000001</v>
      </c>
      <c r="W26" s="130">
        <f>SUM(G26,K26,O26,S26)</f>
        <v>4503.3900000000003</v>
      </c>
      <c r="X26" s="222">
        <f>SUM(H26,L26,P26,T26)</f>
        <v>3257.41</v>
      </c>
      <c r="Y26" s="217">
        <f>SUM(I26,M26,Q26,U26)</f>
        <v>1328.6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355.7464425</v>
      </c>
      <c r="K27" s="128">
        <v>437</v>
      </c>
      <c r="L27" s="231">
        <v>0</v>
      </c>
      <c r="M27" s="227">
        <v>630.25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355.7464425</v>
      </c>
      <c r="W27" s="130">
        <f>SUM(G27,K27,O27,S27)</f>
        <v>437</v>
      </c>
      <c r="X27" s="222">
        <f>SUM(H27,L27,P27,T27)</f>
        <v>0</v>
      </c>
      <c r="Y27" s="217">
        <f>SUM(I27,M27,Q27,U27)</f>
        <v>630.25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16.966497</v>
      </c>
      <c r="G28" s="128">
        <v>0</v>
      </c>
      <c r="H28" s="231">
        <v>0</v>
      </c>
      <c r="I28" s="227">
        <v>50.9</v>
      </c>
      <c r="J28" s="129">
        <v>2480.1985311000003</v>
      </c>
      <c r="K28" s="128">
        <v>4816.21</v>
      </c>
      <c r="L28" s="231">
        <v>1420.62</v>
      </c>
      <c r="M28" s="227">
        <v>1203.8399999999999</v>
      </c>
      <c r="N28" s="129">
        <v>508.93491060000002</v>
      </c>
      <c r="O28" s="128">
        <v>0</v>
      </c>
      <c r="P28" s="231">
        <v>1526.82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3006.0999387000002</v>
      </c>
      <c r="W28" s="130">
        <f>SUM(G28,K28,O28,S28)</f>
        <v>4816.21</v>
      </c>
      <c r="X28" s="222">
        <f>SUM(H28,L28,P28,T28)</f>
        <v>2947.4399999999996</v>
      </c>
      <c r="Y28" s="217">
        <f>SUM(I28,M28,Q28,U28)</f>
        <v>1254.74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10228.877710200002</v>
      </c>
      <c r="K29" s="147">
        <v>8720.83</v>
      </c>
      <c r="L29" s="234">
        <v>8492.2800000000007</v>
      </c>
      <c r="M29" s="230">
        <v>13473.83</v>
      </c>
      <c r="N29" s="136">
        <v>7289.26044</v>
      </c>
      <c r="O29" s="147">
        <v>0</v>
      </c>
      <c r="P29" s="234">
        <v>21868</v>
      </c>
      <c r="Q29" s="230">
        <v>0</v>
      </c>
      <c r="R29" s="136">
        <v>12825.538410000001</v>
      </c>
      <c r="S29" s="148">
        <v>20000</v>
      </c>
      <c r="T29" s="226">
        <v>1250</v>
      </c>
      <c r="U29" s="221">
        <v>17227</v>
      </c>
      <c r="V29" s="135">
        <f>SUM(F29,J29,N29,R29)</f>
        <v>30343.676560200001</v>
      </c>
      <c r="W29" s="148">
        <f>SUM(G29,K29,O29,S29)</f>
        <v>28720.83</v>
      </c>
      <c r="X29" s="226">
        <f>SUM(H29,L29,P29,T29)</f>
        <v>31610.28</v>
      </c>
      <c r="Y29" s="221">
        <f>SUM(I29,M29,Q29,U29)</f>
        <v>30700.83</v>
      </c>
    </row>
    <row r="30" spans="1:25" collapsed="1">
      <c r="A30" s="62" t="s">
        <v>151</v>
      </c>
      <c r="B30" s="78">
        <f t="shared" ref="B30:Y30" si="3">SUM(B23:B29)</f>
        <v>42049</v>
      </c>
      <c r="C30" s="91">
        <f t="shared" si="3"/>
        <v>39499</v>
      </c>
      <c r="D30" s="91">
        <f t="shared" si="3"/>
        <v>39499</v>
      </c>
      <c r="E30" s="91">
        <f t="shared" si="3"/>
        <v>39499</v>
      </c>
      <c r="F30" s="78">
        <f t="shared" si="3"/>
        <v>40.726259400000004</v>
      </c>
      <c r="G30" s="91">
        <f t="shared" si="3"/>
        <v>71.28</v>
      </c>
      <c r="H30" s="91">
        <f t="shared" si="3"/>
        <v>0</v>
      </c>
      <c r="I30" s="91">
        <f t="shared" si="3"/>
        <v>50.9</v>
      </c>
      <c r="J30" s="78">
        <f t="shared" si="3"/>
        <v>15852.138143700002</v>
      </c>
      <c r="K30" s="91">
        <f t="shared" si="3"/>
        <v>18599.77</v>
      </c>
      <c r="L30" s="91">
        <f t="shared" si="3"/>
        <v>12883.310000000001</v>
      </c>
      <c r="M30" s="91">
        <f t="shared" si="3"/>
        <v>16073.81</v>
      </c>
      <c r="N30" s="78">
        <f t="shared" si="3"/>
        <v>7834.5383204999998</v>
      </c>
      <c r="O30" s="91">
        <f t="shared" si="3"/>
        <v>71.28</v>
      </c>
      <c r="P30" s="91">
        <f t="shared" si="3"/>
        <v>23432.57</v>
      </c>
      <c r="Q30" s="91">
        <f t="shared" si="3"/>
        <v>0</v>
      </c>
      <c r="R30" s="78">
        <f t="shared" si="3"/>
        <v>13133.795327400001</v>
      </c>
      <c r="S30" s="150">
        <f t="shared" si="3"/>
        <v>20071.28</v>
      </c>
      <c r="T30" s="150">
        <f t="shared" si="3"/>
        <v>1533.5</v>
      </c>
      <c r="U30" s="150">
        <f t="shared" si="3"/>
        <v>17797</v>
      </c>
      <c r="V30" s="78">
        <f t="shared" si="3"/>
        <v>36861.198050999999</v>
      </c>
      <c r="W30" s="150">
        <f t="shared" si="3"/>
        <v>38813.61</v>
      </c>
      <c r="X30" s="150">
        <f t="shared" si="3"/>
        <v>37849.379999999997</v>
      </c>
      <c r="Y30" s="150">
        <f t="shared" si="3"/>
        <v>33921.71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2969</v>
      </c>
      <c r="C40" s="128">
        <v>2485</v>
      </c>
      <c r="D40" s="231">
        <v>2386</v>
      </c>
      <c r="E40" s="227">
        <v>2386</v>
      </c>
      <c r="F40" s="129">
        <v>13.036536300000002</v>
      </c>
      <c r="G40" s="128">
        <v>20.16</v>
      </c>
      <c r="H40" s="231">
        <v>15.88</v>
      </c>
      <c r="I40" s="227">
        <v>3.07</v>
      </c>
      <c r="J40" s="129">
        <v>1126.088739</v>
      </c>
      <c r="K40" s="128">
        <v>1366.37</v>
      </c>
      <c r="L40" s="231">
        <v>1041.07</v>
      </c>
      <c r="M40" s="227">
        <v>970.86</v>
      </c>
      <c r="N40" s="129">
        <v>498.20168459999996</v>
      </c>
      <c r="O40" s="128">
        <v>4.83</v>
      </c>
      <c r="P40" s="231">
        <v>1489.79</v>
      </c>
      <c r="Q40" s="227">
        <v>0</v>
      </c>
      <c r="R40" s="129">
        <v>823.67509650000011</v>
      </c>
      <c r="S40" s="130">
        <v>1356.83</v>
      </c>
      <c r="T40" s="222">
        <v>39.28</v>
      </c>
      <c r="U40" s="217">
        <v>1074.94</v>
      </c>
      <c r="V40" s="127">
        <f>SUM(F40,J40,N40,R40)</f>
        <v>2461.0020564000001</v>
      </c>
      <c r="W40" s="130">
        <f>SUM(G40,K40,O40,S40)</f>
        <v>2748.1899999999996</v>
      </c>
      <c r="X40" s="222">
        <f>SUM(H40,L40,P40,T40)</f>
        <v>2586.02</v>
      </c>
      <c r="Y40" s="217">
        <f>SUM(I40,M40,Q40,U40)</f>
        <v>2048.87</v>
      </c>
    </row>
    <row r="41" spans="1:25" hidden="1" outlineLevel="1">
      <c r="A41" s="134" t="s">
        <v>161</v>
      </c>
      <c r="B41" s="135">
        <v>261</v>
      </c>
      <c r="C41" s="147">
        <v>201</v>
      </c>
      <c r="D41" s="234">
        <v>197</v>
      </c>
      <c r="E41" s="230">
        <v>197</v>
      </c>
      <c r="F41" s="136">
        <v>1.1299887000000002</v>
      </c>
      <c r="G41" s="147">
        <v>1.85</v>
      </c>
      <c r="H41" s="234">
        <v>1.29</v>
      </c>
      <c r="I41" s="230">
        <v>0.25</v>
      </c>
      <c r="J41" s="136">
        <v>96.699033</v>
      </c>
      <c r="K41" s="147">
        <v>125.32</v>
      </c>
      <c r="L41" s="234">
        <v>84.42</v>
      </c>
      <c r="M41" s="230">
        <v>80.36</v>
      </c>
      <c r="N41" s="136">
        <v>40.416262500000002</v>
      </c>
      <c r="O41" s="147">
        <v>0.45</v>
      </c>
      <c r="P41" s="234">
        <v>120.8</v>
      </c>
      <c r="Q41" s="230">
        <v>0</v>
      </c>
      <c r="R41" s="136">
        <v>72.209277900000004</v>
      </c>
      <c r="S41" s="148">
        <v>124.45</v>
      </c>
      <c r="T41" s="226">
        <v>3.19</v>
      </c>
      <c r="U41" s="221">
        <v>88.99</v>
      </c>
      <c r="V41" s="135">
        <f>SUM(F41,J41,N41,R41)</f>
        <v>210.45456210000003</v>
      </c>
      <c r="W41" s="148">
        <f>SUM(G41,K41,O41,S41)</f>
        <v>252.07</v>
      </c>
      <c r="X41" s="226">
        <f>SUM(H41,L41,P41,T41)</f>
        <v>209.7</v>
      </c>
      <c r="Y41" s="221">
        <f>SUM(I41,M41,Q41,U41)</f>
        <v>169.6</v>
      </c>
    </row>
    <row r="42" spans="1:25" collapsed="1">
      <c r="A42" s="62" t="s">
        <v>162</v>
      </c>
      <c r="B42" s="78">
        <f t="shared" ref="B42:Y42" si="5">SUM(B36:B41)</f>
        <v>3230</v>
      </c>
      <c r="C42" s="149">
        <f t="shared" si="5"/>
        <v>2686</v>
      </c>
      <c r="D42" s="149">
        <f t="shared" si="5"/>
        <v>2583</v>
      </c>
      <c r="E42" s="149">
        <f t="shared" si="5"/>
        <v>2583</v>
      </c>
      <c r="F42" s="151">
        <f t="shared" si="5"/>
        <v>14.166525000000002</v>
      </c>
      <c r="G42" s="149">
        <f t="shared" si="5"/>
        <v>22.01</v>
      </c>
      <c r="H42" s="149">
        <f t="shared" si="5"/>
        <v>17.170000000000002</v>
      </c>
      <c r="I42" s="149">
        <f t="shared" si="5"/>
        <v>3.32</v>
      </c>
      <c r="J42" s="151">
        <f t="shared" si="5"/>
        <v>1222.7877720000001</v>
      </c>
      <c r="K42" s="149">
        <f t="shared" si="5"/>
        <v>1491.6899999999998</v>
      </c>
      <c r="L42" s="149">
        <f t="shared" si="5"/>
        <v>1125.49</v>
      </c>
      <c r="M42" s="149">
        <f t="shared" si="5"/>
        <v>1051.22</v>
      </c>
      <c r="N42" s="151">
        <f t="shared" si="5"/>
        <v>538.61794709999992</v>
      </c>
      <c r="O42" s="149">
        <f t="shared" si="5"/>
        <v>5.28</v>
      </c>
      <c r="P42" s="149">
        <f t="shared" si="5"/>
        <v>1610.59</v>
      </c>
      <c r="Q42" s="149">
        <f t="shared" si="5"/>
        <v>0</v>
      </c>
      <c r="R42" s="151">
        <f t="shared" si="5"/>
        <v>895.88437440000007</v>
      </c>
      <c r="S42" s="152">
        <f t="shared" si="5"/>
        <v>1481.28</v>
      </c>
      <c r="T42" s="152">
        <f t="shared" si="5"/>
        <v>42.47</v>
      </c>
      <c r="U42" s="152">
        <f t="shared" si="5"/>
        <v>1163.93</v>
      </c>
      <c r="V42" s="78">
        <f t="shared" si="5"/>
        <v>2671.4566185000003</v>
      </c>
      <c r="W42" s="152">
        <f t="shared" si="5"/>
        <v>3000.2599999999998</v>
      </c>
      <c r="X42" s="152">
        <f t="shared" si="5"/>
        <v>2795.72</v>
      </c>
      <c r="Y42" s="152">
        <f t="shared" si="5"/>
        <v>2218.4699999999998</v>
      </c>
    </row>
    <row r="43" spans="1:25" ht="16.2" thickBot="1">
      <c r="A43" s="137" t="s">
        <v>163</v>
      </c>
      <c r="B43" s="138">
        <f>SUM(B21,B30,B34,B42)</f>
        <v>45279</v>
      </c>
      <c r="C43" s="139">
        <f t="shared" ref="C43:U43" si="6">SUM(C21,C30,C34,C42)</f>
        <v>42185</v>
      </c>
      <c r="D43" s="139">
        <f t="shared" si="6"/>
        <v>42082</v>
      </c>
      <c r="E43" s="139">
        <f t="shared" si="6"/>
        <v>42082</v>
      </c>
      <c r="F43" s="138">
        <f t="shared" si="6"/>
        <v>214.65785340000002</v>
      </c>
      <c r="G43" s="139">
        <f t="shared" si="6"/>
        <v>320.09000000000003</v>
      </c>
      <c r="H43" s="139">
        <f t="shared" si="6"/>
        <v>269.67</v>
      </c>
      <c r="I43" s="139">
        <f t="shared" si="6"/>
        <v>54.22</v>
      </c>
      <c r="J43" s="138">
        <f t="shared" si="6"/>
        <v>18835.158313200001</v>
      </c>
      <c r="K43" s="139">
        <f t="shared" si="6"/>
        <v>21704.26</v>
      </c>
      <c r="L43" s="139">
        <f t="shared" si="6"/>
        <v>17676.750000000004</v>
      </c>
      <c r="M43" s="139">
        <f t="shared" si="6"/>
        <v>17125.03</v>
      </c>
      <c r="N43" s="138">
        <f t="shared" si="6"/>
        <v>8457.3220925999995</v>
      </c>
      <c r="O43" s="139">
        <f t="shared" si="6"/>
        <v>76.56</v>
      </c>
      <c r="P43" s="139">
        <f t="shared" si="6"/>
        <v>25295.66</v>
      </c>
      <c r="Q43" s="139">
        <f t="shared" si="6"/>
        <v>0</v>
      </c>
      <c r="R43" s="138">
        <f t="shared" si="6"/>
        <v>13726.682731800001</v>
      </c>
      <c r="S43" s="138">
        <f t="shared" si="6"/>
        <v>21552.559999999998</v>
      </c>
      <c r="T43" s="138">
        <f t="shared" si="6"/>
        <v>666.97</v>
      </c>
      <c r="U43" s="138">
        <f t="shared" si="6"/>
        <v>18960.93</v>
      </c>
      <c r="V43" s="138">
        <f>SUM(V21,V30,V34,V42)</f>
        <v>41233.820991000001</v>
      </c>
      <c r="W43" s="138">
        <f t="shared" ref="W43:Y43" si="7">SUM(W21,W30,W34,W42)</f>
        <v>43653.47</v>
      </c>
      <c r="X43" s="138">
        <f t="shared" si="7"/>
        <v>43909.049999999996</v>
      </c>
      <c r="Y43" s="138">
        <f t="shared" si="7"/>
        <v>36140.18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1980.5868605999999</v>
      </c>
      <c r="S45" s="142">
        <v>0</v>
      </c>
      <c r="T45" s="224">
        <v>0</v>
      </c>
      <c r="U45" s="219">
        <v>5941.82</v>
      </c>
      <c r="V45" s="141">
        <f>SUM(F45,J45,N45,R45)</f>
        <v>1980.5868605999999</v>
      </c>
      <c r="W45" s="142">
        <f>SUM(G45,K45,O45,S45)</f>
        <v>0</v>
      </c>
      <c r="X45" s="224">
        <f>SUM(H45,L45,P45,T45)</f>
        <v>0</v>
      </c>
      <c r="Y45" s="219">
        <f>SUM(I45,M45,Q45,U45)</f>
        <v>5941.82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1980.5868605999999</v>
      </c>
      <c r="S47" s="150">
        <f t="shared" si="8"/>
        <v>0</v>
      </c>
      <c r="T47" s="150">
        <f t="shared" si="8"/>
        <v>0</v>
      </c>
      <c r="U47" s="150">
        <f t="shared" si="8"/>
        <v>5941.82</v>
      </c>
      <c r="V47" s="153">
        <f t="shared" si="8"/>
        <v>1980.5868605999999</v>
      </c>
      <c r="W47" s="150">
        <f t="shared" si="8"/>
        <v>0</v>
      </c>
      <c r="X47" s="150">
        <f t="shared" si="8"/>
        <v>0</v>
      </c>
      <c r="Y47" s="150">
        <f t="shared" si="8"/>
        <v>5941.82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-20843.131566600001</v>
      </c>
      <c r="G48" s="139">
        <f t="shared" si="9"/>
        <v>-20771.91</v>
      </c>
      <c r="H48" s="139">
        <f t="shared" si="9"/>
        <v>-20771.330000000002</v>
      </c>
      <c r="I48" s="139">
        <f t="shared" si="9"/>
        <v>-20986.78</v>
      </c>
      <c r="J48" s="138">
        <f t="shared" si="9"/>
        <v>18835.158313200001</v>
      </c>
      <c r="K48" s="139">
        <f t="shared" si="9"/>
        <v>21704.26</v>
      </c>
      <c r="L48" s="139">
        <f t="shared" si="9"/>
        <v>17676.750000000004</v>
      </c>
      <c r="M48" s="139">
        <f t="shared" si="9"/>
        <v>17125.03</v>
      </c>
      <c r="N48" s="138">
        <f t="shared" si="9"/>
        <v>-12600.800657400003</v>
      </c>
      <c r="O48" s="139">
        <f t="shared" si="9"/>
        <v>-21016.44</v>
      </c>
      <c r="P48" s="139">
        <f t="shared" si="9"/>
        <v>4254.66</v>
      </c>
      <c r="Q48" s="139">
        <f t="shared" si="9"/>
        <v>-21041</v>
      </c>
      <c r="R48" s="138">
        <f t="shared" si="9"/>
        <v>14608.773910800002</v>
      </c>
      <c r="S48" s="138">
        <f t="shared" si="9"/>
        <v>20084.089999999997</v>
      </c>
      <c r="T48" s="138">
        <f t="shared" si="9"/>
        <v>-1160.08</v>
      </c>
      <c r="U48" s="138">
        <f t="shared" si="9"/>
        <v>24902.75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-7.2759576141834259E-12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81" priority="13" operator="lessThan">
      <formula>-0.01</formula>
    </cfRule>
  </conditionalFormatting>
  <conditionalFormatting sqref="Y15:Y21 Y23:Y30 Y32:Y34 Y36:Y43">
    <cfRule type="cellIs" dxfId="180" priority="12" operator="lessThan">
      <formula>-0.01</formula>
    </cfRule>
  </conditionalFormatting>
  <conditionalFormatting sqref="X15:X21 X23:X30 X32:X34 X36:X43">
    <cfRule type="cellIs" dxfId="179" priority="11" operator="lessThan">
      <formula>-0.01</formula>
    </cfRule>
  </conditionalFormatting>
  <conditionalFormatting sqref="U15:U21 U23:U30 U32:U34 U36:U43">
    <cfRule type="cellIs" dxfId="178" priority="10" operator="lessThan">
      <formula>-0.01</formula>
    </cfRule>
  </conditionalFormatting>
  <conditionalFormatting sqref="T15:T21 T23:T30 T32:T34 T36:T43">
    <cfRule type="cellIs" dxfId="177" priority="9" operator="lessThan">
      <formula>-0.01</formula>
    </cfRule>
  </conditionalFormatting>
  <conditionalFormatting sqref="Q15:Q21 Q23:Q30 Q32:Q34 Q36:Q43">
    <cfRule type="cellIs" dxfId="176" priority="8" operator="lessThan">
      <formula>-0.01</formula>
    </cfRule>
  </conditionalFormatting>
  <conditionalFormatting sqref="P15:P21 P23:P30 P32:P34 P36:P43">
    <cfRule type="cellIs" dxfId="175" priority="7" operator="lessThan">
      <formula>-0.01</formula>
    </cfRule>
  </conditionalFormatting>
  <conditionalFormatting sqref="M15:M21 M23:M30 M32:M34 M36:M43">
    <cfRule type="cellIs" dxfId="174" priority="6" operator="lessThan">
      <formula>-0.01</formula>
    </cfRule>
  </conditionalFormatting>
  <conditionalFormatting sqref="L15:L21 L23:L30 L32:L34 L36:L43">
    <cfRule type="cellIs" dxfId="173" priority="5" operator="lessThan">
      <formula>-0.01</formula>
    </cfRule>
  </conditionalFormatting>
  <conditionalFormatting sqref="I15:I21 I23:I30 I32:I34 I36:I43">
    <cfRule type="cellIs" dxfId="172" priority="4" operator="lessThan">
      <formula>-0.01</formula>
    </cfRule>
  </conditionalFormatting>
  <conditionalFormatting sqref="H15:H21 H23:H30 H32:H34 H36:H43">
    <cfRule type="cellIs" dxfId="171" priority="3" operator="lessThan">
      <formula>-0.01</formula>
    </cfRule>
  </conditionalFormatting>
  <conditionalFormatting sqref="E15:E21 E23:E30 E32:E34 E36:E43">
    <cfRule type="cellIs" dxfId="170" priority="2" operator="lessThan">
      <formula>-0.01</formula>
    </cfRule>
  </conditionalFormatting>
  <conditionalFormatting sqref="D15:D21 D23:D30 D32:D34 D36:D43">
    <cfRule type="cellIs" dxfId="169" priority="1" operator="lessThan">
      <formula>-0.01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3B08D-C4D4-4EB5-954E-3828E3E8ECC1}">
  <sheetPr codeName="Sheet81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726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0</v>
      </c>
      <c r="D8" s="231">
        <v>0</v>
      </c>
      <c r="E8" s="227">
        <v>0</v>
      </c>
      <c r="F8" s="129">
        <v>0</v>
      </c>
      <c r="G8" s="128">
        <v>0</v>
      </c>
      <c r="H8" s="231">
        <v>0</v>
      </c>
      <c r="I8" s="227">
        <v>0</v>
      </c>
      <c r="J8" s="129">
        <v>0</v>
      </c>
      <c r="K8" s="128">
        <v>0</v>
      </c>
      <c r="L8" s="231">
        <v>0</v>
      </c>
      <c r="M8" s="227">
        <v>0</v>
      </c>
      <c r="N8" s="129">
        <v>0</v>
      </c>
      <c r="O8" s="128">
        <v>0</v>
      </c>
      <c r="P8" s="231">
        <v>0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0</v>
      </c>
      <c r="W8" s="130">
        <f>SUM(G8,K8,O8,S8)</f>
        <v>0</v>
      </c>
      <c r="X8" s="222">
        <f>SUM(H8,L8,P8,T8)</f>
        <v>0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0</v>
      </c>
      <c r="D12" s="139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9">
        <f t="shared" si="0"/>
        <v>0</v>
      </c>
      <c r="I12" s="139">
        <f t="shared" si="0"/>
        <v>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0</v>
      </c>
      <c r="O12" s="139">
        <f t="shared" si="0"/>
        <v>0</v>
      </c>
      <c r="P12" s="139">
        <f t="shared" si="0"/>
        <v>0</v>
      </c>
      <c r="Q12" s="139">
        <f t="shared" si="0"/>
        <v>0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0</v>
      </c>
      <c r="W12" s="138">
        <f t="shared" ref="W12:Y12" si="1">SUM(W8:W11)</f>
        <v>0</v>
      </c>
      <c r="X12" s="138">
        <f t="shared" si="1"/>
        <v>0</v>
      </c>
      <c r="Y12" s="138">
        <f t="shared" si="1"/>
        <v>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0</v>
      </c>
      <c r="W30" s="150">
        <f t="shared" si="3"/>
        <v>0</v>
      </c>
      <c r="X30" s="150">
        <f t="shared" si="3"/>
        <v>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0</v>
      </c>
      <c r="E40" s="227">
        <v>0</v>
      </c>
      <c r="F40" s="129">
        <v>0</v>
      </c>
      <c r="G40" s="128">
        <v>0</v>
      </c>
      <c r="H40" s="231">
        <v>0</v>
      </c>
      <c r="I40" s="227">
        <v>0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0</v>
      </c>
      <c r="S40" s="130">
        <v>0</v>
      </c>
      <c r="T40" s="222">
        <v>0</v>
      </c>
      <c r="U40" s="217">
        <v>0</v>
      </c>
      <c r="V40" s="127">
        <f>SUM(F40,J40,N40,R40)</f>
        <v>0</v>
      </c>
      <c r="W40" s="130">
        <f>SUM(G40,K40,O40,S40)</f>
        <v>0</v>
      </c>
      <c r="X40" s="222">
        <f>SUM(H40,L40,P40,T40)</f>
        <v>0</v>
      </c>
      <c r="Y40" s="217">
        <f>SUM(I40,M40,Q40,U40)</f>
        <v>0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0</v>
      </c>
      <c r="E41" s="230">
        <v>0</v>
      </c>
      <c r="F41" s="136">
        <v>0</v>
      </c>
      <c r="G41" s="147">
        <v>0</v>
      </c>
      <c r="H41" s="234">
        <v>0</v>
      </c>
      <c r="I41" s="230">
        <v>0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</v>
      </c>
      <c r="S41" s="148">
        <v>0</v>
      </c>
      <c r="T41" s="226">
        <v>0</v>
      </c>
      <c r="U41" s="221">
        <v>0</v>
      </c>
      <c r="V41" s="135">
        <f>SUM(F41,J41,N41,R41)</f>
        <v>0</v>
      </c>
      <c r="W41" s="148">
        <f>SUM(G41,K41,O41,S41)</f>
        <v>0</v>
      </c>
      <c r="X41" s="226">
        <f>SUM(H41,L41,P41,T41)</f>
        <v>0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0</v>
      </c>
      <c r="E42" s="149">
        <f t="shared" si="5"/>
        <v>0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0</v>
      </c>
      <c r="S42" s="152">
        <f t="shared" si="5"/>
        <v>0</v>
      </c>
      <c r="T42" s="152">
        <f t="shared" si="5"/>
        <v>0</v>
      </c>
      <c r="U42" s="152">
        <f t="shared" si="5"/>
        <v>0</v>
      </c>
      <c r="V42" s="78">
        <f t="shared" si="5"/>
        <v>0</v>
      </c>
      <c r="W42" s="152">
        <f t="shared" si="5"/>
        <v>0</v>
      </c>
      <c r="X42" s="152">
        <f t="shared" si="5"/>
        <v>0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0</v>
      </c>
      <c r="E43" s="139">
        <f t="shared" si="6"/>
        <v>0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0</v>
      </c>
      <c r="S43" s="138">
        <f t="shared" si="6"/>
        <v>0</v>
      </c>
      <c r="T43" s="138">
        <f t="shared" si="6"/>
        <v>0</v>
      </c>
      <c r="U43" s="138">
        <f t="shared" si="6"/>
        <v>0</v>
      </c>
      <c r="V43" s="138">
        <f>SUM(V21,V30,V34,V42)</f>
        <v>0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0</v>
      </c>
      <c r="S45" s="142">
        <v>0</v>
      </c>
      <c r="T45" s="224">
        <v>0</v>
      </c>
      <c r="U45" s="219">
        <v>0</v>
      </c>
      <c r="V45" s="141">
        <f>SUM(F45,J45,N45,R45)</f>
        <v>0</v>
      </c>
      <c r="W45" s="142">
        <f>SUM(G45,K45,O45,S45)</f>
        <v>0</v>
      </c>
      <c r="X45" s="224">
        <f>SUM(H45,L45,P45,T45)</f>
        <v>0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0</v>
      </c>
      <c r="S47" s="150">
        <f t="shared" si="8"/>
        <v>0</v>
      </c>
      <c r="T47" s="150">
        <f t="shared" si="8"/>
        <v>0</v>
      </c>
      <c r="U47" s="150">
        <f t="shared" si="8"/>
        <v>0</v>
      </c>
      <c r="V47" s="153">
        <f t="shared" si="8"/>
        <v>0</v>
      </c>
      <c r="W47" s="150">
        <f t="shared" si="8"/>
        <v>0</v>
      </c>
      <c r="X47" s="150">
        <f t="shared" si="8"/>
        <v>0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0</v>
      </c>
      <c r="G48" s="139">
        <f t="shared" si="9"/>
        <v>0</v>
      </c>
      <c r="H48" s="139">
        <f t="shared" si="9"/>
        <v>0</v>
      </c>
      <c r="I48" s="139">
        <f t="shared" si="9"/>
        <v>0</v>
      </c>
      <c r="J48" s="138">
        <f t="shared" si="9"/>
        <v>0</v>
      </c>
      <c r="K48" s="139">
        <f t="shared" si="9"/>
        <v>0</v>
      </c>
      <c r="L48" s="139">
        <f t="shared" si="9"/>
        <v>0</v>
      </c>
      <c r="M48" s="139">
        <f t="shared" si="9"/>
        <v>0</v>
      </c>
      <c r="N48" s="138">
        <f t="shared" si="9"/>
        <v>0</v>
      </c>
      <c r="O48" s="139">
        <f t="shared" si="9"/>
        <v>0</v>
      </c>
      <c r="P48" s="139">
        <f t="shared" si="9"/>
        <v>0</v>
      </c>
      <c r="Q48" s="139">
        <f t="shared" si="9"/>
        <v>0</v>
      </c>
      <c r="R48" s="138">
        <f t="shared" si="9"/>
        <v>0</v>
      </c>
      <c r="S48" s="138">
        <f t="shared" si="9"/>
        <v>0</v>
      </c>
      <c r="T48" s="138">
        <f t="shared" si="9"/>
        <v>0</v>
      </c>
      <c r="U48" s="138">
        <f t="shared" si="9"/>
        <v>0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68" priority="13" operator="lessThan">
      <formula>-0.01</formula>
    </cfRule>
  </conditionalFormatting>
  <conditionalFormatting sqref="Y15:Y21 Y23:Y30 Y32:Y34 Y36:Y43">
    <cfRule type="cellIs" dxfId="167" priority="12" operator="lessThan">
      <formula>-0.01</formula>
    </cfRule>
  </conditionalFormatting>
  <conditionalFormatting sqref="X15:X21 X23:X30 X32:X34 X36:X43">
    <cfRule type="cellIs" dxfId="166" priority="11" operator="lessThan">
      <formula>-0.01</formula>
    </cfRule>
  </conditionalFormatting>
  <conditionalFormatting sqref="U15:U21 U23:U30 U32:U34 U36:U43">
    <cfRule type="cellIs" dxfId="165" priority="10" operator="lessThan">
      <formula>-0.01</formula>
    </cfRule>
  </conditionalFormatting>
  <conditionalFormatting sqref="T15:T21 T23:T30 T32:T34 T36:T43">
    <cfRule type="cellIs" dxfId="164" priority="9" operator="lessThan">
      <formula>-0.01</formula>
    </cfRule>
  </conditionalFormatting>
  <conditionalFormatting sqref="Q15:Q21 Q23:Q30 Q32:Q34 Q36:Q43">
    <cfRule type="cellIs" dxfId="163" priority="8" operator="lessThan">
      <formula>-0.01</formula>
    </cfRule>
  </conditionalFormatting>
  <conditionalFormatting sqref="P15:P21 P23:P30 P32:P34 P36:P43">
    <cfRule type="cellIs" dxfId="162" priority="7" operator="lessThan">
      <formula>-0.01</formula>
    </cfRule>
  </conditionalFormatting>
  <conditionalFormatting sqref="M15:M21 M23:M30 M32:M34 M36:M43">
    <cfRule type="cellIs" dxfId="161" priority="6" operator="lessThan">
      <formula>-0.01</formula>
    </cfRule>
  </conditionalFormatting>
  <conditionalFormatting sqref="L15:L21 L23:L30 L32:L34 L36:L43">
    <cfRule type="cellIs" dxfId="160" priority="5" operator="lessThan">
      <formula>-0.01</formula>
    </cfRule>
  </conditionalFormatting>
  <conditionalFormatting sqref="I15:I21 I23:I30 I32:I34 I36:I43">
    <cfRule type="cellIs" dxfId="159" priority="4" operator="lessThan">
      <formula>-0.01</formula>
    </cfRule>
  </conditionalFormatting>
  <conditionalFormatting sqref="H15:H21 H23:H30 H32:H34 H36:H43">
    <cfRule type="cellIs" dxfId="158" priority="3" operator="lessThan">
      <formula>-0.01</formula>
    </cfRule>
  </conditionalFormatting>
  <conditionalFormatting sqref="E15:E21 E23:E30 E32:E34 E36:E43">
    <cfRule type="cellIs" dxfId="157" priority="2" operator="lessThan">
      <formula>-0.01</formula>
    </cfRule>
  </conditionalFormatting>
  <conditionalFormatting sqref="D15:D21 D23:D30 D32:D34 D36:D43">
    <cfRule type="cellIs" dxfId="156" priority="1" operator="lessThan">
      <formula>-0.01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D8D55-2759-4590-AC71-D57AD1A99B67}">
  <sheetPr codeName="Sheet82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728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-1068</v>
      </c>
      <c r="C8" s="128">
        <v>-1060</v>
      </c>
      <c r="D8" s="231">
        <v>-1057</v>
      </c>
      <c r="E8" s="227">
        <v>-1057</v>
      </c>
      <c r="F8" s="129">
        <v>-528.99470999999994</v>
      </c>
      <c r="G8" s="128">
        <v>-530</v>
      </c>
      <c r="H8" s="231">
        <v>-528</v>
      </c>
      <c r="I8" s="227">
        <v>-529</v>
      </c>
      <c r="J8" s="129">
        <v>0</v>
      </c>
      <c r="K8" s="128">
        <v>0</v>
      </c>
      <c r="L8" s="231">
        <v>0</v>
      </c>
      <c r="M8" s="227">
        <v>0</v>
      </c>
      <c r="N8" s="129">
        <v>-528.99471000000005</v>
      </c>
      <c r="O8" s="128">
        <v>-530</v>
      </c>
      <c r="P8" s="231">
        <v>-529</v>
      </c>
      <c r="Q8" s="227">
        <v>-528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-1057.9894199999999</v>
      </c>
      <c r="W8" s="130">
        <f>SUM(G8,K8,O8,S8)</f>
        <v>-1060</v>
      </c>
      <c r="X8" s="222">
        <f>SUM(H8,L8,P8,T8)</f>
        <v>-1057</v>
      </c>
      <c r="Y8" s="217">
        <f>SUM(I8,M8,Q8,U8)</f>
        <v>-1057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-827.26172730000008</v>
      </c>
      <c r="S11" s="133">
        <v>0</v>
      </c>
      <c r="T11" s="223">
        <v>0</v>
      </c>
      <c r="U11" s="218">
        <v>-2481.81</v>
      </c>
      <c r="V11" s="135">
        <f>SUM(F11,J11,N11,R11)</f>
        <v>-827.26172730000008</v>
      </c>
      <c r="W11" s="133">
        <f>SUM(G11,K11,O11,S11)</f>
        <v>0</v>
      </c>
      <c r="X11" s="223">
        <f>SUM(H11,L11,P11,T11)</f>
        <v>0</v>
      </c>
      <c r="Y11" s="218">
        <f>SUM(I11,M11,Q11,U11)</f>
        <v>-2481.81</v>
      </c>
    </row>
    <row r="12" spans="1:52" ht="16.2" collapsed="1" thickBot="1">
      <c r="A12" s="137" t="s">
        <v>134</v>
      </c>
      <c r="B12" s="138">
        <f>SUM(B8:B11)</f>
        <v>-1068</v>
      </c>
      <c r="C12" s="139">
        <f t="shared" ref="C12:U12" si="0">SUM(C8:C11)</f>
        <v>-1060</v>
      </c>
      <c r="D12" s="139">
        <f t="shared" si="0"/>
        <v>-1057</v>
      </c>
      <c r="E12" s="139">
        <f t="shared" si="0"/>
        <v>-1057</v>
      </c>
      <c r="F12" s="138">
        <f t="shared" si="0"/>
        <v>-528.99470999999994</v>
      </c>
      <c r="G12" s="139">
        <f t="shared" si="0"/>
        <v>-530</v>
      </c>
      <c r="H12" s="139">
        <f t="shared" si="0"/>
        <v>-528</v>
      </c>
      <c r="I12" s="139">
        <f t="shared" si="0"/>
        <v>-529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-528.99471000000005</v>
      </c>
      <c r="O12" s="139">
        <f t="shared" si="0"/>
        <v>-530</v>
      </c>
      <c r="P12" s="139">
        <f t="shared" si="0"/>
        <v>-529</v>
      </c>
      <c r="Q12" s="139">
        <f t="shared" si="0"/>
        <v>-528</v>
      </c>
      <c r="R12" s="138">
        <f t="shared" si="0"/>
        <v>-827.26172730000008</v>
      </c>
      <c r="S12" s="138">
        <f t="shared" si="0"/>
        <v>0</v>
      </c>
      <c r="T12" s="138">
        <f t="shared" si="0"/>
        <v>0</v>
      </c>
      <c r="U12" s="138">
        <f t="shared" si="0"/>
        <v>-2481.81</v>
      </c>
      <c r="V12" s="138">
        <f>SUM(V8:V11)</f>
        <v>-1885.2511473</v>
      </c>
      <c r="W12" s="138">
        <f t="shared" ref="W12:Y12" si="1">SUM(W8:W11)</f>
        <v>-1060</v>
      </c>
      <c r="X12" s="138">
        <f t="shared" si="1"/>
        <v>-1057</v>
      </c>
      <c r="Y12" s="138">
        <f t="shared" si="1"/>
        <v>-3538.81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992</v>
      </c>
      <c r="C23" s="128">
        <v>992</v>
      </c>
      <c r="D23" s="231">
        <v>992</v>
      </c>
      <c r="E23" s="227">
        <v>992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674.49658829999998</v>
      </c>
      <c r="G25" s="128">
        <v>0</v>
      </c>
      <c r="H25" s="231">
        <v>0</v>
      </c>
      <c r="I25" s="227">
        <v>2023.51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14.99985</v>
      </c>
      <c r="S25" s="130">
        <v>0</v>
      </c>
      <c r="T25" s="222">
        <v>45</v>
      </c>
      <c r="U25" s="217">
        <v>0</v>
      </c>
      <c r="V25" s="127">
        <f>SUM(F25,J25,N25,R25)</f>
        <v>689.49643830000002</v>
      </c>
      <c r="W25" s="130">
        <f>SUM(G25,K25,O25,S25)</f>
        <v>0</v>
      </c>
      <c r="X25" s="222">
        <f>SUM(H25,L25,P25,T25)</f>
        <v>45</v>
      </c>
      <c r="Y25" s="217">
        <f>SUM(I25,M25,Q25,U25)</f>
        <v>2023.51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355.47977850000001</v>
      </c>
      <c r="S26" s="130">
        <v>0</v>
      </c>
      <c r="T26" s="222">
        <v>0</v>
      </c>
      <c r="U26" s="217">
        <v>1066.45</v>
      </c>
      <c r="V26" s="127">
        <f>SUM(F26,J26,N26,R26)</f>
        <v>355.47977850000001</v>
      </c>
      <c r="W26" s="130">
        <f>SUM(G26,K26,O26,S26)</f>
        <v>0</v>
      </c>
      <c r="X26" s="222">
        <f>SUM(H26,L26,P26,T26)</f>
        <v>0</v>
      </c>
      <c r="Y26" s="217">
        <f>SUM(I26,M26,Q26,U26)</f>
        <v>1066.45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19.5931374</v>
      </c>
      <c r="S27" s="130">
        <v>0</v>
      </c>
      <c r="T27" s="222">
        <v>0</v>
      </c>
      <c r="U27" s="217">
        <v>58.78</v>
      </c>
      <c r="V27" s="127">
        <f>SUM(F27,J27,N27,R27)</f>
        <v>19.5931374</v>
      </c>
      <c r="W27" s="130">
        <f>SUM(G27,K27,O27,S27)</f>
        <v>0</v>
      </c>
      <c r="X27" s="222">
        <f>SUM(H27,L27,P27,T27)</f>
        <v>0</v>
      </c>
      <c r="Y27" s="217">
        <f>SUM(I27,M27,Q27,U27)</f>
        <v>58.78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18.0098199</v>
      </c>
      <c r="K28" s="128">
        <v>0</v>
      </c>
      <c r="L28" s="231">
        <v>54.03</v>
      </c>
      <c r="M28" s="227">
        <v>0</v>
      </c>
      <c r="N28" s="129">
        <v>46.779532200000006</v>
      </c>
      <c r="O28" s="128">
        <v>0</v>
      </c>
      <c r="P28" s="231">
        <v>140.34</v>
      </c>
      <c r="Q28" s="227">
        <v>0</v>
      </c>
      <c r="R28" s="129">
        <v>127.67872319999999</v>
      </c>
      <c r="S28" s="130">
        <v>0</v>
      </c>
      <c r="T28" s="222">
        <v>329.21</v>
      </c>
      <c r="U28" s="217">
        <v>53.83</v>
      </c>
      <c r="V28" s="127">
        <f>SUM(F28,J28,N28,R28)</f>
        <v>192.46807530000001</v>
      </c>
      <c r="W28" s="130">
        <f>SUM(G28,K28,O28,S28)</f>
        <v>0</v>
      </c>
      <c r="X28" s="222">
        <f>SUM(H28,L28,P28,T28)</f>
        <v>523.57999999999993</v>
      </c>
      <c r="Y28" s="217">
        <f>SUM(I28,M28,Q28,U28)</f>
        <v>53.83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-49.999500000000005</v>
      </c>
      <c r="G29" s="147">
        <v>0</v>
      </c>
      <c r="H29" s="234">
        <v>0</v>
      </c>
      <c r="I29" s="230">
        <v>-150</v>
      </c>
      <c r="J29" s="136">
        <v>80.939190600000003</v>
      </c>
      <c r="K29" s="147">
        <v>92.82</v>
      </c>
      <c r="L29" s="234">
        <v>0</v>
      </c>
      <c r="M29" s="230">
        <v>150</v>
      </c>
      <c r="N29" s="136">
        <v>0</v>
      </c>
      <c r="O29" s="147">
        <v>0</v>
      </c>
      <c r="P29" s="234">
        <v>0</v>
      </c>
      <c r="Q29" s="230">
        <v>0</v>
      </c>
      <c r="R29" s="136">
        <v>39.666270000000004</v>
      </c>
      <c r="S29" s="148">
        <v>0</v>
      </c>
      <c r="T29" s="226">
        <v>0</v>
      </c>
      <c r="U29" s="221">
        <v>119</v>
      </c>
      <c r="V29" s="135">
        <f>SUM(F29,J29,N29,R29)</f>
        <v>70.605960600000003</v>
      </c>
      <c r="W29" s="148">
        <f>SUM(G29,K29,O29,S29)</f>
        <v>92.82</v>
      </c>
      <c r="X29" s="226">
        <f>SUM(H29,L29,P29,T29)</f>
        <v>0</v>
      </c>
      <c r="Y29" s="221">
        <f>SUM(I29,M29,Q29,U29)</f>
        <v>119</v>
      </c>
    </row>
    <row r="30" spans="1:25" collapsed="1">
      <c r="A30" s="62" t="s">
        <v>151</v>
      </c>
      <c r="B30" s="78">
        <f t="shared" ref="B30:Y30" si="3">SUM(B23:B29)</f>
        <v>992</v>
      </c>
      <c r="C30" s="91">
        <f t="shared" si="3"/>
        <v>992</v>
      </c>
      <c r="D30" s="91">
        <f t="shared" si="3"/>
        <v>992</v>
      </c>
      <c r="E30" s="91">
        <f t="shared" si="3"/>
        <v>992</v>
      </c>
      <c r="F30" s="78">
        <f t="shared" si="3"/>
        <v>624.49708829999997</v>
      </c>
      <c r="G30" s="91">
        <f t="shared" si="3"/>
        <v>0</v>
      </c>
      <c r="H30" s="91">
        <f t="shared" si="3"/>
        <v>0</v>
      </c>
      <c r="I30" s="91">
        <f t="shared" si="3"/>
        <v>1873.51</v>
      </c>
      <c r="J30" s="78">
        <f t="shared" si="3"/>
        <v>98.9490105</v>
      </c>
      <c r="K30" s="91">
        <f t="shared" si="3"/>
        <v>92.82</v>
      </c>
      <c r="L30" s="91">
        <f t="shared" si="3"/>
        <v>54.03</v>
      </c>
      <c r="M30" s="91">
        <f t="shared" si="3"/>
        <v>150</v>
      </c>
      <c r="N30" s="78">
        <f t="shared" si="3"/>
        <v>46.779532200000006</v>
      </c>
      <c r="O30" s="91">
        <f t="shared" si="3"/>
        <v>0</v>
      </c>
      <c r="P30" s="91">
        <f t="shared" si="3"/>
        <v>140.34</v>
      </c>
      <c r="Q30" s="91">
        <f t="shared" si="3"/>
        <v>0</v>
      </c>
      <c r="R30" s="78">
        <f t="shared" si="3"/>
        <v>557.41775910000001</v>
      </c>
      <c r="S30" s="150">
        <f t="shared" si="3"/>
        <v>0</v>
      </c>
      <c r="T30" s="150">
        <f t="shared" si="3"/>
        <v>374.21</v>
      </c>
      <c r="U30" s="150">
        <f t="shared" si="3"/>
        <v>1298.06</v>
      </c>
      <c r="V30" s="78">
        <f t="shared" si="3"/>
        <v>1327.6433901</v>
      </c>
      <c r="W30" s="150">
        <f t="shared" si="3"/>
        <v>92.82</v>
      </c>
      <c r="X30" s="150">
        <f t="shared" si="3"/>
        <v>568.57999999999993</v>
      </c>
      <c r="Y30" s="150">
        <f t="shared" si="3"/>
        <v>3321.57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70</v>
      </c>
      <c r="C40" s="128">
        <v>62</v>
      </c>
      <c r="D40" s="231">
        <v>60</v>
      </c>
      <c r="E40" s="227">
        <v>60</v>
      </c>
      <c r="F40" s="129">
        <v>37.719622800000003</v>
      </c>
      <c r="G40" s="128">
        <v>0</v>
      </c>
      <c r="H40" s="231">
        <v>0</v>
      </c>
      <c r="I40" s="227">
        <v>113.16</v>
      </c>
      <c r="J40" s="129">
        <v>6.2466042000000002</v>
      </c>
      <c r="K40" s="128">
        <v>6.28</v>
      </c>
      <c r="L40" s="231">
        <v>3.4</v>
      </c>
      <c r="M40" s="227">
        <v>9.06</v>
      </c>
      <c r="N40" s="129">
        <v>2.9433039000000001</v>
      </c>
      <c r="O40" s="128">
        <v>0</v>
      </c>
      <c r="P40" s="231">
        <v>8.83</v>
      </c>
      <c r="Q40" s="227">
        <v>0</v>
      </c>
      <c r="R40" s="129">
        <v>33.979660200000005</v>
      </c>
      <c r="S40" s="130">
        <v>0</v>
      </c>
      <c r="T40" s="222">
        <v>23.54</v>
      </c>
      <c r="U40" s="217">
        <v>78.400000000000006</v>
      </c>
      <c r="V40" s="127">
        <f>SUM(F40,J40,N40,R40)</f>
        <v>80.889191100000005</v>
      </c>
      <c r="W40" s="130">
        <f>SUM(G40,K40,O40,S40)</f>
        <v>6.28</v>
      </c>
      <c r="X40" s="222">
        <f>SUM(H40,L40,P40,T40)</f>
        <v>35.769999999999996</v>
      </c>
      <c r="Y40" s="217">
        <f>SUM(I40,M40,Q40,U40)</f>
        <v>200.62</v>
      </c>
    </row>
    <row r="41" spans="1:25" hidden="1" outlineLevel="1">
      <c r="A41" s="134" t="s">
        <v>161</v>
      </c>
      <c r="B41" s="135">
        <v>6</v>
      </c>
      <c r="C41" s="147">
        <v>5</v>
      </c>
      <c r="D41" s="234">
        <v>5</v>
      </c>
      <c r="E41" s="230">
        <v>5</v>
      </c>
      <c r="F41" s="136">
        <v>3.1233021000000001</v>
      </c>
      <c r="G41" s="147">
        <v>0</v>
      </c>
      <c r="H41" s="234">
        <v>0</v>
      </c>
      <c r="I41" s="230">
        <v>9.3699999999999992</v>
      </c>
      <c r="J41" s="136">
        <v>0.53666130000000001</v>
      </c>
      <c r="K41" s="147">
        <v>0.57999999999999996</v>
      </c>
      <c r="L41" s="234">
        <v>0.28000000000000003</v>
      </c>
      <c r="M41" s="230">
        <v>0.75</v>
      </c>
      <c r="N41" s="136">
        <v>0.23999760000000001</v>
      </c>
      <c r="O41" s="147">
        <v>0</v>
      </c>
      <c r="P41" s="234">
        <v>0.72</v>
      </c>
      <c r="Q41" s="230">
        <v>0</v>
      </c>
      <c r="R41" s="136">
        <v>2.7999719999999999</v>
      </c>
      <c r="S41" s="148">
        <v>0</v>
      </c>
      <c r="T41" s="226">
        <v>1.91</v>
      </c>
      <c r="U41" s="221">
        <v>6.49</v>
      </c>
      <c r="V41" s="135">
        <f>SUM(F41,J41,N41,R41)</f>
        <v>6.6999329999999997</v>
      </c>
      <c r="W41" s="148">
        <f>SUM(G41,K41,O41,S41)</f>
        <v>0.57999999999999996</v>
      </c>
      <c r="X41" s="226">
        <f>SUM(H41,L41,P41,T41)</f>
        <v>2.91</v>
      </c>
      <c r="Y41" s="221">
        <f>SUM(I41,M41,Q41,U41)</f>
        <v>16.61</v>
      </c>
    </row>
    <row r="42" spans="1:25" collapsed="1">
      <c r="A42" s="62" t="s">
        <v>162</v>
      </c>
      <c r="B42" s="78">
        <f t="shared" ref="B42:Y42" si="5">SUM(B36:B41)</f>
        <v>76</v>
      </c>
      <c r="C42" s="149">
        <f t="shared" si="5"/>
        <v>67</v>
      </c>
      <c r="D42" s="149">
        <f t="shared" si="5"/>
        <v>65</v>
      </c>
      <c r="E42" s="149">
        <f t="shared" si="5"/>
        <v>65</v>
      </c>
      <c r="F42" s="151">
        <f t="shared" si="5"/>
        <v>40.8429249</v>
      </c>
      <c r="G42" s="149">
        <f t="shared" si="5"/>
        <v>0</v>
      </c>
      <c r="H42" s="149">
        <f t="shared" si="5"/>
        <v>0</v>
      </c>
      <c r="I42" s="149">
        <f t="shared" si="5"/>
        <v>122.53</v>
      </c>
      <c r="J42" s="151">
        <f t="shared" si="5"/>
        <v>6.7832655000000006</v>
      </c>
      <c r="K42" s="149">
        <f t="shared" si="5"/>
        <v>6.86</v>
      </c>
      <c r="L42" s="149">
        <f t="shared" si="5"/>
        <v>3.6799999999999997</v>
      </c>
      <c r="M42" s="149">
        <f t="shared" si="5"/>
        <v>9.81</v>
      </c>
      <c r="N42" s="151">
        <f t="shared" si="5"/>
        <v>3.1833015000000002</v>
      </c>
      <c r="O42" s="149">
        <f t="shared" si="5"/>
        <v>0</v>
      </c>
      <c r="P42" s="149">
        <f t="shared" si="5"/>
        <v>9.5500000000000007</v>
      </c>
      <c r="Q42" s="149">
        <f t="shared" si="5"/>
        <v>0</v>
      </c>
      <c r="R42" s="151">
        <f t="shared" si="5"/>
        <v>36.779632200000002</v>
      </c>
      <c r="S42" s="152">
        <f t="shared" si="5"/>
        <v>0</v>
      </c>
      <c r="T42" s="152">
        <f t="shared" si="5"/>
        <v>25.45</v>
      </c>
      <c r="U42" s="152">
        <f t="shared" si="5"/>
        <v>84.89</v>
      </c>
      <c r="V42" s="78">
        <f t="shared" si="5"/>
        <v>87.589124100000006</v>
      </c>
      <c r="W42" s="152">
        <f t="shared" si="5"/>
        <v>6.86</v>
      </c>
      <c r="X42" s="152">
        <f t="shared" si="5"/>
        <v>38.679999999999993</v>
      </c>
      <c r="Y42" s="152">
        <f t="shared" si="5"/>
        <v>217.23000000000002</v>
      </c>
    </row>
    <row r="43" spans="1:25" ht="16.2" thickBot="1">
      <c r="A43" s="137" t="s">
        <v>163</v>
      </c>
      <c r="B43" s="138">
        <f>SUM(B21,B30,B34,B42)</f>
        <v>1068</v>
      </c>
      <c r="C43" s="139">
        <f t="shared" ref="C43:U43" si="6">SUM(C21,C30,C34,C42)</f>
        <v>1059</v>
      </c>
      <c r="D43" s="139">
        <f t="shared" si="6"/>
        <v>1057</v>
      </c>
      <c r="E43" s="139">
        <f t="shared" si="6"/>
        <v>1057</v>
      </c>
      <c r="F43" s="138">
        <f t="shared" si="6"/>
        <v>665.34001319999993</v>
      </c>
      <c r="G43" s="139">
        <f t="shared" si="6"/>
        <v>0</v>
      </c>
      <c r="H43" s="139">
        <f t="shared" si="6"/>
        <v>0</v>
      </c>
      <c r="I43" s="139">
        <f t="shared" si="6"/>
        <v>1996.04</v>
      </c>
      <c r="J43" s="138">
        <f t="shared" si="6"/>
        <v>105.732276</v>
      </c>
      <c r="K43" s="139">
        <f t="shared" si="6"/>
        <v>99.679999999999993</v>
      </c>
      <c r="L43" s="139">
        <f t="shared" si="6"/>
        <v>57.71</v>
      </c>
      <c r="M43" s="139">
        <f t="shared" si="6"/>
        <v>159.81</v>
      </c>
      <c r="N43" s="138">
        <f t="shared" si="6"/>
        <v>49.962833700000004</v>
      </c>
      <c r="O43" s="139">
        <f t="shared" si="6"/>
        <v>0</v>
      </c>
      <c r="P43" s="139">
        <f t="shared" si="6"/>
        <v>149.89000000000001</v>
      </c>
      <c r="Q43" s="139">
        <f t="shared" si="6"/>
        <v>0</v>
      </c>
      <c r="R43" s="138">
        <f t="shared" si="6"/>
        <v>594.19739130000005</v>
      </c>
      <c r="S43" s="138">
        <f t="shared" si="6"/>
        <v>0</v>
      </c>
      <c r="T43" s="138">
        <f t="shared" si="6"/>
        <v>399.65999999999997</v>
      </c>
      <c r="U43" s="138">
        <f t="shared" si="6"/>
        <v>1382.95</v>
      </c>
      <c r="V43" s="138">
        <f>SUM(V21,V30,V34,V42)</f>
        <v>1415.2325142</v>
      </c>
      <c r="W43" s="138">
        <f t="shared" ref="W43:Y43" si="7">SUM(W21,W30,W34,W42)</f>
        <v>99.679999999999993</v>
      </c>
      <c r="X43" s="138">
        <f t="shared" si="7"/>
        <v>607.25999999999988</v>
      </c>
      <c r="Y43" s="138">
        <f t="shared" si="7"/>
        <v>3538.8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470.01529980000009</v>
      </c>
      <c r="S45" s="142">
        <v>960.32</v>
      </c>
      <c r="T45" s="224">
        <v>449.74</v>
      </c>
      <c r="U45" s="219">
        <v>0</v>
      </c>
      <c r="V45" s="141">
        <f>SUM(F45,J45,N45,R45)</f>
        <v>470.01529980000009</v>
      </c>
      <c r="W45" s="142">
        <f>SUM(G45,K45,O45,S45)</f>
        <v>960.32</v>
      </c>
      <c r="X45" s="224">
        <f>SUM(H45,L45,P45,T45)</f>
        <v>449.74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470.01529980000009</v>
      </c>
      <c r="S47" s="150">
        <f t="shared" si="8"/>
        <v>960.32</v>
      </c>
      <c r="T47" s="150">
        <f t="shared" si="8"/>
        <v>449.74</v>
      </c>
      <c r="U47" s="150">
        <f t="shared" si="8"/>
        <v>0</v>
      </c>
      <c r="V47" s="153">
        <f t="shared" si="8"/>
        <v>470.01529980000009</v>
      </c>
      <c r="W47" s="150">
        <f t="shared" si="8"/>
        <v>960.32</v>
      </c>
      <c r="X47" s="150">
        <f t="shared" si="8"/>
        <v>449.74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-1</v>
      </c>
      <c r="D48" s="139">
        <f t="shared" si="9"/>
        <v>0</v>
      </c>
      <c r="E48" s="139">
        <f t="shared" si="9"/>
        <v>0</v>
      </c>
      <c r="F48" s="138">
        <f t="shared" si="9"/>
        <v>136.34530319999999</v>
      </c>
      <c r="G48" s="139">
        <f t="shared" si="9"/>
        <v>-530</v>
      </c>
      <c r="H48" s="139">
        <f t="shared" si="9"/>
        <v>-528</v>
      </c>
      <c r="I48" s="139">
        <f t="shared" si="9"/>
        <v>1467.04</v>
      </c>
      <c r="J48" s="138">
        <f t="shared" si="9"/>
        <v>105.732276</v>
      </c>
      <c r="K48" s="139">
        <f t="shared" si="9"/>
        <v>99.679999999999993</v>
      </c>
      <c r="L48" s="139">
        <f t="shared" si="9"/>
        <v>57.71</v>
      </c>
      <c r="M48" s="139">
        <f t="shared" si="9"/>
        <v>159.81</v>
      </c>
      <c r="N48" s="138">
        <f t="shared" si="9"/>
        <v>-479.03187630000002</v>
      </c>
      <c r="O48" s="139">
        <f t="shared" si="9"/>
        <v>-530</v>
      </c>
      <c r="P48" s="139">
        <f t="shared" si="9"/>
        <v>-379.11</v>
      </c>
      <c r="Q48" s="139">
        <f t="shared" si="9"/>
        <v>-528</v>
      </c>
      <c r="R48" s="138">
        <f t="shared" si="9"/>
        <v>236.95096380000007</v>
      </c>
      <c r="S48" s="138">
        <f t="shared" si="9"/>
        <v>960.32</v>
      </c>
      <c r="T48" s="138">
        <f t="shared" si="9"/>
        <v>849.4</v>
      </c>
      <c r="U48" s="138">
        <f t="shared" si="9"/>
        <v>-1098.8599999999999</v>
      </c>
      <c r="V48" s="138">
        <f>SUM(V12,V43,V47)</f>
        <v>-3.3332999998947344E-3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-9.9999999997635314E-3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55" priority="13" operator="lessThan">
      <formula>-0.01</formula>
    </cfRule>
  </conditionalFormatting>
  <conditionalFormatting sqref="Y15:Y21 Y23:Y30 Y32:Y34 Y36:Y43">
    <cfRule type="cellIs" dxfId="154" priority="12" operator="lessThan">
      <formula>-0.01</formula>
    </cfRule>
  </conditionalFormatting>
  <conditionalFormatting sqref="X15:X21 X23:X30 X32:X34 X36:X43">
    <cfRule type="cellIs" dxfId="153" priority="11" operator="lessThan">
      <formula>-0.01</formula>
    </cfRule>
  </conditionalFormatting>
  <conditionalFormatting sqref="U15:U21 U23:U30 U32:U34 U36:U43">
    <cfRule type="cellIs" dxfId="152" priority="10" operator="lessThan">
      <formula>-0.01</formula>
    </cfRule>
  </conditionalFormatting>
  <conditionalFormatting sqref="T15:T21 T23:T30 T32:T34 T36:T43">
    <cfRule type="cellIs" dxfId="151" priority="9" operator="lessThan">
      <formula>-0.01</formula>
    </cfRule>
  </conditionalFormatting>
  <conditionalFormatting sqref="Q15:Q21 Q23:Q30 Q32:Q34 Q36:Q43">
    <cfRule type="cellIs" dxfId="150" priority="8" operator="lessThan">
      <formula>-0.01</formula>
    </cfRule>
  </conditionalFormatting>
  <conditionalFormatting sqref="P15:P21 P23:P30 P32:P34 P36:P43">
    <cfRule type="cellIs" dxfId="149" priority="7" operator="lessThan">
      <formula>-0.01</formula>
    </cfRule>
  </conditionalFormatting>
  <conditionalFormatting sqref="M15:M21 M23:M30 M32:M34 M36:M43">
    <cfRule type="cellIs" dxfId="148" priority="6" operator="lessThan">
      <formula>-0.01</formula>
    </cfRule>
  </conditionalFormatting>
  <conditionalFormatting sqref="L15:L21 L23:L30 L32:L34 L36:L43">
    <cfRule type="cellIs" dxfId="147" priority="5" operator="lessThan">
      <formula>-0.01</formula>
    </cfRule>
  </conditionalFormatting>
  <conditionalFormatting sqref="I15:I21 I23:I30 I32:I34 I36:I43">
    <cfRule type="cellIs" dxfId="146" priority="4" operator="lessThan">
      <formula>-0.01</formula>
    </cfRule>
  </conditionalFormatting>
  <conditionalFormatting sqref="H15:H21 H23:H30 H32:H34 H36:H43">
    <cfRule type="cellIs" dxfId="145" priority="3" operator="lessThan">
      <formula>-0.01</formula>
    </cfRule>
  </conditionalFormatting>
  <conditionalFormatting sqref="E15:E21 E23:E30 E32:E34 E36:E43">
    <cfRule type="cellIs" dxfId="144" priority="2" operator="lessThan">
      <formula>-0.01</formula>
    </cfRule>
  </conditionalFormatting>
  <conditionalFormatting sqref="D15:D21 D23:D30 D32:D34 D36:D43">
    <cfRule type="cellIs" dxfId="143" priority="1" operator="lessThan">
      <formula>-0.01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3F8E3-5A3F-458B-AD38-69FC731BCAF6}">
  <sheetPr codeName="Sheet83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730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-538</v>
      </c>
      <c r="C8" s="128">
        <v>-1063</v>
      </c>
      <c r="D8" s="231">
        <v>-1060</v>
      </c>
      <c r="E8" s="227">
        <v>-1060</v>
      </c>
      <c r="F8" s="129">
        <v>-530.32803000000001</v>
      </c>
      <c r="G8" s="128">
        <v>-531</v>
      </c>
      <c r="H8" s="231">
        <v>-530</v>
      </c>
      <c r="I8" s="227">
        <v>-530</v>
      </c>
      <c r="J8" s="129">
        <v>0</v>
      </c>
      <c r="K8" s="128">
        <v>0</v>
      </c>
      <c r="L8" s="231">
        <v>0</v>
      </c>
      <c r="M8" s="227">
        <v>0</v>
      </c>
      <c r="N8" s="129">
        <v>-530.66136000000006</v>
      </c>
      <c r="O8" s="128">
        <v>-532</v>
      </c>
      <c r="P8" s="231">
        <v>-530</v>
      </c>
      <c r="Q8" s="227">
        <v>-530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-1060.9893900000002</v>
      </c>
      <c r="W8" s="130">
        <f>SUM(G8,K8,O8,S8)</f>
        <v>-1063</v>
      </c>
      <c r="X8" s="222">
        <f>SUM(H8,L8,P8,T8)</f>
        <v>-1060</v>
      </c>
      <c r="Y8" s="217">
        <f>SUM(I8,M8,Q8,U8)</f>
        <v>-1060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-538</v>
      </c>
      <c r="C12" s="139">
        <f t="shared" ref="C12:U12" si="0">SUM(C8:C11)</f>
        <v>-1063</v>
      </c>
      <c r="D12" s="139">
        <f t="shared" si="0"/>
        <v>-1060</v>
      </c>
      <c r="E12" s="139">
        <f t="shared" si="0"/>
        <v>-1060</v>
      </c>
      <c r="F12" s="138">
        <f t="shared" si="0"/>
        <v>-530.32803000000001</v>
      </c>
      <c r="G12" s="139">
        <f t="shared" si="0"/>
        <v>-531</v>
      </c>
      <c r="H12" s="139">
        <f t="shared" si="0"/>
        <v>-530</v>
      </c>
      <c r="I12" s="139">
        <f t="shared" si="0"/>
        <v>-530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-530.66136000000006</v>
      </c>
      <c r="O12" s="139">
        <f t="shared" si="0"/>
        <v>-532</v>
      </c>
      <c r="P12" s="139">
        <f t="shared" si="0"/>
        <v>-530</v>
      </c>
      <c r="Q12" s="139">
        <f t="shared" si="0"/>
        <v>-530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-1060.9893900000002</v>
      </c>
      <c r="W12" s="138">
        <f t="shared" ref="W12:Y12" si="1">SUM(W8:W11)</f>
        <v>-1063</v>
      </c>
      <c r="X12" s="138">
        <f t="shared" si="1"/>
        <v>-1060</v>
      </c>
      <c r="Y12" s="138">
        <f t="shared" si="1"/>
        <v>-1060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500</v>
      </c>
      <c r="C23" s="128">
        <v>995</v>
      </c>
      <c r="D23" s="231">
        <v>995</v>
      </c>
      <c r="E23" s="227">
        <v>995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132.8186718</v>
      </c>
      <c r="S26" s="130">
        <v>0</v>
      </c>
      <c r="T26" s="222">
        <v>398.46</v>
      </c>
      <c r="U26" s="217">
        <v>0</v>
      </c>
      <c r="V26" s="127">
        <f>SUM(F26,J26,N26,R26)</f>
        <v>132.8186718</v>
      </c>
      <c r="W26" s="130">
        <f>SUM(G26,K26,O26,S26)</f>
        <v>0</v>
      </c>
      <c r="X26" s="222">
        <f>SUM(H26,L26,P26,T26)</f>
        <v>398.46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49.999500000000005</v>
      </c>
      <c r="K28" s="128">
        <v>150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-33.332999999999998</v>
      </c>
      <c r="S28" s="130">
        <v>-100</v>
      </c>
      <c r="T28" s="222">
        <v>0</v>
      </c>
      <c r="U28" s="217">
        <v>0</v>
      </c>
      <c r="V28" s="127">
        <f>SUM(F28,J28,N28,R28)</f>
        <v>16.666500000000006</v>
      </c>
      <c r="W28" s="130">
        <f>SUM(G28,K28,O28,S28)</f>
        <v>50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500</v>
      </c>
      <c r="C30" s="91">
        <f t="shared" si="3"/>
        <v>995</v>
      </c>
      <c r="D30" s="91">
        <f t="shared" si="3"/>
        <v>995</v>
      </c>
      <c r="E30" s="91">
        <f t="shared" si="3"/>
        <v>995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49.999500000000005</v>
      </c>
      <c r="K30" s="91">
        <f t="shared" si="3"/>
        <v>150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99.485671800000006</v>
      </c>
      <c r="S30" s="150">
        <f t="shared" si="3"/>
        <v>-100</v>
      </c>
      <c r="T30" s="150">
        <f t="shared" si="3"/>
        <v>398.46</v>
      </c>
      <c r="U30" s="150">
        <f t="shared" si="3"/>
        <v>0</v>
      </c>
      <c r="V30" s="78">
        <f t="shared" si="3"/>
        <v>149.48517180000002</v>
      </c>
      <c r="W30" s="150">
        <f t="shared" si="3"/>
        <v>50</v>
      </c>
      <c r="X30" s="150">
        <f t="shared" si="3"/>
        <v>398.46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35</v>
      </c>
      <c r="C40" s="128">
        <v>63</v>
      </c>
      <c r="D40" s="231">
        <v>60</v>
      </c>
      <c r="E40" s="227">
        <v>60</v>
      </c>
      <c r="F40" s="129">
        <v>0</v>
      </c>
      <c r="G40" s="128">
        <v>0</v>
      </c>
      <c r="H40" s="231">
        <v>0</v>
      </c>
      <c r="I40" s="227">
        <v>0</v>
      </c>
      <c r="J40" s="129">
        <v>3.3799662000000001</v>
      </c>
      <c r="K40" s="128">
        <v>10.14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6.0999390000000009</v>
      </c>
      <c r="S40" s="130">
        <v>-6.76</v>
      </c>
      <c r="T40" s="222">
        <v>25.06</v>
      </c>
      <c r="U40" s="217">
        <v>0</v>
      </c>
      <c r="V40" s="127">
        <f>SUM(F40,J40,N40,R40)</f>
        <v>9.479905200000001</v>
      </c>
      <c r="W40" s="130">
        <f>SUM(G40,K40,O40,S40)</f>
        <v>3.3800000000000008</v>
      </c>
      <c r="X40" s="222">
        <f>SUM(H40,L40,P40,T40)</f>
        <v>25.06</v>
      </c>
      <c r="Y40" s="217">
        <f>SUM(I40,M40,Q40,U40)</f>
        <v>0</v>
      </c>
    </row>
    <row r="41" spans="1:25" hidden="1" outlineLevel="1">
      <c r="A41" s="134" t="s">
        <v>161</v>
      </c>
      <c r="B41" s="135">
        <v>3</v>
      </c>
      <c r="C41" s="147">
        <v>5</v>
      </c>
      <c r="D41" s="234">
        <v>5</v>
      </c>
      <c r="E41" s="230">
        <v>5</v>
      </c>
      <c r="F41" s="136">
        <v>0</v>
      </c>
      <c r="G41" s="147">
        <v>0</v>
      </c>
      <c r="H41" s="234">
        <v>0</v>
      </c>
      <c r="I41" s="230">
        <v>0</v>
      </c>
      <c r="J41" s="136">
        <v>0.3133302</v>
      </c>
      <c r="K41" s="147">
        <v>0.94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0.4699953</v>
      </c>
      <c r="S41" s="148">
        <v>-0.62</v>
      </c>
      <c r="T41" s="226">
        <v>2.0299999999999998</v>
      </c>
      <c r="U41" s="221">
        <v>0</v>
      </c>
      <c r="V41" s="135">
        <f>SUM(F41,J41,N41,R41)</f>
        <v>0.78332550000000001</v>
      </c>
      <c r="W41" s="148">
        <f>SUM(G41,K41,O41,S41)</f>
        <v>0.31999999999999995</v>
      </c>
      <c r="X41" s="226">
        <f>SUM(H41,L41,P41,T41)</f>
        <v>2.0299999999999998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38</v>
      </c>
      <c r="C42" s="149">
        <f t="shared" si="5"/>
        <v>68</v>
      </c>
      <c r="D42" s="149">
        <f t="shared" si="5"/>
        <v>65</v>
      </c>
      <c r="E42" s="149">
        <f t="shared" si="5"/>
        <v>65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3.6932964000000004</v>
      </c>
      <c r="K42" s="149">
        <f t="shared" si="5"/>
        <v>11.08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6.5699343000000008</v>
      </c>
      <c r="S42" s="152">
        <f t="shared" si="5"/>
        <v>-7.38</v>
      </c>
      <c r="T42" s="152">
        <f t="shared" si="5"/>
        <v>27.09</v>
      </c>
      <c r="U42" s="152">
        <f t="shared" si="5"/>
        <v>0</v>
      </c>
      <c r="V42" s="78">
        <f t="shared" si="5"/>
        <v>10.263230700000001</v>
      </c>
      <c r="W42" s="152">
        <f t="shared" si="5"/>
        <v>3.7000000000000006</v>
      </c>
      <c r="X42" s="152">
        <f t="shared" si="5"/>
        <v>27.09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538</v>
      </c>
      <c r="C43" s="139">
        <f t="shared" ref="C43:U43" si="6">SUM(C21,C30,C34,C42)</f>
        <v>1063</v>
      </c>
      <c r="D43" s="139">
        <f t="shared" si="6"/>
        <v>1060</v>
      </c>
      <c r="E43" s="139">
        <f t="shared" si="6"/>
        <v>1060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53.692796400000006</v>
      </c>
      <c r="K43" s="139">
        <f t="shared" si="6"/>
        <v>161.08000000000001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106.05560610000001</v>
      </c>
      <c r="S43" s="138">
        <f t="shared" si="6"/>
        <v>-107.38</v>
      </c>
      <c r="T43" s="138">
        <f t="shared" si="6"/>
        <v>425.54999999999995</v>
      </c>
      <c r="U43" s="138">
        <f t="shared" si="6"/>
        <v>0</v>
      </c>
      <c r="V43" s="138">
        <f>SUM(V21,V30,V34,V42)</f>
        <v>159.74840250000003</v>
      </c>
      <c r="W43" s="138">
        <f t="shared" ref="W43:Y43" si="7">SUM(W21,W30,W34,W42)</f>
        <v>53.7</v>
      </c>
      <c r="X43" s="138">
        <f t="shared" si="7"/>
        <v>425.54999999999995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901.24098750000007</v>
      </c>
      <c r="S45" s="142">
        <v>1009.3</v>
      </c>
      <c r="T45" s="224">
        <v>634.45000000000005</v>
      </c>
      <c r="U45" s="219">
        <v>1060</v>
      </c>
      <c r="V45" s="141">
        <f>SUM(F45,J45,N45,R45)</f>
        <v>901.24098750000007</v>
      </c>
      <c r="W45" s="142">
        <f>SUM(G45,K45,O45,S45)</f>
        <v>1009.3</v>
      </c>
      <c r="X45" s="224">
        <f>SUM(H45,L45,P45,T45)</f>
        <v>634.45000000000005</v>
      </c>
      <c r="Y45" s="219">
        <f>SUM(I45,M45,Q45,U45)</f>
        <v>1060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901.24098750000007</v>
      </c>
      <c r="S47" s="150">
        <f t="shared" si="8"/>
        <v>1009.3</v>
      </c>
      <c r="T47" s="150">
        <f t="shared" si="8"/>
        <v>634.45000000000005</v>
      </c>
      <c r="U47" s="150">
        <f t="shared" si="8"/>
        <v>1060</v>
      </c>
      <c r="V47" s="153">
        <f t="shared" si="8"/>
        <v>901.24098750000007</v>
      </c>
      <c r="W47" s="150">
        <f t="shared" si="8"/>
        <v>1009.3</v>
      </c>
      <c r="X47" s="150">
        <f t="shared" si="8"/>
        <v>634.45000000000005</v>
      </c>
      <c r="Y47" s="150">
        <f t="shared" si="8"/>
        <v>1060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-530.32803000000001</v>
      </c>
      <c r="G48" s="139">
        <f t="shared" si="9"/>
        <v>-531</v>
      </c>
      <c r="H48" s="139">
        <f t="shared" si="9"/>
        <v>-530</v>
      </c>
      <c r="I48" s="139">
        <f t="shared" si="9"/>
        <v>-530</v>
      </c>
      <c r="J48" s="138">
        <f t="shared" si="9"/>
        <v>53.692796400000006</v>
      </c>
      <c r="K48" s="139">
        <f t="shared" si="9"/>
        <v>161.08000000000001</v>
      </c>
      <c r="L48" s="139">
        <f t="shared" si="9"/>
        <v>0</v>
      </c>
      <c r="M48" s="139">
        <f t="shared" si="9"/>
        <v>0</v>
      </c>
      <c r="N48" s="138">
        <f t="shared" si="9"/>
        <v>-530.66136000000006</v>
      </c>
      <c r="O48" s="139">
        <f t="shared" si="9"/>
        <v>-532</v>
      </c>
      <c r="P48" s="139">
        <f t="shared" si="9"/>
        <v>-530</v>
      </c>
      <c r="Q48" s="139">
        <f t="shared" si="9"/>
        <v>-530</v>
      </c>
      <c r="R48" s="138">
        <f t="shared" si="9"/>
        <v>1007.2965936000001</v>
      </c>
      <c r="S48" s="138">
        <f t="shared" si="9"/>
        <v>901.92</v>
      </c>
      <c r="T48" s="138">
        <f t="shared" si="9"/>
        <v>1060</v>
      </c>
      <c r="U48" s="138">
        <f t="shared" si="9"/>
        <v>1060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42" priority="13" operator="lessThan">
      <formula>-0.01</formula>
    </cfRule>
  </conditionalFormatting>
  <conditionalFormatting sqref="Y15:Y21 Y23:Y30 Y32:Y34 Y36:Y43">
    <cfRule type="cellIs" dxfId="141" priority="12" operator="lessThan">
      <formula>-0.01</formula>
    </cfRule>
  </conditionalFormatting>
  <conditionalFormatting sqref="X15:X21 X23:X30 X32:X34 X36:X43">
    <cfRule type="cellIs" dxfId="140" priority="11" operator="lessThan">
      <formula>-0.01</formula>
    </cfRule>
  </conditionalFormatting>
  <conditionalFormatting sqref="U15:U21 U23:U30 U32:U34 U36:U43">
    <cfRule type="cellIs" dxfId="139" priority="10" operator="lessThan">
      <formula>-0.01</formula>
    </cfRule>
  </conditionalFormatting>
  <conditionalFormatting sqref="T15:T21 T23:T30 T32:T34 T36:T43">
    <cfRule type="cellIs" dxfId="138" priority="9" operator="lessThan">
      <formula>-0.01</formula>
    </cfRule>
  </conditionalFormatting>
  <conditionalFormatting sqref="Q15:Q21 Q23:Q30 Q32:Q34 Q36:Q43">
    <cfRule type="cellIs" dxfId="137" priority="8" operator="lessThan">
      <formula>-0.01</formula>
    </cfRule>
  </conditionalFormatting>
  <conditionalFormatting sqref="P15:P21 P23:P30 P32:P34 P36:P43">
    <cfRule type="cellIs" dxfId="136" priority="7" operator="lessThan">
      <formula>-0.01</formula>
    </cfRule>
  </conditionalFormatting>
  <conditionalFormatting sqref="M15:M21 M23:M30 M32:M34 M36:M43">
    <cfRule type="cellIs" dxfId="135" priority="6" operator="lessThan">
      <formula>-0.01</formula>
    </cfRule>
  </conditionalFormatting>
  <conditionalFormatting sqref="L15:L21 L23:L30 L32:L34 L36:L43">
    <cfRule type="cellIs" dxfId="134" priority="5" operator="lessThan">
      <formula>-0.01</formula>
    </cfRule>
  </conditionalFormatting>
  <conditionalFormatting sqref="I15:I21 I23:I30 I32:I34 I36:I43">
    <cfRule type="cellIs" dxfId="133" priority="4" operator="lessThan">
      <formula>-0.01</formula>
    </cfRule>
  </conditionalFormatting>
  <conditionalFormatting sqref="H15:H21 H23:H30 H32:H34 H36:H43">
    <cfRule type="cellIs" dxfId="132" priority="3" operator="lessThan">
      <formula>-0.01</formula>
    </cfRule>
  </conditionalFormatting>
  <conditionalFormatting sqref="E15:E21 E23:E30 E32:E34 E36:E43">
    <cfRule type="cellIs" dxfId="131" priority="2" operator="lessThan">
      <formula>-0.01</formula>
    </cfRule>
  </conditionalFormatting>
  <conditionalFormatting sqref="D15:D21 D23:D30 D32:D34 D36:D43">
    <cfRule type="cellIs" dxfId="130" priority="1" operator="lessThan">
      <formula>-0.01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08DB-08BB-4A32-80D3-E5DFFCE79F15}">
  <sheetPr codeName="Sheet84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732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-96681</v>
      </c>
      <c r="C8" s="128">
        <v>-95890</v>
      </c>
      <c r="D8" s="231">
        <v>-95657</v>
      </c>
      <c r="E8" s="227">
        <v>-95320</v>
      </c>
      <c r="F8" s="129">
        <v>-47810.521890000004</v>
      </c>
      <c r="G8" s="128">
        <v>-47945</v>
      </c>
      <c r="H8" s="231">
        <v>-47828</v>
      </c>
      <c r="I8" s="227">
        <v>-47660</v>
      </c>
      <c r="J8" s="129">
        <v>0</v>
      </c>
      <c r="K8" s="128">
        <v>0</v>
      </c>
      <c r="L8" s="231">
        <v>0</v>
      </c>
      <c r="M8" s="227">
        <v>0</v>
      </c>
      <c r="N8" s="129">
        <v>-47810.855220000005</v>
      </c>
      <c r="O8" s="128">
        <v>-47945</v>
      </c>
      <c r="P8" s="231">
        <v>-47829</v>
      </c>
      <c r="Q8" s="227">
        <v>-47660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-95621.377110000001</v>
      </c>
      <c r="W8" s="130">
        <f>SUM(G8,K8,O8,S8)</f>
        <v>-95890</v>
      </c>
      <c r="X8" s="222">
        <f>SUM(H8,L8,P8,T8)</f>
        <v>-95657</v>
      </c>
      <c r="Y8" s="217">
        <f>SUM(I8,M8,Q8,U8)</f>
        <v>-95320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-160.99839</v>
      </c>
      <c r="S11" s="133">
        <v>0</v>
      </c>
      <c r="T11" s="223">
        <v>-483</v>
      </c>
      <c r="U11" s="218">
        <v>0</v>
      </c>
      <c r="V11" s="135">
        <f>SUM(F11,J11,N11,R11)</f>
        <v>-160.99839</v>
      </c>
      <c r="W11" s="133">
        <f>SUM(G11,K11,O11,S11)</f>
        <v>0</v>
      </c>
      <c r="X11" s="223">
        <f>SUM(H11,L11,P11,T11)</f>
        <v>-483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-96681</v>
      </c>
      <c r="C12" s="139">
        <f t="shared" ref="C12:U12" si="0">SUM(C8:C11)</f>
        <v>-95890</v>
      </c>
      <c r="D12" s="139">
        <f t="shared" si="0"/>
        <v>-95657</v>
      </c>
      <c r="E12" s="139">
        <f t="shared" si="0"/>
        <v>-95320</v>
      </c>
      <c r="F12" s="138">
        <f t="shared" si="0"/>
        <v>-47810.521890000004</v>
      </c>
      <c r="G12" s="139">
        <f t="shared" si="0"/>
        <v>-47945</v>
      </c>
      <c r="H12" s="139">
        <f t="shared" si="0"/>
        <v>-47828</v>
      </c>
      <c r="I12" s="139">
        <f t="shared" si="0"/>
        <v>-47660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-47810.855220000005</v>
      </c>
      <c r="O12" s="139">
        <f t="shared" si="0"/>
        <v>-47945</v>
      </c>
      <c r="P12" s="139">
        <f t="shared" si="0"/>
        <v>-47829</v>
      </c>
      <c r="Q12" s="139">
        <f t="shared" si="0"/>
        <v>-47660</v>
      </c>
      <c r="R12" s="138">
        <f t="shared" si="0"/>
        <v>-160.99839</v>
      </c>
      <c r="S12" s="138">
        <f t="shared" si="0"/>
        <v>0</v>
      </c>
      <c r="T12" s="138">
        <f t="shared" si="0"/>
        <v>-483</v>
      </c>
      <c r="U12" s="138">
        <f t="shared" si="0"/>
        <v>0</v>
      </c>
      <c r="V12" s="138">
        <f>SUM(V8:V11)</f>
        <v>-95782.375499999995</v>
      </c>
      <c r="W12" s="138">
        <f t="shared" ref="W12:Y12" si="1">SUM(W8:W11)</f>
        <v>-95890</v>
      </c>
      <c r="X12" s="138">
        <f t="shared" si="1"/>
        <v>-96140</v>
      </c>
      <c r="Y12" s="138">
        <f t="shared" si="1"/>
        <v>-95320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48254</v>
      </c>
      <c r="C17" s="145">
        <v>48302</v>
      </c>
      <c r="D17" s="233">
        <v>88896</v>
      </c>
      <c r="E17" s="229">
        <v>88408</v>
      </c>
      <c r="F17" s="146">
        <v>3954.7571186999999</v>
      </c>
      <c r="G17" s="145">
        <v>3734.87</v>
      </c>
      <c r="H17" s="233">
        <v>3420.95</v>
      </c>
      <c r="I17" s="229">
        <v>4708.57</v>
      </c>
      <c r="J17" s="146">
        <v>13573.097601000001</v>
      </c>
      <c r="K17" s="145">
        <v>12865.66</v>
      </c>
      <c r="L17" s="233">
        <v>14008.54</v>
      </c>
      <c r="M17" s="229">
        <v>13845.5</v>
      </c>
      <c r="N17" s="146">
        <v>9160.1750640000009</v>
      </c>
      <c r="O17" s="145">
        <v>9905.27</v>
      </c>
      <c r="P17" s="233">
        <v>7782.65</v>
      </c>
      <c r="Q17" s="229">
        <v>9792.8799999999992</v>
      </c>
      <c r="R17" s="146">
        <v>8702.6896388999994</v>
      </c>
      <c r="S17" s="56">
        <v>10068.299999999999</v>
      </c>
      <c r="T17" s="225">
        <v>8465.41</v>
      </c>
      <c r="U17" s="220">
        <v>7574.62</v>
      </c>
      <c r="V17" s="144">
        <f>SUM(F17,J17,N17,R17)</f>
        <v>35390.719422599999</v>
      </c>
      <c r="W17" s="56">
        <f>SUM(G17,K17,O17,S17)</f>
        <v>36574.1</v>
      </c>
      <c r="X17" s="225">
        <f>SUM(H17,L17,P17,T17)</f>
        <v>33677.550000000003</v>
      </c>
      <c r="Y17" s="220">
        <f>SUM(I17,M17,Q17,U17)</f>
        <v>35921.57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0.63999360000000005</v>
      </c>
      <c r="G18" s="128">
        <v>0</v>
      </c>
      <c r="H18" s="231">
        <v>0</v>
      </c>
      <c r="I18" s="227">
        <v>1.92</v>
      </c>
      <c r="J18" s="129">
        <v>-2.1866447999999998</v>
      </c>
      <c r="K18" s="128">
        <v>0</v>
      </c>
      <c r="L18" s="231">
        <v>0</v>
      </c>
      <c r="M18" s="227">
        <v>-6.56</v>
      </c>
      <c r="N18" s="129">
        <v>1.5466511999999999</v>
      </c>
      <c r="O18" s="128">
        <v>0</v>
      </c>
      <c r="P18" s="231">
        <v>0</v>
      </c>
      <c r="Q18" s="227">
        <v>4.6399999999999997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531</v>
      </c>
      <c r="C20" s="147">
        <v>483</v>
      </c>
      <c r="D20" s="234">
        <v>889</v>
      </c>
      <c r="E20" s="230">
        <v>1061</v>
      </c>
      <c r="F20" s="136">
        <v>40.1762649</v>
      </c>
      <c r="G20" s="147">
        <v>29.88</v>
      </c>
      <c r="H20" s="234">
        <v>34.21</v>
      </c>
      <c r="I20" s="230">
        <v>56.44</v>
      </c>
      <c r="J20" s="136">
        <v>136.38530280000001</v>
      </c>
      <c r="K20" s="147">
        <v>102.92</v>
      </c>
      <c r="L20" s="234">
        <v>140.09</v>
      </c>
      <c r="M20" s="230">
        <v>166.15</v>
      </c>
      <c r="N20" s="136">
        <v>91.529084699999999</v>
      </c>
      <c r="O20" s="147">
        <v>79.239999999999995</v>
      </c>
      <c r="P20" s="234">
        <v>77.83</v>
      </c>
      <c r="Q20" s="230">
        <v>117.52</v>
      </c>
      <c r="R20" s="136">
        <v>85.362479700000009</v>
      </c>
      <c r="S20" s="148">
        <v>80.55</v>
      </c>
      <c r="T20" s="226">
        <v>84.65</v>
      </c>
      <c r="U20" s="221">
        <v>90.89</v>
      </c>
      <c r="V20" s="135">
        <f>SUM(F20,J20,N20,R20)</f>
        <v>353.4531321</v>
      </c>
      <c r="W20" s="148">
        <f>SUM(G20,K20,O20,S20)</f>
        <v>292.59000000000003</v>
      </c>
      <c r="X20" s="226">
        <f>SUM(H20,L20,P20,T20)</f>
        <v>336.78</v>
      </c>
      <c r="Y20" s="221">
        <f>SUM(I20,M20,Q20,U20)</f>
        <v>431</v>
      </c>
    </row>
    <row r="21" spans="1:25" collapsed="1">
      <c r="A21" s="62" t="s">
        <v>142</v>
      </c>
      <c r="B21" s="78">
        <f t="shared" ref="B21:Y21" si="2">SUM(B15:B20)</f>
        <v>48785</v>
      </c>
      <c r="C21" s="91">
        <f t="shared" si="2"/>
        <v>48785</v>
      </c>
      <c r="D21" s="91">
        <f t="shared" si="2"/>
        <v>89785</v>
      </c>
      <c r="E21" s="91">
        <f t="shared" si="2"/>
        <v>89469</v>
      </c>
      <c r="F21" s="78">
        <f t="shared" si="2"/>
        <v>3995.5733771999999</v>
      </c>
      <c r="G21" s="149">
        <f t="shared" si="2"/>
        <v>3764.75</v>
      </c>
      <c r="H21" s="149">
        <f t="shared" si="2"/>
        <v>3455.16</v>
      </c>
      <c r="I21" s="149">
        <f t="shared" si="2"/>
        <v>4766.9299999999994</v>
      </c>
      <c r="J21" s="78">
        <f t="shared" si="2"/>
        <v>13707.296259000001</v>
      </c>
      <c r="K21" s="91">
        <f t="shared" si="2"/>
        <v>12968.58</v>
      </c>
      <c r="L21" s="91">
        <f t="shared" si="2"/>
        <v>14148.630000000001</v>
      </c>
      <c r="M21" s="91">
        <f t="shared" si="2"/>
        <v>14005.09</v>
      </c>
      <c r="N21" s="78">
        <f t="shared" si="2"/>
        <v>9253.2507999000009</v>
      </c>
      <c r="O21" s="91">
        <f t="shared" si="2"/>
        <v>9984.51</v>
      </c>
      <c r="P21" s="91">
        <f t="shared" si="2"/>
        <v>7860.48</v>
      </c>
      <c r="Q21" s="91">
        <f t="shared" si="2"/>
        <v>9915.0399999999991</v>
      </c>
      <c r="R21" s="78">
        <f t="shared" si="2"/>
        <v>8788.0521185999987</v>
      </c>
      <c r="S21" s="150">
        <f t="shared" si="2"/>
        <v>10148.849999999999</v>
      </c>
      <c r="T21" s="150">
        <f t="shared" si="2"/>
        <v>8550.06</v>
      </c>
      <c r="U21" s="150">
        <f t="shared" si="2"/>
        <v>7665.51</v>
      </c>
      <c r="V21" s="78">
        <f t="shared" si="2"/>
        <v>35744.172554700002</v>
      </c>
      <c r="W21" s="150">
        <f t="shared" si="2"/>
        <v>36866.689999999995</v>
      </c>
      <c r="X21" s="150">
        <f t="shared" si="2"/>
        <v>34014.33</v>
      </c>
      <c r="Y21" s="150">
        <f t="shared" si="2"/>
        <v>36352.57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41000</v>
      </c>
      <c r="C23" s="128">
        <v>41000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302.17697820000001</v>
      </c>
      <c r="G25" s="128">
        <v>260.04000000000002</v>
      </c>
      <c r="H25" s="231">
        <v>317.04000000000002</v>
      </c>
      <c r="I25" s="227">
        <v>329.46</v>
      </c>
      <c r="J25" s="129">
        <v>302.17697820000001</v>
      </c>
      <c r="K25" s="128">
        <v>260.04000000000002</v>
      </c>
      <c r="L25" s="231">
        <v>317.04000000000002</v>
      </c>
      <c r="M25" s="227">
        <v>329.46</v>
      </c>
      <c r="N25" s="129">
        <v>302.17697820000001</v>
      </c>
      <c r="O25" s="128">
        <v>260.04000000000002</v>
      </c>
      <c r="P25" s="231">
        <v>317.04000000000002</v>
      </c>
      <c r="Q25" s="227">
        <v>329.46</v>
      </c>
      <c r="R25" s="129">
        <v>302.17697820000001</v>
      </c>
      <c r="S25" s="130">
        <v>260.04000000000002</v>
      </c>
      <c r="T25" s="222">
        <v>317.04000000000002</v>
      </c>
      <c r="U25" s="217">
        <v>329.46</v>
      </c>
      <c r="V25" s="127">
        <f>SUM(F25,J25,N25,R25)</f>
        <v>1208.7079128</v>
      </c>
      <c r="W25" s="130">
        <f>SUM(G25,K25,O25,S25)</f>
        <v>1040.1600000000001</v>
      </c>
      <c r="X25" s="222">
        <f>SUM(H25,L25,P25,T25)</f>
        <v>1268.1600000000001</v>
      </c>
      <c r="Y25" s="217">
        <f>SUM(I25,M25,Q25,U25)</f>
        <v>1317.84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35.399646000000004</v>
      </c>
      <c r="K26" s="128">
        <v>0</v>
      </c>
      <c r="L26" s="231">
        <v>106.2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-35.399646000000004</v>
      </c>
      <c r="S26" s="130">
        <v>0</v>
      </c>
      <c r="T26" s="222">
        <v>-106.2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6532.1346780000003</v>
      </c>
      <c r="G29" s="147">
        <v>5683.3</v>
      </c>
      <c r="H29" s="234">
        <v>7357.5</v>
      </c>
      <c r="I29" s="230">
        <v>6555.8</v>
      </c>
      <c r="J29" s="136">
        <v>11015.7198417</v>
      </c>
      <c r="K29" s="147">
        <v>10561.6</v>
      </c>
      <c r="L29" s="234">
        <v>12432.6</v>
      </c>
      <c r="M29" s="230">
        <v>10053.290000000001</v>
      </c>
      <c r="N29" s="136">
        <v>8951.1938205000006</v>
      </c>
      <c r="O29" s="147">
        <v>9048.2000000000007</v>
      </c>
      <c r="P29" s="234">
        <v>9547.2999999999993</v>
      </c>
      <c r="Q29" s="230">
        <v>8258.35</v>
      </c>
      <c r="R29" s="136">
        <v>11131.755347999999</v>
      </c>
      <c r="S29" s="148">
        <v>12139.4</v>
      </c>
      <c r="T29" s="226">
        <v>9704.9</v>
      </c>
      <c r="U29" s="221">
        <v>11551.3</v>
      </c>
      <c r="V29" s="135">
        <f>SUM(F29,J29,N29,R29)</f>
        <v>37630.803688200001</v>
      </c>
      <c r="W29" s="148">
        <f>SUM(G29,K29,O29,S29)</f>
        <v>37432.5</v>
      </c>
      <c r="X29" s="226">
        <f>SUM(H29,L29,P29,T29)</f>
        <v>39042.299999999996</v>
      </c>
      <c r="Y29" s="221">
        <f>SUM(I29,M29,Q29,U29)</f>
        <v>36418.740000000005</v>
      </c>
    </row>
    <row r="30" spans="1:25" collapsed="1">
      <c r="A30" s="62" t="s">
        <v>151</v>
      </c>
      <c r="B30" s="78">
        <f t="shared" ref="B30:Y30" si="3">SUM(B23:B29)</f>
        <v>41000</v>
      </c>
      <c r="C30" s="91">
        <f t="shared" si="3"/>
        <v>41000</v>
      </c>
      <c r="D30" s="91">
        <f t="shared" si="3"/>
        <v>0</v>
      </c>
      <c r="E30" s="91">
        <f t="shared" si="3"/>
        <v>0</v>
      </c>
      <c r="F30" s="78">
        <f t="shared" si="3"/>
        <v>6834.3116562000005</v>
      </c>
      <c r="G30" s="91">
        <f t="shared" si="3"/>
        <v>5943.34</v>
      </c>
      <c r="H30" s="91">
        <f t="shared" si="3"/>
        <v>7674.54</v>
      </c>
      <c r="I30" s="91">
        <f t="shared" si="3"/>
        <v>6885.26</v>
      </c>
      <c r="J30" s="78">
        <f t="shared" si="3"/>
        <v>11353.296465900001</v>
      </c>
      <c r="K30" s="91">
        <f t="shared" si="3"/>
        <v>10821.640000000001</v>
      </c>
      <c r="L30" s="91">
        <f t="shared" si="3"/>
        <v>12855.84</v>
      </c>
      <c r="M30" s="91">
        <f t="shared" si="3"/>
        <v>10382.75</v>
      </c>
      <c r="N30" s="78">
        <f t="shared" si="3"/>
        <v>9253.3707986999998</v>
      </c>
      <c r="O30" s="91">
        <f t="shared" si="3"/>
        <v>9308.2400000000016</v>
      </c>
      <c r="P30" s="91">
        <f t="shared" si="3"/>
        <v>9864.34</v>
      </c>
      <c r="Q30" s="91">
        <f t="shared" si="3"/>
        <v>8587.81</v>
      </c>
      <c r="R30" s="78">
        <f t="shared" si="3"/>
        <v>11398.532680199998</v>
      </c>
      <c r="S30" s="150">
        <f t="shared" si="3"/>
        <v>12399.44</v>
      </c>
      <c r="T30" s="150">
        <f t="shared" si="3"/>
        <v>9915.74</v>
      </c>
      <c r="U30" s="150">
        <f t="shared" si="3"/>
        <v>11880.759999999998</v>
      </c>
      <c r="V30" s="78">
        <f t="shared" si="3"/>
        <v>38839.511600999998</v>
      </c>
      <c r="W30" s="150">
        <f t="shared" si="3"/>
        <v>38472.660000000003</v>
      </c>
      <c r="X30" s="150">
        <f t="shared" si="3"/>
        <v>40310.46</v>
      </c>
      <c r="Y30" s="150">
        <f t="shared" si="3"/>
        <v>37736.58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6339</v>
      </c>
      <c r="C40" s="128">
        <v>5647</v>
      </c>
      <c r="D40" s="231">
        <v>5423</v>
      </c>
      <c r="E40" s="227">
        <v>5404</v>
      </c>
      <c r="F40" s="129">
        <v>686.70313290000001</v>
      </c>
      <c r="G40" s="128">
        <v>656.27</v>
      </c>
      <c r="H40" s="231">
        <v>700.07</v>
      </c>
      <c r="I40" s="227">
        <v>703.79</v>
      </c>
      <c r="J40" s="129">
        <v>1593.2574006</v>
      </c>
      <c r="K40" s="128">
        <v>1608.22</v>
      </c>
      <c r="L40" s="231">
        <v>1698.58</v>
      </c>
      <c r="M40" s="227">
        <v>1473.02</v>
      </c>
      <c r="N40" s="129">
        <v>1178.8715445</v>
      </c>
      <c r="O40" s="128">
        <v>1304.19</v>
      </c>
      <c r="P40" s="231">
        <v>1114.8900000000001</v>
      </c>
      <c r="Q40" s="227">
        <v>1117.57</v>
      </c>
      <c r="R40" s="129">
        <v>1288.7737787999999</v>
      </c>
      <c r="S40" s="130">
        <v>1524.26</v>
      </c>
      <c r="T40" s="222">
        <v>1161.5</v>
      </c>
      <c r="U40" s="217">
        <v>1180.5999999999999</v>
      </c>
      <c r="V40" s="127">
        <f>SUM(F40,J40,N40,R40)</f>
        <v>4747.6058568000008</v>
      </c>
      <c r="W40" s="130">
        <f>SUM(G40,K40,O40,S40)</f>
        <v>5092.9399999999996</v>
      </c>
      <c r="X40" s="222">
        <f>SUM(H40,L40,P40,T40)</f>
        <v>4675.04</v>
      </c>
      <c r="Y40" s="217">
        <f>SUM(I40,M40,Q40,U40)</f>
        <v>4474.9799999999996</v>
      </c>
    </row>
    <row r="41" spans="1:25" hidden="1" outlineLevel="1">
      <c r="A41" s="134" t="s">
        <v>161</v>
      </c>
      <c r="B41" s="135">
        <v>557</v>
      </c>
      <c r="C41" s="147">
        <v>458</v>
      </c>
      <c r="D41" s="234">
        <v>449</v>
      </c>
      <c r="E41" s="230">
        <v>447</v>
      </c>
      <c r="F41" s="136">
        <v>58.412749200000007</v>
      </c>
      <c r="G41" s="147">
        <v>60.2</v>
      </c>
      <c r="H41" s="234">
        <v>56.77</v>
      </c>
      <c r="I41" s="230">
        <v>58.27</v>
      </c>
      <c r="J41" s="136">
        <v>135.72197610000001</v>
      </c>
      <c r="K41" s="147">
        <v>147.5</v>
      </c>
      <c r="L41" s="234">
        <v>137.72999999999999</v>
      </c>
      <c r="M41" s="230">
        <v>121.94</v>
      </c>
      <c r="N41" s="136">
        <v>100.84232489999999</v>
      </c>
      <c r="O41" s="147">
        <v>119.61</v>
      </c>
      <c r="P41" s="234">
        <v>90.41</v>
      </c>
      <c r="Q41" s="230">
        <v>92.51</v>
      </c>
      <c r="R41" s="136">
        <v>110.56556100000002</v>
      </c>
      <c r="S41" s="148">
        <v>139.80000000000001</v>
      </c>
      <c r="T41" s="226">
        <v>94.17</v>
      </c>
      <c r="U41" s="221">
        <v>97.73</v>
      </c>
      <c r="V41" s="135">
        <f>SUM(F41,J41,N41,R41)</f>
        <v>405.54261120000001</v>
      </c>
      <c r="W41" s="148">
        <f>SUM(G41,K41,O41,S41)</f>
        <v>467.11</v>
      </c>
      <c r="X41" s="226">
        <f>SUM(H41,L41,P41,T41)</f>
        <v>379.08</v>
      </c>
      <c r="Y41" s="221">
        <f>SUM(I41,M41,Q41,U41)</f>
        <v>370.45000000000005</v>
      </c>
    </row>
    <row r="42" spans="1:25" collapsed="1">
      <c r="A42" s="62" t="s">
        <v>162</v>
      </c>
      <c r="B42" s="78">
        <f t="shared" ref="B42:Y42" si="5">SUM(B36:B41)</f>
        <v>6896</v>
      </c>
      <c r="C42" s="149">
        <f t="shared" si="5"/>
        <v>6105</v>
      </c>
      <c r="D42" s="149">
        <f t="shared" si="5"/>
        <v>5872</v>
      </c>
      <c r="E42" s="149">
        <f t="shared" si="5"/>
        <v>5851</v>
      </c>
      <c r="F42" s="151">
        <f t="shared" si="5"/>
        <v>745.11588210000002</v>
      </c>
      <c r="G42" s="149">
        <f t="shared" si="5"/>
        <v>716.47</v>
      </c>
      <c r="H42" s="149">
        <f t="shared" si="5"/>
        <v>756.84</v>
      </c>
      <c r="I42" s="149">
        <f t="shared" si="5"/>
        <v>762.06</v>
      </c>
      <c r="J42" s="151">
        <f t="shared" si="5"/>
        <v>1728.9793767000001</v>
      </c>
      <c r="K42" s="149">
        <f t="shared" si="5"/>
        <v>1755.72</v>
      </c>
      <c r="L42" s="149">
        <f t="shared" si="5"/>
        <v>1836.31</v>
      </c>
      <c r="M42" s="149">
        <f t="shared" si="5"/>
        <v>1594.96</v>
      </c>
      <c r="N42" s="151">
        <f t="shared" si="5"/>
        <v>1279.7138694</v>
      </c>
      <c r="O42" s="149">
        <f t="shared" si="5"/>
        <v>1423.8</v>
      </c>
      <c r="P42" s="149">
        <f t="shared" si="5"/>
        <v>1205.3000000000002</v>
      </c>
      <c r="Q42" s="149">
        <f t="shared" si="5"/>
        <v>1210.08</v>
      </c>
      <c r="R42" s="151">
        <f t="shared" si="5"/>
        <v>1399.3393398000001</v>
      </c>
      <c r="S42" s="152">
        <f t="shared" si="5"/>
        <v>1664.06</v>
      </c>
      <c r="T42" s="152">
        <f t="shared" si="5"/>
        <v>1255.67</v>
      </c>
      <c r="U42" s="152">
        <f t="shared" si="5"/>
        <v>1278.33</v>
      </c>
      <c r="V42" s="78">
        <f t="shared" si="5"/>
        <v>5153.1484680000012</v>
      </c>
      <c r="W42" s="152">
        <f t="shared" si="5"/>
        <v>5560.0499999999993</v>
      </c>
      <c r="X42" s="152">
        <f t="shared" si="5"/>
        <v>5054.12</v>
      </c>
      <c r="Y42" s="152">
        <f t="shared" si="5"/>
        <v>4845.4299999999994</v>
      </c>
    </row>
    <row r="43" spans="1:25" ht="16.2" thickBot="1">
      <c r="A43" s="137" t="s">
        <v>163</v>
      </c>
      <c r="B43" s="138">
        <f>SUM(B21,B30,B34,B42)</f>
        <v>96681</v>
      </c>
      <c r="C43" s="139">
        <f t="shared" ref="C43:U43" si="6">SUM(C21,C30,C34,C42)</f>
        <v>95890</v>
      </c>
      <c r="D43" s="139">
        <f t="shared" si="6"/>
        <v>95657</v>
      </c>
      <c r="E43" s="139">
        <f t="shared" si="6"/>
        <v>95320</v>
      </c>
      <c r="F43" s="138">
        <f t="shared" si="6"/>
        <v>11575.000915500001</v>
      </c>
      <c r="G43" s="139">
        <f t="shared" si="6"/>
        <v>10424.56</v>
      </c>
      <c r="H43" s="139">
        <f t="shared" si="6"/>
        <v>11886.54</v>
      </c>
      <c r="I43" s="139">
        <f t="shared" si="6"/>
        <v>12414.249999999998</v>
      </c>
      <c r="J43" s="138">
        <f t="shared" si="6"/>
        <v>26789.572101600002</v>
      </c>
      <c r="K43" s="139">
        <f t="shared" si="6"/>
        <v>25545.940000000002</v>
      </c>
      <c r="L43" s="139">
        <f t="shared" si="6"/>
        <v>28840.780000000002</v>
      </c>
      <c r="M43" s="139">
        <f t="shared" si="6"/>
        <v>25982.799999999999</v>
      </c>
      <c r="N43" s="138">
        <f t="shared" si="6"/>
        <v>19786.335468000001</v>
      </c>
      <c r="O43" s="139">
        <f t="shared" si="6"/>
        <v>20716.55</v>
      </c>
      <c r="P43" s="139">
        <f t="shared" si="6"/>
        <v>18930.12</v>
      </c>
      <c r="Q43" s="139">
        <f t="shared" si="6"/>
        <v>19712.93</v>
      </c>
      <c r="R43" s="138">
        <f t="shared" si="6"/>
        <v>21585.924138599996</v>
      </c>
      <c r="S43" s="138">
        <f t="shared" si="6"/>
        <v>24212.350000000002</v>
      </c>
      <c r="T43" s="138">
        <f t="shared" si="6"/>
        <v>19721.47</v>
      </c>
      <c r="U43" s="138">
        <f t="shared" si="6"/>
        <v>20824.599999999999</v>
      </c>
      <c r="V43" s="138">
        <f>SUM(V21,V30,V34,V42)</f>
        <v>79736.8326237</v>
      </c>
      <c r="W43" s="138">
        <f t="shared" ref="W43:Y43" si="7">SUM(W21,W30,W34,W42)</f>
        <v>80899.400000000009</v>
      </c>
      <c r="X43" s="138">
        <f t="shared" si="7"/>
        <v>79378.91</v>
      </c>
      <c r="Y43" s="138">
        <f t="shared" si="7"/>
        <v>78934.579999999987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16045.5428763</v>
      </c>
      <c r="S45" s="142">
        <v>14990.6</v>
      </c>
      <c r="T45" s="224">
        <v>16761.09</v>
      </c>
      <c r="U45" s="219">
        <v>16385.419999999998</v>
      </c>
      <c r="V45" s="141">
        <f>SUM(F45,J45,N45,R45)</f>
        <v>16045.5428763</v>
      </c>
      <c r="W45" s="142">
        <f>SUM(G45,K45,O45,S45)</f>
        <v>14990.6</v>
      </c>
      <c r="X45" s="224">
        <f>SUM(H45,L45,P45,T45)</f>
        <v>16761.09</v>
      </c>
      <c r="Y45" s="219">
        <f>SUM(I45,M45,Q45,U45)</f>
        <v>16385.419999999998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16045.5428763</v>
      </c>
      <c r="S47" s="150">
        <f t="shared" si="8"/>
        <v>14990.6</v>
      </c>
      <c r="T47" s="150">
        <f t="shared" si="8"/>
        <v>16761.09</v>
      </c>
      <c r="U47" s="150">
        <f t="shared" si="8"/>
        <v>16385.419999999998</v>
      </c>
      <c r="V47" s="153">
        <f t="shared" si="8"/>
        <v>16045.5428763</v>
      </c>
      <c r="W47" s="150">
        <f t="shared" si="8"/>
        <v>14990.6</v>
      </c>
      <c r="X47" s="150">
        <f t="shared" si="8"/>
        <v>16761.09</v>
      </c>
      <c r="Y47" s="150">
        <f t="shared" si="8"/>
        <v>16385.419999999998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-36235.520974500003</v>
      </c>
      <c r="G48" s="139">
        <f t="shared" si="9"/>
        <v>-37520.44</v>
      </c>
      <c r="H48" s="139">
        <f t="shared" si="9"/>
        <v>-35941.46</v>
      </c>
      <c r="I48" s="139">
        <f t="shared" si="9"/>
        <v>-35245.75</v>
      </c>
      <c r="J48" s="138">
        <f t="shared" si="9"/>
        <v>26789.572101600002</v>
      </c>
      <c r="K48" s="139">
        <f t="shared" si="9"/>
        <v>25545.940000000002</v>
      </c>
      <c r="L48" s="139">
        <f t="shared" si="9"/>
        <v>28840.780000000002</v>
      </c>
      <c r="M48" s="139">
        <f t="shared" si="9"/>
        <v>25982.799999999999</v>
      </c>
      <c r="N48" s="138">
        <f t="shared" si="9"/>
        <v>-28024.519752000004</v>
      </c>
      <c r="O48" s="139">
        <f t="shared" si="9"/>
        <v>-27228.45</v>
      </c>
      <c r="P48" s="139">
        <f t="shared" si="9"/>
        <v>-28898.880000000001</v>
      </c>
      <c r="Q48" s="139">
        <f t="shared" si="9"/>
        <v>-27947.07</v>
      </c>
      <c r="R48" s="138">
        <f t="shared" si="9"/>
        <v>37470.468624899993</v>
      </c>
      <c r="S48" s="138">
        <f t="shared" si="9"/>
        <v>39202.950000000004</v>
      </c>
      <c r="T48" s="138">
        <f t="shared" si="9"/>
        <v>35999.56</v>
      </c>
      <c r="U48" s="138">
        <f t="shared" si="9"/>
        <v>37210.019999999997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29" priority="13" operator="lessThan">
      <formula>-0.01</formula>
    </cfRule>
  </conditionalFormatting>
  <conditionalFormatting sqref="Y15:Y21 Y23:Y30 Y32:Y34 Y36:Y43">
    <cfRule type="cellIs" dxfId="128" priority="12" operator="lessThan">
      <formula>-0.01</formula>
    </cfRule>
  </conditionalFormatting>
  <conditionalFormatting sqref="X15:X21 X23:X30 X32:X34 X36:X43">
    <cfRule type="cellIs" dxfId="127" priority="11" operator="lessThan">
      <formula>-0.01</formula>
    </cfRule>
  </conditionalFormatting>
  <conditionalFormatting sqref="U15:U21 U23:U30 U32:U34 U36:U43">
    <cfRule type="cellIs" dxfId="126" priority="10" operator="lessThan">
      <formula>-0.01</formula>
    </cfRule>
  </conditionalFormatting>
  <conditionalFormatting sqref="T15:T21 T23:T30 T32:T34 T36:T43">
    <cfRule type="cellIs" dxfId="125" priority="9" operator="lessThan">
      <formula>-0.01</formula>
    </cfRule>
  </conditionalFormatting>
  <conditionalFormatting sqref="Q15:Q21 Q23:Q30 Q32:Q34 Q36:Q43">
    <cfRule type="cellIs" dxfId="124" priority="8" operator="lessThan">
      <formula>-0.01</formula>
    </cfRule>
  </conditionalFormatting>
  <conditionalFormatting sqref="P15:P21 P23:P30 P32:P34 P36:P43">
    <cfRule type="cellIs" dxfId="123" priority="7" operator="lessThan">
      <formula>-0.01</formula>
    </cfRule>
  </conditionalFormatting>
  <conditionalFormatting sqref="M15:M21 M23:M30 M32:M34 M36:M43">
    <cfRule type="cellIs" dxfId="122" priority="6" operator="lessThan">
      <formula>-0.01</formula>
    </cfRule>
  </conditionalFormatting>
  <conditionalFormatting sqref="L15:L21 L23:L30 L32:L34 L36:L43">
    <cfRule type="cellIs" dxfId="121" priority="5" operator="lessThan">
      <formula>-0.01</formula>
    </cfRule>
  </conditionalFormatting>
  <conditionalFormatting sqref="I15:I21 I23:I30 I32:I34 I36:I43">
    <cfRule type="cellIs" dxfId="120" priority="4" operator="lessThan">
      <formula>-0.01</formula>
    </cfRule>
  </conditionalFormatting>
  <conditionalFormatting sqref="H15:H21 H23:H30 H32:H34 H36:H43">
    <cfRule type="cellIs" dxfId="119" priority="3" operator="lessThan">
      <formula>-0.01</formula>
    </cfRule>
  </conditionalFormatting>
  <conditionalFormatting sqref="E15:E21 E23:E30 E32:E34 E36:E43">
    <cfRule type="cellIs" dxfId="118" priority="2" operator="lessThan">
      <formula>-0.01</formula>
    </cfRule>
  </conditionalFormatting>
  <conditionalFormatting sqref="D15:D21 D23:D30 D32:D34 D36:D43">
    <cfRule type="cellIs" dxfId="117" priority="1" operator="lessThan">
      <formula>-0.01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561FB-CAB4-48C8-9297-D560E08DEAE5}">
  <sheetPr codeName="Sheet85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734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-2800</v>
      </c>
      <c r="C8" s="128">
        <v>-2777</v>
      </c>
      <c r="D8" s="231">
        <v>-2770</v>
      </c>
      <c r="E8" s="227">
        <v>-2770</v>
      </c>
      <c r="F8" s="129">
        <v>-1385.98614</v>
      </c>
      <c r="G8" s="128">
        <v>-1388</v>
      </c>
      <c r="H8" s="231">
        <v>-1385</v>
      </c>
      <c r="I8" s="227">
        <v>-1385</v>
      </c>
      <c r="J8" s="129">
        <v>0</v>
      </c>
      <c r="K8" s="128">
        <v>0</v>
      </c>
      <c r="L8" s="231">
        <v>0</v>
      </c>
      <c r="M8" s="227">
        <v>0</v>
      </c>
      <c r="N8" s="129">
        <v>-1386.3194699999999</v>
      </c>
      <c r="O8" s="128">
        <v>-1389</v>
      </c>
      <c r="P8" s="231">
        <v>-1385</v>
      </c>
      <c r="Q8" s="227">
        <v>-1385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-2772.3056099999999</v>
      </c>
      <c r="W8" s="130">
        <f>SUM(G8,K8,O8,S8)</f>
        <v>-2777</v>
      </c>
      <c r="X8" s="222">
        <f>SUM(H8,L8,P8,T8)</f>
        <v>-2770</v>
      </c>
      <c r="Y8" s="217">
        <f>SUM(I8,M8,Q8,U8)</f>
        <v>-2770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-1028.8763778</v>
      </c>
      <c r="S11" s="133">
        <v>-618.5</v>
      </c>
      <c r="T11" s="223">
        <v>-2468.16</v>
      </c>
      <c r="U11" s="218">
        <v>0</v>
      </c>
      <c r="V11" s="135">
        <f>SUM(F11,J11,N11,R11)</f>
        <v>-1028.8763778</v>
      </c>
      <c r="W11" s="133">
        <f>SUM(G11,K11,O11,S11)</f>
        <v>-618.5</v>
      </c>
      <c r="X11" s="223">
        <f>SUM(H11,L11,P11,T11)</f>
        <v>-2468.16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-2800</v>
      </c>
      <c r="C12" s="139">
        <f t="shared" ref="C12:U12" si="0">SUM(C8:C11)</f>
        <v>-2777</v>
      </c>
      <c r="D12" s="139">
        <f t="shared" si="0"/>
        <v>-2770</v>
      </c>
      <c r="E12" s="139">
        <f t="shared" si="0"/>
        <v>-2770</v>
      </c>
      <c r="F12" s="138">
        <f t="shared" si="0"/>
        <v>-1385.98614</v>
      </c>
      <c r="G12" s="139">
        <f t="shared" si="0"/>
        <v>-1388</v>
      </c>
      <c r="H12" s="139">
        <f t="shared" si="0"/>
        <v>-1385</v>
      </c>
      <c r="I12" s="139">
        <f t="shared" si="0"/>
        <v>-1385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-1386.3194699999999</v>
      </c>
      <c r="O12" s="139">
        <f t="shared" si="0"/>
        <v>-1389</v>
      </c>
      <c r="P12" s="139">
        <f t="shared" si="0"/>
        <v>-1385</v>
      </c>
      <c r="Q12" s="139">
        <f t="shared" si="0"/>
        <v>-1385</v>
      </c>
      <c r="R12" s="138">
        <f t="shared" si="0"/>
        <v>-1028.8763778</v>
      </c>
      <c r="S12" s="138">
        <f t="shared" si="0"/>
        <v>-618.5</v>
      </c>
      <c r="T12" s="138">
        <f t="shared" si="0"/>
        <v>-2468.16</v>
      </c>
      <c r="U12" s="138">
        <f t="shared" si="0"/>
        <v>0</v>
      </c>
      <c r="V12" s="138">
        <f>SUM(V8:V11)</f>
        <v>-3801.1819877999997</v>
      </c>
      <c r="W12" s="138">
        <f t="shared" ref="W12:Y12" si="1">SUM(W8:W11)</f>
        <v>-3395.5</v>
      </c>
      <c r="X12" s="138">
        <f t="shared" si="1"/>
        <v>-5238.16</v>
      </c>
      <c r="Y12" s="138">
        <f t="shared" si="1"/>
        <v>-2770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2600</v>
      </c>
      <c r="C23" s="128">
        <v>2600</v>
      </c>
      <c r="D23" s="231">
        <v>2600</v>
      </c>
      <c r="E23" s="227">
        <v>2600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38.276283900000003</v>
      </c>
      <c r="K26" s="128">
        <v>0</v>
      </c>
      <c r="L26" s="231">
        <v>0</v>
      </c>
      <c r="M26" s="227">
        <v>114.83</v>
      </c>
      <c r="N26" s="129">
        <v>1001.6666499</v>
      </c>
      <c r="O26" s="128">
        <v>1383</v>
      </c>
      <c r="P26" s="231">
        <v>1014.25</v>
      </c>
      <c r="Q26" s="227">
        <v>607.78</v>
      </c>
      <c r="R26" s="129">
        <v>417.90582089999998</v>
      </c>
      <c r="S26" s="130">
        <v>523.26</v>
      </c>
      <c r="T26" s="222">
        <v>566.66999999999996</v>
      </c>
      <c r="U26" s="217">
        <v>163.80000000000001</v>
      </c>
      <c r="V26" s="127">
        <f>SUM(F26,J26,N26,R26)</f>
        <v>1457.8487547</v>
      </c>
      <c r="W26" s="130">
        <f>SUM(G26,K26,O26,S26)</f>
        <v>1906.26</v>
      </c>
      <c r="X26" s="222">
        <f>SUM(H26,L26,P26,T26)</f>
        <v>1580.92</v>
      </c>
      <c r="Y26" s="217">
        <f>SUM(I26,M26,Q26,U26)</f>
        <v>886.41000000000008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23.333100000000002</v>
      </c>
      <c r="O27" s="128">
        <v>70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23.333100000000002</v>
      </c>
      <c r="W27" s="130">
        <f>SUM(G27,K27,O27,S27)</f>
        <v>70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74.882584500000007</v>
      </c>
      <c r="G29" s="147">
        <v>180.25</v>
      </c>
      <c r="H29" s="234">
        <v>44.4</v>
      </c>
      <c r="I29" s="230">
        <v>0</v>
      </c>
      <c r="J29" s="136">
        <v>288.57044760000002</v>
      </c>
      <c r="K29" s="147">
        <v>143</v>
      </c>
      <c r="L29" s="234">
        <v>0</v>
      </c>
      <c r="M29" s="230">
        <v>722.72</v>
      </c>
      <c r="N29" s="136">
        <v>105.198948</v>
      </c>
      <c r="O29" s="147">
        <v>87</v>
      </c>
      <c r="P29" s="234">
        <v>144.80000000000001</v>
      </c>
      <c r="Q29" s="230">
        <v>83.8</v>
      </c>
      <c r="R29" s="136">
        <v>271.13728860000003</v>
      </c>
      <c r="S29" s="148">
        <v>775.62</v>
      </c>
      <c r="T29" s="226">
        <v>0</v>
      </c>
      <c r="U29" s="221">
        <v>37.799999999999997</v>
      </c>
      <c r="V29" s="135">
        <f>SUM(F29,J29,N29,R29)</f>
        <v>739.78926870000009</v>
      </c>
      <c r="W29" s="148">
        <f>SUM(G29,K29,O29,S29)</f>
        <v>1185.8699999999999</v>
      </c>
      <c r="X29" s="226">
        <f>SUM(H29,L29,P29,T29)</f>
        <v>189.20000000000002</v>
      </c>
      <c r="Y29" s="221">
        <f>SUM(I29,M29,Q29,U29)</f>
        <v>844.31999999999994</v>
      </c>
    </row>
    <row r="30" spans="1:25" collapsed="1">
      <c r="A30" s="62" t="s">
        <v>151</v>
      </c>
      <c r="B30" s="78">
        <f t="shared" ref="B30:Y30" si="3">SUM(B23:B29)</f>
        <v>2600</v>
      </c>
      <c r="C30" s="91">
        <f t="shared" si="3"/>
        <v>2600</v>
      </c>
      <c r="D30" s="91">
        <f t="shared" si="3"/>
        <v>2600</v>
      </c>
      <c r="E30" s="91">
        <f t="shared" si="3"/>
        <v>2600</v>
      </c>
      <c r="F30" s="78">
        <f t="shared" si="3"/>
        <v>74.882584500000007</v>
      </c>
      <c r="G30" s="91">
        <f t="shared" si="3"/>
        <v>180.25</v>
      </c>
      <c r="H30" s="91">
        <f t="shared" si="3"/>
        <v>44.4</v>
      </c>
      <c r="I30" s="91">
        <f t="shared" si="3"/>
        <v>0</v>
      </c>
      <c r="J30" s="78">
        <f t="shared" si="3"/>
        <v>326.84673150000003</v>
      </c>
      <c r="K30" s="91">
        <f t="shared" si="3"/>
        <v>143</v>
      </c>
      <c r="L30" s="91">
        <f t="shared" si="3"/>
        <v>0</v>
      </c>
      <c r="M30" s="91">
        <f t="shared" si="3"/>
        <v>837.55000000000007</v>
      </c>
      <c r="N30" s="78">
        <f t="shared" si="3"/>
        <v>1130.1986979000001</v>
      </c>
      <c r="O30" s="91">
        <f t="shared" si="3"/>
        <v>1540</v>
      </c>
      <c r="P30" s="91">
        <f t="shared" si="3"/>
        <v>1159.05</v>
      </c>
      <c r="Q30" s="91">
        <f t="shared" si="3"/>
        <v>691.57999999999993</v>
      </c>
      <c r="R30" s="78">
        <f t="shared" si="3"/>
        <v>689.04310950000001</v>
      </c>
      <c r="S30" s="150">
        <f t="shared" si="3"/>
        <v>1298.8800000000001</v>
      </c>
      <c r="T30" s="150">
        <f t="shared" si="3"/>
        <v>566.66999999999996</v>
      </c>
      <c r="U30" s="150">
        <f t="shared" si="3"/>
        <v>201.60000000000002</v>
      </c>
      <c r="V30" s="78">
        <f t="shared" si="3"/>
        <v>2220.9711234000001</v>
      </c>
      <c r="W30" s="150">
        <f t="shared" si="3"/>
        <v>3162.13</v>
      </c>
      <c r="X30" s="150">
        <f t="shared" si="3"/>
        <v>1770.1200000000001</v>
      </c>
      <c r="Y30" s="150">
        <f t="shared" si="3"/>
        <v>1730.73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52.479475200000003</v>
      </c>
      <c r="O32" s="128">
        <v>0</v>
      </c>
      <c r="P32" s="231">
        <v>0</v>
      </c>
      <c r="Q32" s="227">
        <v>157.44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52.479475200000003</v>
      </c>
      <c r="W32" s="142">
        <f>SUM(G32,K32,O32,S32)</f>
        <v>0</v>
      </c>
      <c r="X32" s="224">
        <f>SUM(H32,L32,P32,T32)</f>
        <v>0</v>
      </c>
      <c r="Y32" s="219">
        <f>SUM(I32,M32,Q32,U32)</f>
        <v>157.44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266.33067</v>
      </c>
      <c r="K33" s="147">
        <v>0</v>
      </c>
      <c r="L33" s="234">
        <v>799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393.32940000000002</v>
      </c>
      <c r="S33" s="148">
        <v>0</v>
      </c>
      <c r="T33" s="226">
        <v>1180</v>
      </c>
      <c r="U33" s="221">
        <v>0</v>
      </c>
      <c r="V33" s="135">
        <f>SUM(F33,J33,N33,R33)</f>
        <v>659.66007000000002</v>
      </c>
      <c r="W33" s="148">
        <f>SUM(G33,K33,O33,S33)</f>
        <v>0</v>
      </c>
      <c r="X33" s="226">
        <f>SUM(H33,L33,P33,T33)</f>
        <v>1979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266.33067</v>
      </c>
      <c r="K34" s="91">
        <f t="shared" si="4"/>
        <v>0</v>
      </c>
      <c r="L34" s="91">
        <f t="shared" si="4"/>
        <v>799</v>
      </c>
      <c r="M34" s="91">
        <f t="shared" si="4"/>
        <v>0</v>
      </c>
      <c r="N34" s="78">
        <f t="shared" si="4"/>
        <v>52.479475200000003</v>
      </c>
      <c r="O34" s="91">
        <f t="shared" si="4"/>
        <v>0</v>
      </c>
      <c r="P34" s="91">
        <f t="shared" si="4"/>
        <v>0</v>
      </c>
      <c r="Q34" s="91">
        <f t="shared" si="4"/>
        <v>157.44</v>
      </c>
      <c r="R34" s="78">
        <f t="shared" si="4"/>
        <v>393.32940000000002</v>
      </c>
      <c r="S34" s="150">
        <f t="shared" si="4"/>
        <v>0</v>
      </c>
      <c r="T34" s="150">
        <f t="shared" si="4"/>
        <v>1180</v>
      </c>
      <c r="U34" s="150">
        <f t="shared" si="4"/>
        <v>0</v>
      </c>
      <c r="V34" s="78">
        <f t="shared" si="4"/>
        <v>712.13954520000004</v>
      </c>
      <c r="W34" s="150">
        <f t="shared" si="4"/>
        <v>0</v>
      </c>
      <c r="X34" s="150">
        <f t="shared" si="4"/>
        <v>1979</v>
      </c>
      <c r="Y34" s="150">
        <f t="shared" si="4"/>
        <v>157.44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184</v>
      </c>
      <c r="C40" s="128">
        <v>164</v>
      </c>
      <c r="D40" s="231">
        <v>157</v>
      </c>
      <c r="E40" s="227">
        <v>157</v>
      </c>
      <c r="F40" s="129">
        <v>4.9932834000000001</v>
      </c>
      <c r="G40" s="128">
        <v>12.19</v>
      </c>
      <c r="H40" s="231">
        <v>2.79</v>
      </c>
      <c r="I40" s="227">
        <v>0</v>
      </c>
      <c r="J40" s="129">
        <v>36.839631600000004</v>
      </c>
      <c r="K40" s="128">
        <v>9.67</v>
      </c>
      <c r="L40" s="231">
        <v>50.26</v>
      </c>
      <c r="M40" s="227">
        <v>50.59</v>
      </c>
      <c r="N40" s="129">
        <v>76.099238999999997</v>
      </c>
      <c r="O40" s="128">
        <v>104.11</v>
      </c>
      <c r="P40" s="231">
        <v>72.91</v>
      </c>
      <c r="Q40" s="227">
        <v>51.28</v>
      </c>
      <c r="R40" s="129">
        <v>69.949300499999993</v>
      </c>
      <c r="S40" s="130">
        <v>87.8</v>
      </c>
      <c r="T40" s="222">
        <v>109.87</v>
      </c>
      <c r="U40" s="217">
        <v>12.18</v>
      </c>
      <c r="V40" s="127">
        <f>SUM(F40,J40,N40,R40)</f>
        <v>187.88145449999999</v>
      </c>
      <c r="W40" s="130">
        <f>SUM(G40,K40,O40,S40)</f>
        <v>213.76999999999998</v>
      </c>
      <c r="X40" s="222">
        <f>SUM(H40,L40,P40,T40)</f>
        <v>235.82999999999998</v>
      </c>
      <c r="Y40" s="217">
        <f>SUM(I40,M40,Q40,U40)</f>
        <v>114.05000000000001</v>
      </c>
    </row>
    <row r="41" spans="1:25" hidden="1" outlineLevel="1">
      <c r="A41" s="134" t="s">
        <v>161</v>
      </c>
      <c r="B41" s="135">
        <v>16</v>
      </c>
      <c r="C41" s="147">
        <v>13</v>
      </c>
      <c r="D41" s="234">
        <v>13</v>
      </c>
      <c r="E41" s="230">
        <v>13</v>
      </c>
      <c r="F41" s="136">
        <v>0.44999550000000005</v>
      </c>
      <c r="G41" s="147">
        <v>1.1200000000000001</v>
      </c>
      <c r="H41" s="234">
        <v>0.23</v>
      </c>
      <c r="I41" s="230">
        <v>0</v>
      </c>
      <c r="J41" s="136">
        <v>3.0499695000000004</v>
      </c>
      <c r="K41" s="147">
        <v>0.88</v>
      </c>
      <c r="L41" s="234">
        <v>4.08</v>
      </c>
      <c r="M41" s="230">
        <v>4.1900000000000004</v>
      </c>
      <c r="N41" s="136">
        <v>6.5699342999999999</v>
      </c>
      <c r="O41" s="147">
        <v>9.5500000000000007</v>
      </c>
      <c r="P41" s="234">
        <v>5.91</v>
      </c>
      <c r="Q41" s="230">
        <v>4.25</v>
      </c>
      <c r="R41" s="136">
        <v>5.9899401000000001</v>
      </c>
      <c r="S41" s="148">
        <v>8.0500000000000007</v>
      </c>
      <c r="T41" s="226">
        <v>8.91</v>
      </c>
      <c r="U41" s="221">
        <v>1.01</v>
      </c>
      <c r="V41" s="135">
        <f>SUM(F41,J41,N41,R41)</f>
        <v>16.059839400000001</v>
      </c>
      <c r="W41" s="148">
        <f>SUM(G41,K41,O41,S41)</f>
        <v>19.600000000000001</v>
      </c>
      <c r="X41" s="226">
        <f>SUM(H41,L41,P41,T41)</f>
        <v>19.130000000000003</v>
      </c>
      <c r="Y41" s="221">
        <f>SUM(I41,M41,Q41,U41)</f>
        <v>9.4500000000000011</v>
      </c>
    </row>
    <row r="42" spans="1:25" collapsed="1">
      <c r="A42" s="62" t="s">
        <v>162</v>
      </c>
      <c r="B42" s="78">
        <f t="shared" ref="B42:Y42" si="5">SUM(B36:B41)</f>
        <v>200</v>
      </c>
      <c r="C42" s="149">
        <f t="shared" si="5"/>
        <v>177</v>
      </c>
      <c r="D42" s="149">
        <f t="shared" si="5"/>
        <v>170</v>
      </c>
      <c r="E42" s="149">
        <f t="shared" si="5"/>
        <v>170</v>
      </c>
      <c r="F42" s="151">
        <f t="shared" si="5"/>
        <v>5.4432789000000001</v>
      </c>
      <c r="G42" s="149">
        <f t="shared" si="5"/>
        <v>13.309999999999999</v>
      </c>
      <c r="H42" s="149">
        <f t="shared" si="5"/>
        <v>3.02</v>
      </c>
      <c r="I42" s="149">
        <f t="shared" si="5"/>
        <v>0</v>
      </c>
      <c r="J42" s="151">
        <f t="shared" si="5"/>
        <v>39.889601100000007</v>
      </c>
      <c r="K42" s="149">
        <f t="shared" si="5"/>
        <v>10.55</v>
      </c>
      <c r="L42" s="149">
        <f t="shared" si="5"/>
        <v>54.339999999999996</v>
      </c>
      <c r="M42" s="149">
        <f t="shared" si="5"/>
        <v>54.78</v>
      </c>
      <c r="N42" s="151">
        <f t="shared" si="5"/>
        <v>82.669173299999997</v>
      </c>
      <c r="O42" s="149">
        <f t="shared" si="5"/>
        <v>113.66</v>
      </c>
      <c r="P42" s="149">
        <f t="shared" si="5"/>
        <v>78.819999999999993</v>
      </c>
      <c r="Q42" s="149">
        <f t="shared" si="5"/>
        <v>55.53</v>
      </c>
      <c r="R42" s="151">
        <f t="shared" si="5"/>
        <v>75.939240599999991</v>
      </c>
      <c r="S42" s="152">
        <f t="shared" si="5"/>
        <v>95.85</v>
      </c>
      <c r="T42" s="152">
        <f t="shared" si="5"/>
        <v>118.78</v>
      </c>
      <c r="U42" s="152">
        <f t="shared" si="5"/>
        <v>13.19</v>
      </c>
      <c r="V42" s="78">
        <f t="shared" si="5"/>
        <v>203.94129390000001</v>
      </c>
      <c r="W42" s="152">
        <f t="shared" si="5"/>
        <v>233.36999999999998</v>
      </c>
      <c r="X42" s="152">
        <f t="shared" si="5"/>
        <v>254.95999999999998</v>
      </c>
      <c r="Y42" s="152">
        <f t="shared" si="5"/>
        <v>123.50000000000001</v>
      </c>
    </row>
    <row r="43" spans="1:25" ht="16.2" thickBot="1">
      <c r="A43" s="137" t="s">
        <v>163</v>
      </c>
      <c r="B43" s="138">
        <f>SUM(B21,B30,B34,B42)</f>
        <v>2800</v>
      </c>
      <c r="C43" s="139">
        <f t="shared" ref="C43:U43" si="6">SUM(C21,C30,C34,C42)</f>
        <v>2777</v>
      </c>
      <c r="D43" s="139">
        <f t="shared" si="6"/>
        <v>2770</v>
      </c>
      <c r="E43" s="139">
        <f t="shared" si="6"/>
        <v>2770</v>
      </c>
      <c r="F43" s="138">
        <f t="shared" si="6"/>
        <v>80.325863400000003</v>
      </c>
      <c r="G43" s="139">
        <f t="shared" si="6"/>
        <v>193.56</v>
      </c>
      <c r="H43" s="139">
        <f t="shared" si="6"/>
        <v>47.42</v>
      </c>
      <c r="I43" s="139">
        <f t="shared" si="6"/>
        <v>0</v>
      </c>
      <c r="J43" s="138">
        <f t="shared" si="6"/>
        <v>633.06700260000014</v>
      </c>
      <c r="K43" s="139">
        <f t="shared" si="6"/>
        <v>153.55000000000001</v>
      </c>
      <c r="L43" s="139">
        <f t="shared" si="6"/>
        <v>853.34</v>
      </c>
      <c r="M43" s="139">
        <f t="shared" si="6"/>
        <v>892.33</v>
      </c>
      <c r="N43" s="138">
        <f t="shared" si="6"/>
        <v>1265.3473464000001</v>
      </c>
      <c r="O43" s="139">
        <f t="shared" si="6"/>
        <v>1653.66</v>
      </c>
      <c r="P43" s="139">
        <f t="shared" si="6"/>
        <v>1237.8699999999999</v>
      </c>
      <c r="Q43" s="139">
        <f t="shared" si="6"/>
        <v>904.55</v>
      </c>
      <c r="R43" s="138">
        <f t="shared" si="6"/>
        <v>1158.3117500999999</v>
      </c>
      <c r="S43" s="138">
        <f t="shared" si="6"/>
        <v>1394.73</v>
      </c>
      <c r="T43" s="138">
        <f t="shared" si="6"/>
        <v>1865.45</v>
      </c>
      <c r="U43" s="138">
        <f t="shared" si="6"/>
        <v>214.79000000000002</v>
      </c>
      <c r="V43" s="138">
        <f>SUM(V21,V30,V34,V42)</f>
        <v>3137.0519625000002</v>
      </c>
      <c r="W43" s="138">
        <f t="shared" ref="W43:Y43" si="7">SUM(W21,W30,W34,W42)</f>
        <v>3395.5</v>
      </c>
      <c r="X43" s="138">
        <f t="shared" si="7"/>
        <v>4004.08</v>
      </c>
      <c r="Y43" s="138">
        <f t="shared" si="7"/>
        <v>2011.67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664.13002529999994</v>
      </c>
      <c r="S45" s="142">
        <v>0</v>
      </c>
      <c r="T45" s="224">
        <v>1234.08</v>
      </c>
      <c r="U45" s="219">
        <v>758.33</v>
      </c>
      <c r="V45" s="141">
        <f>SUM(F45,J45,N45,R45)</f>
        <v>664.13002529999994</v>
      </c>
      <c r="W45" s="142">
        <f>SUM(G45,K45,O45,S45)</f>
        <v>0</v>
      </c>
      <c r="X45" s="224">
        <f>SUM(H45,L45,P45,T45)</f>
        <v>1234.08</v>
      </c>
      <c r="Y45" s="219">
        <f>SUM(I45,M45,Q45,U45)</f>
        <v>758.33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664.13002529999994</v>
      </c>
      <c r="S47" s="150">
        <f t="shared" si="8"/>
        <v>0</v>
      </c>
      <c r="T47" s="150">
        <f t="shared" si="8"/>
        <v>1234.08</v>
      </c>
      <c r="U47" s="150">
        <f t="shared" si="8"/>
        <v>758.33</v>
      </c>
      <c r="V47" s="153">
        <f t="shared" si="8"/>
        <v>664.13002529999994</v>
      </c>
      <c r="W47" s="150">
        <f t="shared" si="8"/>
        <v>0</v>
      </c>
      <c r="X47" s="150">
        <f t="shared" si="8"/>
        <v>1234.08</v>
      </c>
      <c r="Y47" s="150">
        <f t="shared" si="8"/>
        <v>758.33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-1305.6602766000001</v>
      </c>
      <c r="G48" s="139">
        <f t="shared" si="9"/>
        <v>-1194.44</v>
      </c>
      <c r="H48" s="139">
        <f t="shared" si="9"/>
        <v>-1337.58</v>
      </c>
      <c r="I48" s="139">
        <f t="shared" si="9"/>
        <v>-1385</v>
      </c>
      <c r="J48" s="138">
        <f t="shared" si="9"/>
        <v>633.06700260000014</v>
      </c>
      <c r="K48" s="139">
        <f t="shared" si="9"/>
        <v>153.55000000000001</v>
      </c>
      <c r="L48" s="139">
        <f t="shared" si="9"/>
        <v>853.34</v>
      </c>
      <c r="M48" s="139">
        <f t="shared" si="9"/>
        <v>892.33</v>
      </c>
      <c r="N48" s="138">
        <f t="shared" si="9"/>
        <v>-120.9721235999998</v>
      </c>
      <c r="O48" s="139">
        <f t="shared" si="9"/>
        <v>264.66000000000008</v>
      </c>
      <c r="P48" s="139">
        <f t="shared" si="9"/>
        <v>-147.13000000000011</v>
      </c>
      <c r="Q48" s="139">
        <f t="shared" si="9"/>
        <v>-480.45000000000005</v>
      </c>
      <c r="R48" s="138">
        <f t="shared" si="9"/>
        <v>793.56539759999987</v>
      </c>
      <c r="S48" s="138">
        <f t="shared" si="9"/>
        <v>776.23</v>
      </c>
      <c r="T48" s="138">
        <f t="shared" si="9"/>
        <v>631.37000000000012</v>
      </c>
      <c r="U48" s="138">
        <f t="shared" si="9"/>
        <v>973.12000000000012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16" priority="13" operator="lessThan">
      <formula>-0.01</formula>
    </cfRule>
  </conditionalFormatting>
  <conditionalFormatting sqref="Y15:Y21 Y23:Y30 Y32:Y34 Y36:Y43">
    <cfRule type="cellIs" dxfId="115" priority="12" operator="lessThan">
      <formula>-0.01</formula>
    </cfRule>
  </conditionalFormatting>
  <conditionalFormatting sqref="X15:X21 X23:X30 X32:X34 X36:X43">
    <cfRule type="cellIs" dxfId="114" priority="11" operator="lessThan">
      <formula>-0.01</formula>
    </cfRule>
  </conditionalFormatting>
  <conditionalFormatting sqref="U15:U21 U23:U30 U32:U34 U36:U43">
    <cfRule type="cellIs" dxfId="113" priority="10" operator="lessThan">
      <formula>-0.01</formula>
    </cfRule>
  </conditionalFormatting>
  <conditionalFormatting sqref="T15:T21 T23:T30 T32:T34 T36:T43">
    <cfRule type="cellIs" dxfId="112" priority="9" operator="lessThan">
      <formula>-0.01</formula>
    </cfRule>
  </conditionalFormatting>
  <conditionalFormatting sqref="Q15:Q21 Q23:Q30 Q32:Q34 Q36:Q43">
    <cfRule type="cellIs" dxfId="111" priority="8" operator="lessThan">
      <formula>-0.01</formula>
    </cfRule>
  </conditionalFormatting>
  <conditionalFormatting sqref="P15:P21 P23:P30 P32:P34 P36:P43">
    <cfRule type="cellIs" dxfId="110" priority="7" operator="lessThan">
      <formula>-0.01</formula>
    </cfRule>
  </conditionalFormatting>
  <conditionalFormatting sqref="M15:M21 M23:M30 M32:M34 M36:M43">
    <cfRule type="cellIs" dxfId="109" priority="6" operator="lessThan">
      <formula>-0.01</formula>
    </cfRule>
  </conditionalFormatting>
  <conditionalFormatting sqref="L15:L21 L23:L30 L32:L34 L36:L43">
    <cfRule type="cellIs" dxfId="108" priority="5" operator="lessThan">
      <formula>-0.01</formula>
    </cfRule>
  </conditionalFormatting>
  <conditionalFormatting sqref="I15:I21 I23:I30 I32:I34 I36:I43">
    <cfRule type="cellIs" dxfId="107" priority="4" operator="lessThan">
      <formula>-0.01</formula>
    </cfRule>
  </conditionalFormatting>
  <conditionalFormatting sqref="H15:H21 H23:H30 H32:H34 H36:H43">
    <cfRule type="cellIs" dxfId="106" priority="3" operator="lessThan">
      <formula>-0.01</formula>
    </cfRule>
  </conditionalFormatting>
  <conditionalFormatting sqref="E15:E21 E23:E30 E32:E34 E36:E43">
    <cfRule type="cellIs" dxfId="105" priority="2" operator="lessThan">
      <formula>-0.01</formula>
    </cfRule>
  </conditionalFormatting>
  <conditionalFormatting sqref="D15:D21 D23:D30 D32:D34 D36:D43">
    <cfRule type="cellIs" dxfId="104" priority="1" operator="lessThan">
      <formula>-0.01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2E9F-446D-45B7-8868-4B0E98CF8A40}">
  <sheetPr codeName="Sheet86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736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-21810</v>
      </c>
      <c r="C8" s="128">
        <v>-21631</v>
      </c>
      <c r="D8" s="231">
        <v>-22431</v>
      </c>
      <c r="E8" s="227">
        <v>-22431</v>
      </c>
      <c r="F8" s="129">
        <v>-15916.174170000002</v>
      </c>
      <c r="G8" s="128">
        <v>-10815</v>
      </c>
      <c r="H8" s="231">
        <v>-11215</v>
      </c>
      <c r="I8" s="227">
        <v>-25719</v>
      </c>
      <c r="J8" s="129">
        <v>0</v>
      </c>
      <c r="K8" s="128">
        <v>0</v>
      </c>
      <c r="L8" s="231">
        <v>0</v>
      </c>
      <c r="M8" s="227">
        <v>0</v>
      </c>
      <c r="N8" s="129">
        <v>-15916.840830000001</v>
      </c>
      <c r="O8" s="128">
        <v>-10816</v>
      </c>
      <c r="P8" s="231">
        <v>-11216</v>
      </c>
      <c r="Q8" s="227">
        <v>-25719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-31833.015000000003</v>
      </c>
      <c r="W8" s="130">
        <f>SUM(G8,K8,O8,S8)</f>
        <v>-21631</v>
      </c>
      <c r="X8" s="222">
        <f>SUM(H8,L8,P8,T8)</f>
        <v>-22431</v>
      </c>
      <c r="Y8" s="217">
        <f>SUM(I8,M8,Q8,U8)</f>
        <v>-51438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-1791.6487500000001</v>
      </c>
      <c r="G9" s="132">
        <v>0</v>
      </c>
      <c r="H9" s="232">
        <v>0</v>
      </c>
      <c r="I9" s="228">
        <v>-5375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1791.6487500000001</v>
      </c>
      <c r="S9" s="133">
        <v>0</v>
      </c>
      <c r="T9" s="223">
        <v>0</v>
      </c>
      <c r="U9" s="218">
        <v>5375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-2566.874331</v>
      </c>
      <c r="S11" s="133">
        <v>0</v>
      </c>
      <c r="T11" s="223">
        <v>-4700.7</v>
      </c>
      <c r="U11" s="218">
        <v>-3000</v>
      </c>
      <c r="V11" s="135">
        <f>SUM(F11,J11,N11,R11)</f>
        <v>-2566.874331</v>
      </c>
      <c r="W11" s="133">
        <f>SUM(G11,K11,O11,S11)</f>
        <v>0</v>
      </c>
      <c r="X11" s="223">
        <f>SUM(H11,L11,P11,T11)</f>
        <v>-4700.7</v>
      </c>
      <c r="Y11" s="218">
        <f>SUM(I11,M11,Q11,U11)</f>
        <v>-3000</v>
      </c>
    </row>
    <row r="12" spans="1:52" ht="16.2" collapsed="1" thickBot="1">
      <c r="A12" s="137" t="s">
        <v>134</v>
      </c>
      <c r="B12" s="138">
        <f>SUM(B8:B11)</f>
        <v>-21810</v>
      </c>
      <c r="C12" s="139">
        <f t="shared" ref="C12:U12" si="0">SUM(C8:C11)</f>
        <v>-21631</v>
      </c>
      <c r="D12" s="139">
        <f t="shared" si="0"/>
        <v>-22431</v>
      </c>
      <c r="E12" s="139">
        <f t="shared" si="0"/>
        <v>-22431</v>
      </c>
      <c r="F12" s="138">
        <f t="shared" si="0"/>
        <v>-17707.822920000002</v>
      </c>
      <c r="G12" s="139">
        <f t="shared" si="0"/>
        <v>-10815</v>
      </c>
      <c r="H12" s="139">
        <f t="shared" si="0"/>
        <v>-11215</v>
      </c>
      <c r="I12" s="139">
        <f t="shared" si="0"/>
        <v>-31094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-15916.840830000001</v>
      </c>
      <c r="O12" s="139">
        <f t="shared" si="0"/>
        <v>-10816</v>
      </c>
      <c r="P12" s="139">
        <f t="shared" si="0"/>
        <v>-11216</v>
      </c>
      <c r="Q12" s="139">
        <f t="shared" si="0"/>
        <v>-25719</v>
      </c>
      <c r="R12" s="138">
        <f t="shared" si="0"/>
        <v>-775.22558099999992</v>
      </c>
      <c r="S12" s="138">
        <f t="shared" si="0"/>
        <v>0</v>
      </c>
      <c r="T12" s="138">
        <f t="shared" si="0"/>
        <v>-4700.7</v>
      </c>
      <c r="U12" s="138">
        <f t="shared" si="0"/>
        <v>2375</v>
      </c>
      <c r="V12" s="138">
        <f>SUM(V8:V11)</f>
        <v>-34399.889331000006</v>
      </c>
      <c r="W12" s="138">
        <f t="shared" ref="W12:Y12" si="1">SUM(W8:W11)</f>
        <v>-21631</v>
      </c>
      <c r="X12" s="138">
        <f t="shared" si="1"/>
        <v>-27131.7</v>
      </c>
      <c r="Y12" s="138">
        <f t="shared" si="1"/>
        <v>-54438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20254</v>
      </c>
      <c r="C23" s="128">
        <v>20254</v>
      </c>
      <c r="D23" s="231">
        <v>21054</v>
      </c>
      <c r="E23" s="227">
        <v>21055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719.17614150000009</v>
      </c>
      <c r="G25" s="128">
        <v>731.07</v>
      </c>
      <c r="H25" s="231">
        <v>745.28</v>
      </c>
      <c r="I25" s="227">
        <v>681.2</v>
      </c>
      <c r="J25" s="129">
        <v>492.97507020000006</v>
      </c>
      <c r="K25" s="128">
        <v>362.6</v>
      </c>
      <c r="L25" s="231">
        <v>610.28</v>
      </c>
      <c r="M25" s="227">
        <v>506.06</v>
      </c>
      <c r="N25" s="129">
        <v>554.85778470000002</v>
      </c>
      <c r="O25" s="128">
        <v>359.42</v>
      </c>
      <c r="P25" s="231">
        <v>340.07</v>
      </c>
      <c r="Q25" s="227">
        <v>965.1</v>
      </c>
      <c r="R25" s="129">
        <v>418.17248489999997</v>
      </c>
      <c r="S25" s="130">
        <v>385.65</v>
      </c>
      <c r="T25" s="222">
        <v>438.48</v>
      </c>
      <c r="U25" s="217">
        <v>430.4</v>
      </c>
      <c r="V25" s="127">
        <f>SUM(F25,J25,N25,R25)</f>
        <v>2185.1814813000001</v>
      </c>
      <c r="W25" s="130">
        <f>SUM(G25,K25,O25,S25)</f>
        <v>1838.7400000000002</v>
      </c>
      <c r="X25" s="222">
        <f>SUM(H25,L25,P25,T25)</f>
        <v>2134.1099999999997</v>
      </c>
      <c r="Y25" s="217">
        <f>SUM(I25,M25,Q25,U25)</f>
        <v>2582.7600000000002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56.929430699999998</v>
      </c>
      <c r="G26" s="128">
        <v>47.51</v>
      </c>
      <c r="H26" s="231">
        <v>0</v>
      </c>
      <c r="I26" s="227">
        <v>123.28</v>
      </c>
      <c r="J26" s="129">
        <v>2941.2872535000001</v>
      </c>
      <c r="K26" s="128">
        <v>0</v>
      </c>
      <c r="L26" s="231">
        <v>6180.4</v>
      </c>
      <c r="M26" s="227">
        <v>2643.55</v>
      </c>
      <c r="N26" s="129">
        <v>1748.9158440000001</v>
      </c>
      <c r="O26" s="128">
        <v>171.96</v>
      </c>
      <c r="P26" s="231">
        <v>3570.36</v>
      </c>
      <c r="Q26" s="227">
        <v>1504.48</v>
      </c>
      <c r="R26" s="129">
        <v>1654.6701198000003</v>
      </c>
      <c r="S26" s="130">
        <v>255.19</v>
      </c>
      <c r="T26" s="222">
        <v>-11.85</v>
      </c>
      <c r="U26" s="217">
        <v>4720.72</v>
      </c>
      <c r="V26" s="127">
        <f>SUM(F26,J26,N26,R26)</f>
        <v>6401.8026479999999</v>
      </c>
      <c r="W26" s="130">
        <f>SUM(G26,K26,O26,S26)</f>
        <v>474.65999999999997</v>
      </c>
      <c r="X26" s="222">
        <f>SUM(H26,L26,P26,T26)</f>
        <v>9738.91</v>
      </c>
      <c r="Y26" s="217">
        <f>SUM(I26,M26,Q26,U26)</f>
        <v>8992.0300000000007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24.999750000000002</v>
      </c>
      <c r="G27" s="128">
        <v>0</v>
      </c>
      <c r="H27" s="231">
        <v>75</v>
      </c>
      <c r="I27" s="227">
        <v>0</v>
      </c>
      <c r="J27" s="129">
        <v>192.30141029999999</v>
      </c>
      <c r="K27" s="128">
        <v>0</v>
      </c>
      <c r="L27" s="231">
        <v>576.91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217.30116029999999</v>
      </c>
      <c r="W27" s="130">
        <f>SUM(G27,K27,O27,S27)</f>
        <v>0</v>
      </c>
      <c r="X27" s="222">
        <f>SUM(H27,L27,P27,T27)</f>
        <v>651.91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682.40317590000006</v>
      </c>
      <c r="G28" s="128">
        <v>475.21</v>
      </c>
      <c r="H28" s="231">
        <v>492</v>
      </c>
      <c r="I28" s="227">
        <v>1080.02</v>
      </c>
      <c r="J28" s="129">
        <v>2148.0685191000002</v>
      </c>
      <c r="K28" s="128">
        <v>3145.46</v>
      </c>
      <c r="L28" s="231">
        <v>1260.1600000000001</v>
      </c>
      <c r="M28" s="227">
        <v>2038.65</v>
      </c>
      <c r="N28" s="129">
        <v>2042.0429127</v>
      </c>
      <c r="O28" s="128">
        <v>3109.92</v>
      </c>
      <c r="P28" s="231">
        <v>842.73</v>
      </c>
      <c r="Q28" s="227">
        <v>2173.54</v>
      </c>
      <c r="R28" s="129">
        <v>1267.8739878000001</v>
      </c>
      <c r="S28" s="130">
        <v>1761.83</v>
      </c>
      <c r="T28" s="222">
        <v>1287.22</v>
      </c>
      <c r="U28" s="217">
        <v>754.61</v>
      </c>
      <c r="V28" s="127">
        <f>SUM(F28,J28,N28,R28)</f>
        <v>6140.3885955000005</v>
      </c>
      <c r="W28" s="130">
        <f>SUM(G28,K28,O28,S28)</f>
        <v>8492.42</v>
      </c>
      <c r="X28" s="222">
        <f>SUM(H28,L28,P28,T28)</f>
        <v>3882.1100000000006</v>
      </c>
      <c r="Y28" s="217">
        <f>SUM(I28,M28,Q28,U28)</f>
        <v>6046.82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3129.5720373000004</v>
      </c>
      <c r="G29" s="147">
        <v>273</v>
      </c>
      <c r="H29" s="234">
        <v>3369.81</v>
      </c>
      <c r="I29" s="230">
        <v>5746</v>
      </c>
      <c r="J29" s="136">
        <v>3163.7350290000004</v>
      </c>
      <c r="K29" s="147">
        <v>3562.91</v>
      </c>
      <c r="L29" s="234">
        <v>3658.91</v>
      </c>
      <c r="M29" s="230">
        <v>2269.48</v>
      </c>
      <c r="N29" s="136">
        <v>-6.9132642000000004</v>
      </c>
      <c r="O29" s="147">
        <v>64.27</v>
      </c>
      <c r="P29" s="234">
        <v>0</v>
      </c>
      <c r="Q29" s="230">
        <v>-85.01</v>
      </c>
      <c r="R29" s="136">
        <v>-369.72296940000001</v>
      </c>
      <c r="S29" s="148">
        <v>410.52</v>
      </c>
      <c r="T29" s="226">
        <v>691.9</v>
      </c>
      <c r="U29" s="221">
        <v>-2211.6</v>
      </c>
      <c r="V29" s="135">
        <f>SUM(F29,J29,N29,R29)</f>
        <v>5916.6708327000006</v>
      </c>
      <c r="W29" s="148">
        <f>SUM(G29,K29,O29,S29)</f>
        <v>4310.7</v>
      </c>
      <c r="X29" s="226">
        <f>SUM(H29,L29,P29,T29)</f>
        <v>7720.619999999999</v>
      </c>
      <c r="Y29" s="221">
        <f>SUM(I29,M29,Q29,U29)</f>
        <v>5718.869999999999</v>
      </c>
    </row>
    <row r="30" spans="1:25" collapsed="1">
      <c r="A30" s="62" t="s">
        <v>151</v>
      </c>
      <c r="B30" s="78">
        <f t="shared" ref="B30:Y30" si="3">SUM(B23:B29)</f>
        <v>20254</v>
      </c>
      <c r="C30" s="91">
        <f t="shared" si="3"/>
        <v>20254</v>
      </c>
      <c r="D30" s="91">
        <f t="shared" si="3"/>
        <v>21054</v>
      </c>
      <c r="E30" s="91">
        <f t="shared" si="3"/>
        <v>21055</v>
      </c>
      <c r="F30" s="78">
        <f t="shared" si="3"/>
        <v>4613.0805354000004</v>
      </c>
      <c r="G30" s="91">
        <f t="shared" si="3"/>
        <v>1526.79</v>
      </c>
      <c r="H30" s="91">
        <f t="shared" si="3"/>
        <v>4682.09</v>
      </c>
      <c r="I30" s="91">
        <f t="shared" si="3"/>
        <v>7630.5</v>
      </c>
      <c r="J30" s="78">
        <f t="shared" si="3"/>
        <v>8938.3672821</v>
      </c>
      <c r="K30" s="91">
        <f t="shared" si="3"/>
        <v>7070.9699999999993</v>
      </c>
      <c r="L30" s="91">
        <f t="shared" si="3"/>
        <v>12286.66</v>
      </c>
      <c r="M30" s="91">
        <f t="shared" si="3"/>
        <v>7457.74</v>
      </c>
      <c r="N30" s="78">
        <f t="shared" si="3"/>
        <v>4338.9032772</v>
      </c>
      <c r="O30" s="91">
        <f t="shared" si="3"/>
        <v>3705.57</v>
      </c>
      <c r="P30" s="91">
        <f t="shared" si="3"/>
        <v>4753.16</v>
      </c>
      <c r="Q30" s="91">
        <f t="shared" si="3"/>
        <v>4558.1099999999997</v>
      </c>
      <c r="R30" s="78">
        <f t="shared" si="3"/>
        <v>2970.9936231000001</v>
      </c>
      <c r="S30" s="150">
        <f t="shared" si="3"/>
        <v>2813.19</v>
      </c>
      <c r="T30" s="150">
        <f t="shared" si="3"/>
        <v>2405.75</v>
      </c>
      <c r="U30" s="150">
        <f t="shared" si="3"/>
        <v>3694.1299999999997</v>
      </c>
      <c r="V30" s="78">
        <f t="shared" si="3"/>
        <v>20861.344717799999</v>
      </c>
      <c r="W30" s="150">
        <f t="shared" si="3"/>
        <v>15116.52</v>
      </c>
      <c r="X30" s="150">
        <f t="shared" si="3"/>
        <v>24127.66</v>
      </c>
      <c r="Y30" s="150">
        <f t="shared" si="3"/>
        <v>23340.48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24.3197568</v>
      </c>
      <c r="S32" s="142">
        <v>0</v>
      </c>
      <c r="T32" s="224">
        <v>0</v>
      </c>
      <c r="U32" s="219">
        <v>72.959999999999994</v>
      </c>
      <c r="V32" s="141">
        <f>SUM(F32,J32,N32,R32)</f>
        <v>24.3197568</v>
      </c>
      <c r="W32" s="142">
        <f>SUM(G32,K32,O32,S32)</f>
        <v>0</v>
      </c>
      <c r="X32" s="224">
        <f>SUM(H32,L32,P32,T32)</f>
        <v>0</v>
      </c>
      <c r="Y32" s="219">
        <f>SUM(I32,M32,Q32,U32)</f>
        <v>72.959999999999994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1327.1867280000001</v>
      </c>
      <c r="K33" s="147">
        <v>3981.6</v>
      </c>
      <c r="L33" s="234">
        <v>0</v>
      </c>
      <c r="M33" s="230">
        <v>0</v>
      </c>
      <c r="N33" s="136">
        <v>413.32920000000001</v>
      </c>
      <c r="O33" s="147">
        <v>0</v>
      </c>
      <c r="P33" s="234">
        <v>1240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1740.5159280000003</v>
      </c>
      <c r="W33" s="148">
        <f>SUM(G33,K33,O33,S33)</f>
        <v>3981.6</v>
      </c>
      <c r="X33" s="226">
        <f>SUM(H33,L33,P33,T33)</f>
        <v>1240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1327.1867280000001</v>
      </c>
      <c r="K34" s="91">
        <f t="shared" si="4"/>
        <v>3981.6</v>
      </c>
      <c r="L34" s="91">
        <f t="shared" si="4"/>
        <v>0</v>
      </c>
      <c r="M34" s="91">
        <f t="shared" si="4"/>
        <v>0</v>
      </c>
      <c r="N34" s="78">
        <f t="shared" si="4"/>
        <v>413.32920000000001</v>
      </c>
      <c r="O34" s="91">
        <f t="shared" si="4"/>
        <v>0</v>
      </c>
      <c r="P34" s="91">
        <f t="shared" si="4"/>
        <v>1240</v>
      </c>
      <c r="Q34" s="91">
        <f t="shared" si="4"/>
        <v>0</v>
      </c>
      <c r="R34" s="78">
        <f t="shared" si="4"/>
        <v>24.3197568</v>
      </c>
      <c r="S34" s="150">
        <f t="shared" si="4"/>
        <v>0</v>
      </c>
      <c r="T34" s="150">
        <f t="shared" si="4"/>
        <v>0</v>
      </c>
      <c r="U34" s="150">
        <f t="shared" si="4"/>
        <v>72.959999999999994</v>
      </c>
      <c r="V34" s="78">
        <f t="shared" si="4"/>
        <v>1764.8356848000003</v>
      </c>
      <c r="W34" s="150">
        <f t="shared" si="4"/>
        <v>3981.6</v>
      </c>
      <c r="X34" s="150">
        <f t="shared" si="4"/>
        <v>1240</v>
      </c>
      <c r="Y34" s="150">
        <f t="shared" si="4"/>
        <v>72.959999999999994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12.179878200000001</v>
      </c>
      <c r="S36" s="142">
        <v>0</v>
      </c>
      <c r="T36" s="224">
        <v>36.54</v>
      </c>
      <c r="U36" s="219">
        <v>0</v>
      </c>
      <c r="V36" s="141">
        <f>SUM(F36,J36,N36,R36)</f>
        <v>12.179878200000001</v>
      </c>
      <c r="W36" s="142">
        <f>SUM(G36,K36,O36,S36)</f>
        <v>0</v>
      </c>
      <c r="X36" s="224">
        <f>SUM(H36,L36,P36,T36)</f>
        <v>36.54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1430</v>
      </c>
      <c r="C40" s="128">
        <v>1274</v>
      </c>
      <c r="D40" s="231">
        <v>1272</v>
      </c>
      <c r="E40" s="227">
        <v>1271</v>
      </c>
      <c r="F40" s="129">
        <v>286.197138</v>
      </c>
      <c r="G40" s="128">
        <v>103.21</v>
      </c>
      <c r="H40" s="231">
        <v>294.51</v>
      </c>
      <c r="I40" s="227">
        <v>460.88</v>
      </c>
      <c r="J40" s="129">
        <v>656.80009859999996</v>
      </c>
      <c r="K40" s="128">
        <v>747.15</v>
      </c>
      <c r="L40" s="231">
        <v>772.83</v>
      </c>
      <c r="M40" s="227">
        <v>450.44</v>
      </c>
      <c r="N40" s="129">
        <v>300.92699070000003</v>
      </c>
      <c r="O40" s="128">
        <v>250.5</v>
      </c>
      <c r="P40" s="231">
        <v>376.98</v>
      </c>
      <c r="Q40" s="227">
        <v>275.31</v>
      </c>
      <c r="R40" s="129">
        <v>190.43476229999999</v>
      </c>
      <c r="S40" s="130">
        <v>190.17</v>
      </c>
      <c r="T40" s="222">
        <v>153.61000000000001</v>
      </c>
      <c r="U40" s="217">
        <v>227.53</v>
      </c>
      <c r="V40" s="127">
        <f>SUM(F40,J40,N40,R40)</f>
        <v>1434.3589895999999</v>
      </c>
      <c r="W40" s="130">
        <f>SUM(G40,K40,O40,S40)</f>
        <v>1291.0300000000002</v>
      </c>
      <c r="X40" s="222">
        <f>SUM(H40,L40,P40,T40)</f>
        <v>1597.9300000000003</v>
      </c>
      <c r="Y40" s="217">
        <f>SUM(I40,M40,Q40,U40)</f>
        <v>1414.1599999999999</v>
      </c>
    </row>
    <row r="41" spans="1:25" hidden="1" outlineLevel="1">
      <c r="A41" s="134" t="s">
        <v>161</v>
      </c>
      <c r="B41" s="135">
        <v>126</v>
      </c>
      <c r="C41" s="147">
        <v>103</v>
      </c>
      <c r="D41" s="234">
        <v>105</v>
      </c>
      <c r="E41" s="230">
        <v>105</v>
      </c>
      <c r="F41" s="136">
        <v>23.833095</v>
      </c>
      <c r="G41" s="147">
        <v>9.4600000000000009</v>
      </c>
      <c r="H41" s="234">
        <v>23.88</v>
      </c>
      <c r="I41" s="230">
        <v>38.159999999999997</v>
      </c>
      <c r="J41" s="136">
        <v>56.162771699999993</v>
      </c>
      <c r="K41" s="147">
        <v>68.53</v>
      </c>
      <c r="L41" s="234">
        <v>62.67</v>
      </c>
      <c r="M41" s="230">
        <v>37.29</v>
      </c>
      <c r="N41" s="136">
        <v>25.446412200000001</v>
      </c>
      <c r="O41" s="147">
        <v>22.98</v>
      </c>
      <c r="P41" s="234">
        <v>30.57</v>
      </c>
      <c r="Q41" s="230">
        <v>22.79</v>
      </c>
      <c r="R41" s="136">
        <v>16.243170900000003</v>
      </c>
      <c r="S41" s="148">
        <v>17.45</v>
      </c>
      <c r="T41" s="226">
        <v>12.45</v>
      </c>
      <c r="U41" s="221">
        <v>18.829999999999998</v>
      </c>
      <c r="V41" s="135">
        <f>SUM(F41,J41,N41,R41)</f>
        <v>121.68544979999999</v>
      </c>
      <c r="W41" s="148">
        <f>SUM(G41,K41,O41,S41)</f>
        <v>118.42000000000002</v>
      </c>
      <c r="X41" s="226">
        <f>SUM(H41,L41,P41,T41)</f>
        <v>129.57</v>
      </c>
      <c r="Y41" s="221">
        <f>SUM(I41,M41,Q41,U41)</f>
        <v>117.06999999999998</v>
      </c>
    </row>
    <row r="42" spans="1:25" collapsed="1">
      <c r="A42" s="62" t="s">
        <v>162</v>
      </c>
      <c r="B42" s="78">
        <f t="shared" ref="B42:Y42" si="5">SUM(B36:B41)</f>
        <v>1556</v>
      </c>
      <c r="C42" s="149">
        <f t="shared" si="5"/>
        <v>1377</v>
      </c>
      <c r="D42" s="149">
        <f t="shared" si="5"/>
        <v>1377</v>
      </c>
      <c r="E42" s="149">
        <f t="shared" si="5"/>
        <v>1376</v>
      </c>
      <c r="F42" s="151">
        <f t="shared" si="5"/>
        <v>310.03023300000001</v>
      </c>
      <c r="G42" s="149">
        <f t="shared" si="5"/>
        <v>112.66999999999999</v>
      </c>
      <c r="H42" s="149">
        <f t="shared" si="5"/>
        <v>318.39</v>
      </c>
      <c r="I42" s="149">
        <f t="shared" si="5"/>
        <v>499.03999999999996</v>
      </c>
      <c r="J42" s="151">
        <f t="shared" si="5"/>
        <v>712.96287029999996</v>
      </c>
      <c r="K42" s="149">
        <f t="shared" si="5"/>
        <v>815.68</v>
      </c>
      <c r="L42" s="149">
        <f t="shared" si="5"/>
        <v>835.5</v>
      </c>
      <c r="M42" s="149">
        <f t="shared" si="5"/>
        <v>487.73</v>
      </c>
      <c r="N42" s="151">
        <f t="shared" si="5"/>
        <v>326.37340290000003</v>
      </c>
      <c r="O42" s="149">
        <f t="shared" si="5"/>
        <v>273.48</v>
      </c>
      <c r="P42" s="149">
        <f t="shared" si="5"/>
        <v>407.55</v>
      </c>
      <c r="Q42" s="149">
        <f t="shared" si="5"/>
        <v>298.10000000000002</v>
      </c>
      <c r="R42" s="151">
        <f t="shared" si="5"/>
        <v>218.85781139999997</v>
      </c>
      <c r="S42" s="152">
        <f t="shared" si="5"/>
        <v>207.61999999999998</v>
      </c>
      <c r="T42" s="152">
        <f t="shared" si="5"/>
        <v>202.6</v>
      </c>
      <c r="U42" s="152">
        <f t="shared" si="5"/>
        <v>246.36</v>
      </c>
      <c r="V42" s="78">
        <f t="shared" si="5"/>
        <v>1568.2243175999999</v>
      </c>
      <c r="W42" s="152">
        <f t="shared" si="5"/>
        <v>1409.4500000000003</v>
      </c>
      <c r="X42" s="152">
        <f t="shared" si="5"/>
        <v>1764.0400000000002</v>
      </c>
      <c r="Y42" s="152">
        <f t="shared" si="5"/>
        <v>1531.2299999999998</v>
      </c>
    </row>
    <row r="43" spans="1:25" ht="16.2" thickBot="1">
      <c r="A43" s="137" t="s">
        <v>163</v>
      </c>
      <c r="B43" s="138">
        <f>SUM(B21,B30,B34,B42)</f>
        <v>21810</v>
      </c>
      <c r="C43" s="139">
        <f t="shared" ref="C43:U43" si="6">SUM(C21,C30,C34,C42)</f>
        <v>21631</v>
      </c>
      <c r="D43" s="139">
        <f t="shared" si="6"/>
        <v>22431</v>
      </c>
      <c r="E43" s="139">
        <f t="shared" si="6"/>
        <v>22431</v>
      </c>
      <c r="F43" s="138">
        <f t="shared" si="6"/>
        <v>4923.1107684000008</v>
      </c>
      <c r="G43" s="139">
        <f t="shared" si="6"/>
        <v>1639.46</v>
      </c>
      <c r="H43" s="139">
        <f t="shared" si="6"/>
        <v>5000.4800000000005</v>
      </c>
      <c r="I43" s="139">
        <f t="shared" si="6"/>
        <v>8129.54</v>
      </c>
      <c r="J43" s="138">
        <f t="shared" si="6"/>
        <v>10978.5168804</v>
      </c>
      <c r="K43" s="139">
        <f t="shared" si="6"/>
        <v>11868.25</v>
      </c>
      <c r="L43" s="139">
        <f t="shared" si="6"/>
        <v>13122.16</v>
      </c>
      <c r="M43" s="139">
        <f t="shared" si="6"/>
        <v>7945.4699999999993</v>
      </c>
      <c r="N43" s="138">
        <f t="shared" si="6"/>
        <v>5078.6058800999999</v>
      </c>
      <c r="O43" s="139">
        <f t="shared" si="6"/>
        <v>3979.05</v>
      </c>
      <c r="P43" s="139">
        <f t="shared" si="6"/>
        <v>6400.71</v>
      </c>
      <c r="Q43" s="139">
        <f t="shared" si="6"/>
        <v>4856.21</v>
      </c>
      <c r="R43" s="138">
        <f t="shared" si="6"/>
        <v>3214.1711913000004</v>
      </c>
      <c r="S43" s="138">
        <f t="shared" si="6"/>
        <v>3020.81</v>
      </c>
      <c r="T43" s="138">
        <f t="shared" si="6"/>
        <v>2608.35</v>
      </c>
      <c r="U43" s="138">
        <f t="shared" si="6"/>
        <v>4013.45</v>
      </c>
      <c r="V43" s="138">
        <f>SUM(V21,V30,V34,V42)</f>
        <v>24194.4047202</v>
      </c>
      <c r="W43" s="138">
        <f t="shared" ref="W43:Y43" si="7">SUM(W21,W30,W34,W42)</f>
        <v>20507.57</v>
      </c>
      <c r="X43" s="138">
        <f t="shared" si="7"/>
        <v>27131.7</v>
      </c>
      <c r="Y43" s="138">
        <f t="shared" si="7"/>
        <v>24944.67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10205.484610800002</v>
      </c>
      <c r="S45" s="142">
        <v>1123.43</v>
      </c>
      <c r="T45" s="224">
        <v>0</v>
      </c>
      <c r="U45" s="219">
        <v>29493.33</v>
      </c>
      <c r="V45" s="141">
        <f>SUM(F45,J45,N45,R45)</f>
        <v>10205.484610800002</v>
      </c>
      <c r="W45" s="142">
        <f>SUM(G45,K45,O45,S45)</f>
        <v>1123.43</v>
      </c>
      <c r="X45" s="224">
        <f>SUM(H45,L45,P45,T45)</f>
        <v>0</v>
      </c>
      <c r="Y45" s="219">
        <f>SUM(I45,M45,Q45,U45)</f>
        <v>29493.33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10205.484610800002</v>
      </c>
      <c r="S47" s="150">
        <f t="shared" si="8"/>
        <v>1123.43</v>
      </c>
      <c r="T47" s="150">
        <f t="shared" si="8"/>
        <v>0</v>
      </c>
      <c r="U47" s="150">
        <f t="shared" si="8"/>
        <v>29493.33</v>
      </c>
      <c r="V47" s="153">
        <f t="shared" si="8"/>
        <v>10205.484610800002</v>
      </c>
      <c r="W47" s="150">
        <f t="shared" si="8"/>
        <v>1123.43</v>
      </c>
      <c r="X47" s="150">
        <f t="shared" si="8"/>
        <v>0</v>
      </c>
      <c r="Y47" s="150">
        <f t="shared" si="8"/>
        <v>29493.33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-12784.712151600001</v>
      </c>
      <c r="G48" s="139">
        <f t="shared" si="9"/>
        <v>-9175.5400000000009</v>
      </c>
      <c r="H48" s="139">
        <f t="shared" si="9"/>
        <v>-6214.5199999999995</v>
      </c>
      <c r="I48" s="139">
        <f t="shared" si="9"/>
        <v>-22964.46</v>
      </c>
      <c r="J48" s="138">
        <f t="shared" si="9"/>
        <v>10978.5168804</v>
      </c>
      <c r="K48" s="139">
        <f t="shared" si="9"/>
        <v>11868.25</v>
      </c>
      <c r="L48" s="139">
        <f t="shared" si="9"/>
        <v>13122.16</v>
      </c>
      <c r="M48" s="139">
        <f t="shared" si="9"/>
        <v>7945.4699999999993</v>
      </c>
      <c r="N48" s="138">
        <f t="shared" si="9"/>
        <v>-10838.234949900001</v>
      </c>
      <c r="O48" s="139">
        <f t="shared" si="9"/>
        <v>-6836.95</v>
      </c>
      <c r="P48" s="139">
        <f t="shared" si="9"/>
        <v>-4815.29</v>
      </c>
      <c r="Q48" s="139">
        <f t="shared" si="9"/>
        <v>-20862.79</v>
      </c>
      <c r="R48" s="138">
        <f t="shared" si="9"/>
        <v>12644.430221100003</v>
      </c>
      <c r="S48" s="138">
        <f t="shared" si="9"/>
        <v>4144.24</v>
      </c>
      <c r="T48" s="138">
        <f t="shared" si="9"/>
        <v>-2092.35</v>
      </c>
      <c r="U48" s="138">
        <f t="shared" si="9"/>
        <v>35881.78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03" priority="13" operator="lessThan">
      <formula>-0.01</formula>
    </cfRule>
  </conditionalFormatting>
  <conditionalFormatting sqref="Y15:Y21 Y23:Y30 Y32:Y34 Y36:Y43">
    <cfRule type="cellIs" dxfId="102" priority="12" operator="lessThan">
      <formula>-0.01</formula>
    </cfRule>
  </conditionalFormatting>
  <conditionalFormatting sqref="X15:X21 X23:X30 X32:X34 X36:X43">
    <cfRule type="cellIs" dxfId="101" priority="11" operator="lessThan">
      <formula>-0.01</formula>
    </cfRule>
  </conditionalFormatting>
  <conditionalFormatting sqref="U15:U21 U23:U30 U32:U34 U36:U43">
    <cfRule type="cellIs" dxfId="100" priority="10" operator="lessThan">
      <formula>-0.01</formula>
    </cfRule>
  </conditionalFormatting>
  <conditionalFormatting sqref="T15:T21 T23:T30 T32:T34 T36:T43">
    <cfRule type="cellIs" dxfId="99" priority="9" operator="lessThan">
      <formula>-0.01</formula>
    </cfRule>
  </conditionalFormatting>
  <conditionalFormatting sqref="Q15:Q21 Q23:Q30 Q32:Q34 Q36:Q43">
    <cfRule type="cellIs" dxfId="98" priority="8" operator="lessThan">
      <formula>-0.01</formula>
    </cfRule>
  </conditionalFormatting>
  <conditionalFormatting sqref="P15:P21 P23:P30 P32:P34 P36:P43">
    <cfRule type="cellIs" dxfId="97" priority="7" operator="lessThan">
      <formula>-0.01</formula>
    </cfRule>
  </conditionalFormatting>
  <conditionalFormatting sqref="M15:M21 M23:M30 M32:M34 M36:M43">
    <cfRule type="cellIs" dxfId="96" priority="6" operator="lessThan">
      <formula>-0.01</formula>
    </cfRule>
  </conditionalFormatting>
  <conditionalFormatting sqref="L15:L21 L23:L30 L32:L34 L36:L43">
    <cfRule type="cellIs" dxfId="95" priority="5" operator="lessThan">
      <formula>-0.01</formula>
    </cfRule>
  </conditionalFormatting>
  <conditionalFormatting sqref="I15:I21 I23:I30 I32:I34 I36:I43">
    <cfRule type="cellIs" dxfId="94" priority="4" operator="lessThan">
      <formula>-0.01</formula>
    </cfRule>
  </conditionalFormatting>
  <conditionalFormatting sqref="H15:H21 H23:H30 H32:H34 H36:H43">
    <cfRule type="cellIs" dxfId="93" priority="3" operator="lessThan">
      <formula>-0.01</formula>
    </cfRule>
  </conditionalFormatting>
  <conditionalFormatting sqref="E15:E21 E23:E30 E32:E34 E36:E43">
    <cfRule type="cellIs" dxfId="92" priority="2" operator="lessThan">
      <formula>-0.01</formula>
    </cfRule>
  </conditionalFormatting>
  <conditionalFormatting sqref="D15:D21 D23:D30 D32:D34 D36:D43">
    <cfRule type="cellIs" dxfId="91" priority="1" operator="lessThan">
      <formula>-0.01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23811-1AC2-4509-A47B-314B8C7FC413}">
  <sheetPr codeName="Sheet87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1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738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-140365</v>
      </c>
      <c r="C8" s="128">
        <v>-137883</v>
      </c>
      <c r="D8" s="231">
        <v>-137548</v>
      </c>
      <c r="E8" s="227">
        <v>-130472</v>
      </c>
      <c r="F8" s="129">
        <v>-67649.656830000007</v>
      </c>
      <c r="G8" s="128">
        <v>-68941</v>
      </c>
      <c r="H8" s="231">
        <v>-68774</v>
      </c>
      <c r="I8" s="227">
        <v>-65236</v>
      </c>
      <c r="J8" s="129">
        <v>0</v>
      </c>
      <c r="K8" s="128">
        <v>0</v>
      </c>
      <c r="L8" s="231">
        <v>0</v>
      </c>
      <c r="M8" s="227">
        <v>0</v>
      </c>
      <c r="N8" s="129">
        <v>-67649.990160000001</v>
      </c>
      <c r="O8" s="128">
        <v>-68942</v>
      </c>
      <c r="P8" s="231">
        <v>-68774</v>
      </c>
      <c r="Q8" s="227">
        <v>-65236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-135299.64699000001</v>
      </c>
      <c r="W8" s="130">
        <f>SUM(G8,K8,O8,S8)</f>
        <v>-137883</v>
      </c>
      <c r="X8" s="222">
        <f>SUM(H8,L8,P8,T8)</f>
        <v>-137548</v>
      </c>
      <c r="Y8" s="217">
        <f>SUM(I8,M8,Q8,U8)</f>
        <v>-130472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-2050.4528286000004</v>
      </c>
      <c r="S11" s="133">
        <v>-4603.42</v>
      </c>
      <c r="T11" s="223">
        <v>-1548</v>
      </c>
      <c r="U11" s="218">
        <v>0</v>
      </c>
      <c r="V11" s="135">
        <f>SUM(F11,J11,N11,R11)</f>
        <v>-2050.4528286000004</v>
      </c>
      <c r="W11" s="133">
        <f>SUM(G11,K11,O11,S11)</f>
        <v>-4603.42</v>
      </c>
      <c r="X11" s="223">
        <f>SUM(H11,L11,P11,T11)</f>
        <v>-1548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-140365</v>
      </c>
      <c r="C12" s="139">
        <f t="shared" ref="C12:U12" si="0">SUM(C8:C11)</f>
        <v>-137883</v>
      </c>
      <c r="D12" s="139">
        <f t="shared" si="0"/>
        <v>-137548</v>
      </c>
      <c r="E12" s="139">
        <f t="shared" si="0"/>
        <v>-130472</v>
      </c>
      <c r="F12" s="138">
        <f t="shared" si="0"/>
        <v>-67649.656830000007</v>
      </c>
      <c r="G12" s="139">
        <f t="shared" si="0"/>
        <v>-68941</v>
      </c>
      <c r="H12" s="139">
        <f t="shared" si="0"/>
        <v>-68774</v>
      </c>
      <c r="I12" s="139">
        <f t="shared" si="0"/>
        <v>-65236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-67649.990160000001</v>
      </c>
      <c r="O12" s="139">
        <f t="shared" si="0"/>
        <v>-68942</v>
      </c>
      <c r="P12" s="139">
        <f t="shared" si="0"/>
        <v>-68774</v>
      </c>
      <c r="Q12" s="139">
        <f t="shared" si="0"/>
        <v>-65236</v>
      </c>
      <c r="R12" s="138">
        <f t="shared" si="0"/>
        <v>-2050.4528286000004</v>
      </c>
      <c r="S12" s="138">
        <f t="shared" si="0"/>
        <v>-4603.42</v>
      </c>
      <c r="T12" s="138">
        <f t="shared" si="0"/>
        <v>-1548</v>
      </c>
      <c r="U12" s="138">
        <f t="shared" si="0"/>
        <v>0</v>
      </c>
      <c r="V12" s="138">
        <f>SUM(V8:V11)</f>
        <v>-137350.09981860002</v>
      </c>
      <c r="W12" s="138">
        <f t="shared" ref="W12:Y12" si="1">SUM(W8:W11)</f>
        <v>-142486.42000000001</v>
      </c>
      <c r="X12" s="138">
        <f t="shared" si="1"/>
        <v>-139096</v>
      </c>
      <c r="Y12" s="138">
        <f t="shared" si="1"/>
        <v>-130472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86940</v>
      </c>
      <c r="C17" s="145">
        <v>83272</v>
      </c>
      <c r="D17" s="233">
        <v>127826</v>
      </c>
      <c r="E17" s="229">
        <v>121011</v>
      </c>
      <c r="F17" s="146">
        <v>6959.3837388000011</v>
      </c>
      <c r="G17" s="145">
        <v>6799.13</v>
      </c>
      <c r="H17" s="233">
        <v>5069.67</v>
      </c>
      <c r="I17" s="229">
        <v>9009.56</v>
      </c>
      <c r="J17" s="146">
        <v>34640.4135924</v>
      </c>
      <c r="K17" s="145">
        <v>42425.46</v>
      </c>
      <c r="L17" s="233">
        <v>32873.08</v>
      </c>
      <c r="M17" s="229">
        <v>28623.74</v>
      </c>
      <c r="N17" s="146">
        <v>19108.632245100001</v>
      </c>
      <c r="O17" s="145">
        <v>21573.94</v>
      </c>
      <c r="P17" s="233">
        <v>21519.54</v>
      </c>
      <c r="Q17" s="229">
        <v>14232.99</v>
      </c>
      <c r="R17" s="146">
        <v>17031.183019799999</v>
      </c>
      <c r="S17" s="56">
        <v>15927.16</v>
      </c>
      <c r="T17" s="225">
        <v>17351.05</v>
      </c>
      <c r="U17" s="220">
        <v>17815.849999999999</v>
      </c>
      <c r="V17" s="144">
        <f>SUM(F17,J17,N17,R17)</f>
        <v>77739.612596100007</v>
      </c>
      <c r="W17" s="56">
        <f>SUM(G17,K17,O17,S17)</f>
        <v>86725.69</v>
      </c>
      <c r="X17" s="225">
        <f>SUM(H17,L17,P17,T17)</f>
        <v>76813.34</v>
      </c>
      <c r="Y17" s="220">
        <f>SUM(I17,M17,Q17,U17)</f>
        <v>69682.14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956</v>
      </c>
      <c r="C20" s="147">
        <v>833</v>
      </c>
      <c r="D20" s="234">
        <v>1278</v>
      </c>
      <c r="E20" s="230">
        <v>1452</v>
      </c>
      <c r="F20" s="136">
        <v>71.065956</v>
      </c>
      <c r="G20" s="147">
        <v>54.4</v>
      </c>
      <c r="H20" s="234">
        <v>50.69</v>
      </c>
      <c r="I20" s="230">
        <v>108.11</v>
      </c>
      <c r="J20" s="136">
        <v>337.20662790000006</v>
      </c>
      <c r="K20" s="147">
        <v>339.41</v>
      </c>
      <c r="L20" s="234">
        <v>328.73</v>
      </c>
      <c r="M20" s="230">
        <v>343.49</v>
      </c>
      <c r="N20" s="136">
        <v>186.19480470000002</v>
      </c>
      <c r="O20" s="147">
        <v>172.6</v>
      </c>
      <c r="P20" s="234">
        <v>215.19</v>
      </c>
      <c r="Q20" s="230">
        <v>170.8</v>
      </c>
      <c r="R20" s="136">
        <v>171.57161760000002</v>
      </c>
      <c r="S20" s="148">
        <v>127.41</v>
      </c>
      <c r="T20" s="226">
        <v>173.51</v>
      </c>
      <c r="U20" s="221">
        <v>213.8</v>
      </c>
      <c r="V20" s="135">
        <f>SUM(F20,J20,N20,R20)</f>
        <v>766.03900620000013</v>
      </c>
      <c r="W20" s="148">
        <f>SUM(G20,K20,O20,S20)</f>
        <v>693.81999999999994</v>
      </c>
      <c r="X20" s="226">
        <f>SUM(H20,L20,P20,T20)</f>
        <v>768.12</v>
      </c>
      <c r="Y20" s="221">
        <f>SUM(I20,M20,Q20,U20)</f>
        <v>836.2</v>
      </c>
    </row>
    <row r="21" spans="1:25" collapsed="1">
      <c r="A21" s="62" t="s">
        <v>142</v>
      </c>
      <c r="B21" s="78">
        <f t="shared" ref="B21:Y21" si="2">SUM(B15:B20)</f>
        <v>87896</v>
      </c>
      <c r="C21" s="91">
        <f t="shared" si="2"/>
        <v>84105</v>
      </c>
      <c r="D21" s="91">
        <f t="shared" si="2"/>
        <v>129104</v>
      </c>
      <c r="E21" s="91">
        <f t="shared" si="2"/>
        <v>122463</v>
      </c>
      <c r="F21" s="78">
        <f t="shared" si="2"/>
        <v>7030.4496948000015</v>
      </c>
      <c r="G21" s="149">
        <f t="shared" si="2"/>
        <v>6853.53</v>
      </c>
      <c r="H21" s="149">
        <f t="shared" si="2"/>
        <v>5120.3599999999997</v>
      </c>
      <c r="I21" s="149">
        <f t="shared" si="2"/>
        <v>9117.67</v>
      </c>
      <c r="J21" s="78">
        <f t="shared" si="2"/>
        <v>34977.620220299999</v>
      </c>
      <c r="K21" s="91">
        <f t="shared" si="2"/>
        <v>42764.87</v>
      </c>
      <c r="L21" s="91">
        <f t="shared" si="2"/>
        <v>33201.810000000005</v>
      </c>
      <c r="M21" s="91">
        <f t="shared" si="2"/>
        <v>28967.230000000003</v>
      </c>
      <c r="N21" s="78">
        <f t="shared" si="2"/>
        <v>19294.827049800002</v>
      </c>
      <c r="O21" s="91">
        <f t="shared" si="2"/>
        <v>21746.539999999997</v>
      </c>
      <c r="P21" s="91">
        <f t="shared" si="2"/>
        <v>21734.73</v>
      </c>
      <c r="Q21" s="91">
        <f t="shared" si="2"/>
        <v>14403.789999999999</v>
      </c>
      <c r="R21" s="78">
        <f t="shared" si="2"/>
        <v>17202.754637399998</v>
      </c>
      <c r="S21" s="150">
        <f t="shared" si="2"/>
        <v>16054.57</v>
      </c>
      <c r="T21" s="150">
        <f t="shared" si="2"/>
        <v>17524.559999999998</v>
      </c>
      <c r="U21" s="150">
        <f t="shared" si="2"/>
        <v>18029.649999999998</v>
      </c>
      <c r="V21" s="78">
        <f t="shared" si="2"/>
        <v>78505.6516023</v>
      </c>
      <c r="W21" s="150">
        <f t="shared" si="2"/>
        <v>87419.510000000009</v>
      </c>
      <c r="X21" s="150">
        <f t="shared" si="2"/>
        <v>77581.459999999992</v>
      </c>
      <c r="Y21" s="150">
        <f t="shared" si="2"/>
        <v>70518.34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42458</v>
      </c>
      <c r="C23" s="128">
        <v>45000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300.05699940000005</v>
      </c>
      <c r="G25" s="128">
        <v>322.08</v>
      </c>
      <c r="H25" s="231">
        <v>237.12</v>
      </c>
      <c r="I25" s="227">
        <v>340.98</v>
      </c>
      <c r="J25" s="129">
        <v>300.05699940000005</v>
      </c>
      <c r="K25" s="128">
        <v>322.08</v>
      </c>
      <c r="L25" s="231">
        <v>237.12</v>
      </c>
      <c r="M25" s="227">
        <v>340.98</v>
      </c>
      <c r="N25" s="129">
        <v>300.05699940000005</v>
      </c>
      <c r="O25" s="128">
        <v>322.08</v>
      </c>
      <c r="P25" s="231">
        <v>237.12</v>
      </c>
      <c r="Q25" s="227">
        <v>340.98</v>
      </c>
      <c r="R25" s="129">
        <v>300.05699940000005</v>
      </c>
      <c r="S25" s="130">
        <v>322.08</v>
      </c>
      <c r="T25" s="222">
        <v>237.12</v>
      </c>
      <c r="U25" s="217">
        <v>340.98</v>
      </c>
      <c r="V25" s="127">
        <f>SUM(F25,J25,N25,R25)</f>
        <v>1200.2279976000002</v>
      </c>
      <c r="W25" s="130">
        <f>SUM(G25,K25,O25,S25)</f>
        <v>1288.32</v>
      </c>
      <c r="X25" s="222">
        <f>SUM(H25,L25,P25,T25)</f>
        <v>948.48</v>
      </c>
      <c r="Y25" s="217">
        <f>SUM(I25,M25,Q25,U25)</f>
        <v>1363.92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7714.9228500000008</v>
      </c>
      <c r="G29" s="147">
        <v>7740</v>
      </c>
      <c r="H29" s="234">
        <v>7740</v>
      </c>
      <c r="I29" s="230">
        <v>7665</v>
      </c>
      <c r="J29" s="136">
        <v>10934.22399</v>
      </c>
      <c r="K29" s="147">
        <v>11236</v>
      </c>
      <c r="L29" s="234">
        <v>10836</v>
      </c>
      <c r="M29" s="230">
        <v>10731</v>
      </c>
      <c r="N29" s="136">
        <v>8692.579740000001</v>
      </c>
      <c r="O29" s="147">
        <v>10688</v>
      </c>
      <c r="P29" s="234">
        <v>6192</v>
      </c>
      <c r="Q29" s="230">
        <v>9198</v>
      </c>
      <c r="R29" s="136">
        <v>12656.506767000003</v>
      </c>
      <c r="S29" s="148">
        <v>14321.8</v>
      </c>
      <c r="T29" s="226">
        <v>11274.6</v>
      </c>
      <c r="U29" s="221">
        <v>12373.5</v>
      </c>
      <c r="V29" s="135">
        <f>SUM(F29,J29,N29,R29)</f>
        <v>39998.233347000001</v>
      </c>
      <c r="W29" s="148">
        <f>SUM(G29,K29,O29,S29)</f>
        <v>43985.8</v>
      </c>
      <c r="X29" s="226">
        <f>SUM(H29,L29,P29,T29)</f>
        <v>36042.6</v>
      </c>
      <c r="Y29" s="221">
        <f>SUM(I29,M29,Q29,U29)</f>
        <v>39967.5</v>
      </c>
    </row>
    <row r="30" spans="1:25" collapsed="1">
      <c r="A30" s="62" t="s">
        <v>151</v>
      </c>
      <c r="B30" s="78">
        <f t="shared" ref="B30:Y30" si="3">SUM(B23:B29)</f>
        <v>42458</v>
      </c>
      <c r="C30" s="91">
        <f t="shared" si="3"/>
        <v>45000</v>
      </c>
      <c r="D30" s="91">
        <f t="shared" si="3"/>
        <v>0</v>
      </c>
      <c r="E30" s="91">
        <f t="shared" si="3"/>
        <v>0</v>
      </c>
      <c r="F30" s="78">
        <f t="shared" si="3"/>
        <v>8014.9798494000006</v>
      </c>
      <c r="G30" s="91">
        <f t="shared" si="3"/>
        <v>8062.08</v>
      </c>
      <c r="H30" s="91">
        <f t="shared" si="3"/>
        <v>7977.12</v>
      </c>
      <c r="I30" s="91">
        <f t="shared" si="3"/>
        <v>8005.98</v>
      </c>
      <c r="J30" s="78">
        <f t="shared" si="3"/>
        <v>11234.2809894</v>
      </c>
      <c r="K30" s="91">
        <f t="shared" si="3"/>
        <v>11558.08</v>
      </c>
      <c r="L30" s="91">
        <f t="shared" si="3"/>
        <v>11073.12</v>
      </c>
      <c r="M30" s="91">
        <f t="shared" si="3"/>
        <v>11071.98</v>
      </c>
      <c r="N30" s="78">
        <f t="shared" si="3"/>
        <v>8992.6367394000008</v>
      </c>
      <c r="O30" s="91">
        <f t="shared" si="3"/>
        <v>11010.08</v>
      </c>
      <c r="P30" s="91">
        <f t="shared" si="3"/>
        <v>6429.12</v>
      </c>
      <c r="Q30" s="91">
        <f t="shared" si="3"/>
        <v>9538.98</v>
      </c>
      <c r="R30" s="78">
        <f t="shared" si="3"/>
        <v>12956.563766400002</v>
      </c>
      <c r="S30" s="150">
        <f t="shared" si="3"/>
        <v>14643.88</v>
      </c>
      <c r="T30" s="150">
        <f t="shared" si="3"/>
        <v>11511.720000000001</v>
      </c>
      <c r="U30" s="150">
        <f t="shared" si="3"/>
        <v>12714.48</v>
      </c>
      <c r="V30" s="78">
        <f t="shared" si="3"/>
        <v>41198.4613446</v>
      </c>
      <c r="W30" s="150">
        <f t="shared" si="3"/>
        <v>45274.12</v>
      </c>
      <c r="X30" s="150">
        <f t="shared" si="3"/>
        <v>36991.08</v>
      </c>
      <c r="Y30" s="150">
        <f t="shared" si="3"/>
        <v>41331.42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9203</v>
      </c>
      <c r="C40" s="128">
        <v>8120</v>
      </c>
      <c r="D40" s="231">
        <v>7798</v>
      </c>
      <c r="E40" s="227">
        <v>7397</v>
      </c>
      <c r="F40" s="129">
        <v>955.46044529999995</v>
      </c>
      <c r="G40" s="128">
        <v>1008.3</v>
      </c>
      <c r="H40" s="231">
        <v>823.84</v>
      </c>
      <c r="I40" s="227">
        <v>1034.27</v>
      </c>
      <c r="J40" s="129">
        <v>2958.4704149999998</v>
      </c>
      <c r="K40" s="128">
        <v>3672.23</v>
      </c>
      <c r="L40" s="231">
        <v>2784.9</v>
      </c>
      <c r="M40" s="227">
        <v>2418.37</v>
      </c>
      <c r="N40" s="129">
        <v>1810.6485600000003</v>
      </c>
      <c r="O40" s="128">
        <v>2214.35</v>
      </c>
      <c r="P40" s="231">
        <v>1771.5</v>
      </c>
      <c r="Q40" s="227">
        <v>1446.15</v>
      </c>
      <c r="R40" s="129">
        <v>1919.4974715000001</v>
      </c>
      <c r="S40" s="130">
        <v>2075.21</v>
      </c>
      <c r="T40" s="222">
        <v>1826.39</v>
      </c>
      <c r="U40" s="217">
        <v>1856.95</v>
      </c>
      <c r="V40" s="127">
        <f>SUM(F40,J40,N40,R40)</f>
        <v>7644.0768918000003</v>
      </c>
      <c r="W40" s="130">
        <f>SUM(G40,K40,O40,S40)</f>
        <v>8970.09</v>
      </c>
      <c r="X40" s="222">
        <f>SUM(H40,L40,P40,T40)</f>
        <v>7206.63</v>
      </c>
      <c r="Y40" s="217">
        <f>SUM(I40,M40,Q40,U40)</f>
        <v>6755.74</v>
      </c>
    </row>
    <row r="41" spans="1:25" hidden="1" outlineLevel="1">
      <c r="A41" s="134" t="s">
        <v>161</v>
      </c>
      <c r="B41" s="135">
        <v>808</v>
      </c>
      <c r="C41" s="147">
        <v>659</v>
      </c>
      <c r="D41" s="234">
        <v>646</v>
      </c>
      <c r="E41" s="230">
        <v>612</v>
      </c>
      <c r="F41" s="136">
        <v>81.625850400000004</v>
      </c>
      <c r="G41" s="147">
        <v>92.48</v>
      </c>
      <c r="H41" s="234">
        <v>66.790000000000006</v>
      </c>
      <c r="I41" s="230">
        <v>85.61</v>
      </c>
      <c r="J41" s="136">
        <v>254.26079070000003</v>
      </c>
      <c r="K41" s="147">
        <v>336.8</v>
      </c>
      <c r="L41" s="234">
        <v>225.8</v>
      </c>
      <c r="M41" s="230">
        <v>200.19</v>
      </c>
      <c r="N41" s="136">
        <v>155.47177859999999</v>
      </c>
      <c r="O41" s="147">
        <v>203.08</v>
      </c>
      <c r="P41" s="234">
        <v>143.63</v>
      </c>
      <c r="Q41" s="230">
        <v>119.71</v>
      </c>
      <c r="R41" s="136">
        <v>164.0483595</v>
      </c>
      <c r="S41" s="148">
        <v>190.34</v>
      </c>
      <c r="T41" s="226">
        <v>148.09</v>
      </c>
      <c r="U41" s="221">
        <v>153.72</v>
      </c>
      <c r="V41" s="135">
        <f>SUM(F41,J41,N41,R41)</f>
        <v>655.40677920000007</v>
      </c>
      <c r="W41" s="148">
        <f>SUM(G41,K41,O41,S41)</f>
        <v>822.7</v>
      </c>
      <c r="X41" s="226">
        <f>SUM(H41,L41,P41,T41)</f>
        <v>584.31000000000006</v>
      </c>
      <c r="Y41" s="221">
        <f>SUM(I41,M41,Q41,U41)</f>
        <v>559.23</v>
      </c>
    </row>
    <row r="42" spans="1:25" collapsed="1">
      <c r="A42" s="62" t="s">
        <v>162</v>
      </c>
      <c r="B42" s="78">
        <f t="shared" ref="B42:Y42" si="5">SUM(B36:B41)</f>
        <v>10011</v>
      </c>
      <c r="C42" s="149">
        <f t="shared" si="5"/>
        <v>8779</v>
      </c>
      <c r="D42" s="149">
        <f t="shared" si="5"/>
        <v>8444</v>
      </c>
      <c r="E42" s="149">
        <f t="shared" si="5"/>
        <v>8009</v>
      </c>
      <c r="F42" s="151">
        <f t="shared" si="5"/>
        <v>1037.0862956999999</v>
      </c>
      <c r="G42" s="149">
        <f t="shared" si="5"/>
        <v>1100.78</v>
      </c>
      <c r="H42" s="149">
        <f t="shared" si="5"/>
        <v>890.63</v>
      </c>
      <c r="I42" s="149">
        <f t="shared" si="5"/>
        <v>1119.8799999999999</v>
      </c>
      <c r="J42" s="151">
        <f t="shared" si="5"/>
        <v>3212.7312056999999</v>
      </c>
      <c r="K42" s="149">
        <f t="shared" si="5"/>
        <v>4009.03</v>
      </c>
      <c r="L42" s="149">
        <f t="shared" si="5"/>
        <v>3010.7000000000003</v>
      </c>
      <c r="M42" s="149">
        <f t="shared" si="5"/>
        <v>2618.56</v>
      </c>
      <c r="N42" s="151">
        <f t="shared" si="5"/>
        <v>1966.1203386000002</v>
      </c>
      <c r="O42" s="149">
        <f t="shared" si="5"/>
        <v>2417.4299999999998</v>
      </c>
      <c r="P42" s="149">
        <f t="shared" si="5"/>
        <v>1915.13</v>
      </c>
      <c r="Q42" s="149">
        <f t="shared" si="5"/>
        <v>1565.8600000000001</v>
      </c>
      <c r="R42" s="151">
        <f t="shared" si="5"/>
        <v>2083.5458309999999</v>
      </c>
      <c r="S42" s="152">
        <f t="shared" si="5"/>
        <v>2265.5500000000002</v>
      </c>
      <c r="T42" s="152">
        <f t="shared" si="5"/>
        <v>1974.48</v>
      </c>
      <c r="U42" s="152">
        <f t="shared" si="5"/>
        <v>2010.67</v>
      </c>
      <c r="V42" s="78">
        <f t="shared" si="5"/>
        <v>8299.483671</v>
      </c>
      <c r="W42" s="152">
        <f t="shared" si="5"/>
        <v>9792.7900000000009</v>
      </c>
      <c r="X42" s="152">
        <f t="shared" si="5"/>
        <v>7790.9400000000005</v>
      </c>
      <c r="Y42" s="152">
        <f t="shared" si="5"/>
        <v>7314.9699999999993</v>
      </c>
    </row>
    <row r="43" spans="1:25" ht="16.2" thickBot="1">
      <c r="A43" s="137" t="s">
        <v>163</v>
      </c>
      <c r="B43" s="138">
        <f>SUM(B21,B30,B34,B42)</f>
        <v>140365</v>
      </c>
      <c r="C43" s="139">
        <f t="shared" ref="C43:U43" si="6">SUM(C21,C30,C34,C42)</f>
        <v>137884</v>
      </c>
      <c r="D43" s="139">
        <f t="shared" si="6"/>
        <v>137548</v>
      </c>
      <c r="E43" s="139">
        <f t="shared" si="6"/>
        <v>130472</v>
      </c>
      <c r="F43" s="138">
        <f t="shared" si="6"/>
        <v>16082.515839900003</v>
      </c>
      <c r="G43" s="139">
        <f t="shared" si="6"/>
        <v>16016.390000000001</v>
      </c>
      <c r="H43" s="139">
        <f t="shared" si="6"/>
        <v>13988.109999999999</v>
      </c>
      <c r="I43" s="139">
        <f t="shared" si="6"/>
        <v>18243.530000000002</v>
      </c>
      <c r="J43" s="138">
        <f t="shared" si="6"/>
        <v>49424.632415400003</v>
      </c>
      <c r="K43" s="139">
        <f t="shared" si="6"/>
        <v>58331.98</v>
      </c>
      <c r="L43" s="139">
        <f t="shared" si="6"/>
        <v>47285.630000000005</v>
      </c>
      <c r="M43" s="139">
        <f t="shared" si="6"/>
        <v>42657.770000000004</v>
      </c>
      <c r="N43" s="138">
        <f t="shared" si="6"/>
        <v>30253.584127800004</v>
      </c>
      <c r="O43" s="139">
        <f t="shared" si="6"/>
        <v>35174.049999999996</v>
      </c>
      <c r="P43" s="139">
        <f t="shared" si="6"/>
        <v>30078.98</v>
      </c>
      <c r="Q43" s="139">
        <f t="shared" si="6"/>
        <v>25508.629999999997</v>
      </c>
      <c r="R43" s="138">
        <f t="shared" si="6"/>
        <v>32242.864234799999</v>
      </c>
      <c r="S43" s="138">
        <f t="shared" si="6"/>
        <v>32964</v>
      </c>
      <c r="T43" s="138">
        <f t="shared" si="6"/>
        <v>31010.76</v>
      </c>
      <c r="U43" s="138">
        <f t="shared" si="6"/>
        <v>32754.799999999996</v>
      </c>
      <c r="V43" s="138">
        <f>SUM(V21,V30,V34,V42)</f>
        <v>128003.5966179</v>
      </c>
      <c r="W43" s="138">
        <f t="shared" ref="W43:Y43" si="7">SUM(W21,W30,W34,W42)</f>
        <v>142486.42000000001</v>
      </c>
      <c r="X43" s="138">
        <f t="shared" si="7"/>
        <v>122363.48</v>
      </c>
      <c r="Y43" s="138">
        <f t="shared" si="7"/>
        <v>119164.73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9346.5032007000009</v>
      </c>
      <c r="S45" s="142">
        <v>0</v>
      </c>
      <c r="T45" s="224">
        <v>16732.52</v>
      </c>
      <c r="U45" s="219">
        <v>11307.27</v>
      </c>
      <c r="V45" s="141">
        <f>SUM(F45,J45,N45,R45)</f>
        <v>9346.5032007000009</v>
      </c>
      <c r="W45" s="142">
        <f>SUM(G45,K45,O45,S45)</f>
        <v>0</v>
      </c>
      <c r="X45" s="224">
        <f>SUM(H45,L45,P45,T45)</f>
        <v>16732.52</v>
      </c>
      <c r="Y45" s="219">
        <f>SUM(I45,M45,Q45,U45)</f>
        <v>11307.27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9346.5032007000009</v>
      </c>
      <c r="S47" s="150">
        <f t="shared" si="8"/>
        <v>0</v>
      </c>
      <c r="T47" s="150">
        <f t="shared" si="8"/>
        <v>16732.52</v>
      </c>
      <c r="U47" s="150">
        <f t="shared" si="8"/>
        <v>11307.27</v>
      </c>
      <c r="V47" s="153">
        <f t="shared" si="8"/>
        <v>9346.5032007000009</v>
      </c>
      <c r="W47" s="150">
        <f t="shared" si="8"/>
        <v>0</v>
      </c>
      <c r="X47" s="150">
        <f t="shared" si="8"/>
        <v>16732.52</v>
      </c>
      <c r="Y47" s="150">
        <f t="shared" si="8"/>
        <v>11307.27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1</v>
      </c>
      <c r="D48" s="139">
        <f t="shared" si="9"/>
        <v>0</v>
      </c>
      <c r="E48" s="139">
        <f t="shared" si="9"/>
        <v>0</v>
      </c>
      <c r="F48" s="138">
        <f t="shared" si="9"/>
        <v>-51567.140990100001</v>
      </c>
      <c r="G48" s="139">
        <f t="shared" si="9"/>
        <v>-52924.61</v>
      </c>
      <c r="H48" s="139">
        <f t="shared" si="9"/>
        <v>-54785.89</v>
      </c>
      <c r="I48" s="139">
        <f t="shared" si="9"/>
        <v>-46992.47</v>
      </c>
      <c r="J48" s="138">
        <f t="shared" si="9"/>
        <v>49424.632415400003</v>
      </c>
      <c r="K48" s="139">
        <f t="shared" si="9"/>
        <v>58331.98</v>
      </c>
      <c r="L48" s="139">
        <f t="shared" si="9"/>
        <v>47285.630000000005</v>
      </c>
      <c r="M48" s="139">
        <f t="shared" si="9"/>
        <v>42657.770000000004</v>
      </c>
      <c r="N48" s="138">
        <f t="shared" si="9"/>
        <v>-37396.4060322</v>
      </c>
      <c r="O48" s="139">
        <f t="shared" si="9"/>
        <v>-33767.950000000004</v>
      </c>
      <c r="P48" s="139">
        <f t="shared" si="9"/>
        <v>-38695.020000000004</v>
      </c>
      <c r="Q48" s="139">
        <f t="shared" si="9"/>
        <v>-39727.370000000003</v>
      </c>
      <c r="R48" s="138">
        <f t="shared" si="9"/>
        <v>39538.914606899998</v>
      </c>
      <c r="S48" s="138">
        <f t="shared" si="9"/>
        <v>28360.58</v>
      </c>
      <c r="T48" s="138">
        <f t="shared" si="9"/>
        <v>46195.28</v>
      </c>
      <c r="U48" s="138">
        <f t="shared" si="9"/>
        <v>44062.069999999992</v>
      </c>
      <c r="V48" s="138">
        <f>SUM(V12,V43,V47)</f>
        <v>-2.5465851649641991E-11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90" priority="13" operator="lessThan">
      <formula>-0.01</formula>
    </cfRule>
  </conditionalFormatting>
  <conditionalFormatting sqref="Y15:Y21 Y23:Y30 Y32:Y34 Y36:Y43">
    <cfRule type="cellIs" dxfId="89" priority="12" operator="lessThan">
      <formula>-0.01</formula>
    </cfRule>
  </conditionalFormatting>
  <conditionalFormatting sqref="X15:X21 X23:X30 X32:X34 X36:X43">
    <cfRule type="cellIs" dxfId="88" priority="11" operator="lessThan">
      <formula>-0.01</formula>
    </cfRule>
  </conditionalFormatting>
  <conditionalFormatting sqref="U15:U21 U23:U30 U32:U34 U36:U43">
    <cfRule type="cellIs" dxfId="87" priority="10" operator="lessThan">
      <formula>-0.01</formula>
    </cfRule>
  </conditionalFormatting>
  <conditionalFormatting sqref="T15:T21 T23:T30 T32:T34 T36:T43">
    <cfRule type="cellIs" dxfId="86" priority="9" operator="lessThan">
      <formula>-0.01</formula>
    </cfRule>
  </conditionalFormatting>
  <conditionalFormatting sqref="Q15:Q21 Q23:Q30 Q32:Q34 Q36:Q43">
    <cfRule type="cellIs" dxfId="85" priority="8" operator="lessThan">
      <formula>-0.01</formula>
    </cfRule>
  </conditionalFormatting>
  <conditionalFormatting sqref="P15:P21 P23:P30 P32:P34 P36:P43">
    <cfRule type="cellIs" dxfId="84" priority="7" operator="lessThan">
      <formula>-0.01</formula>
    </cfRule>
  </conditionalFormatting>
  <conditionalFormatting sqref="M15:M21 M23:M30 M32:M34 M36:M43">
    <cfRule type="cellIs" dxfId="83" priority="6" operator="lessThan">
      <formula>-0.01</formula>
    </cfRule>
  </conditionalFormatting>
  <conditionalFormatting sqref="L15:L21 L23:L30 L32:L34 L36:L43">
    <cfRule type="cellIs" dxfId="82" priority="5" operator="lessThan">
      <formula>-0.01</formula>
    </cfRule>
  </conditionalFormatting>
  <conditionalFormatting sqref="I15:I21 I23:I30 I32:I34 I36:I43">
    <cfRule type="cellIs" dxfId="81" priority="4" operator="lessThan">
      <formula>-0.01</formula>
    </cfRule>
  </conditionalFormatting>
  <conditionalFormatting sqref="H15:H21 H23:H30 H32:H34 H36:H43">
    <cfRule type="cellIs" dxfId="80" priority="3" operator="lessThan">
      <formula>-0.01</formula>
    </cfRule>
  </conditionalFormatting>
  <conditionalFormatting sqref="E15:E21 E23:E30 E32:E34 E36:E43">
    <cfRule type="cellIs" dxfId="79" priority="2" operator="lessThan">
      <formula>-0.01</formula>
    </cfRule>
  </conditionalFormatting>
  <conditionalFormatting sqref="D15:D21 D23:D30 D32:D34 D36:D43">
    <cfRule type="cellIs" dxfId="78" priority="1" operator="lessThan">
      <formula>-0.01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2D53-FB39-4214-AFB5-F58C544A7F61}">
  <sheetPr codeName="Sheet88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740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0</v>
      </c>
      <c r="D8" s="231">
        <v>0</v>
      </c>
      <c r="E8" s="227">
        <v>0</v>
      </c>
      <c r="F8" s="129">
        <v>0</v>
      </c>
      <c r="G8" s="128">
        <v>0</v>
      </c>
      <c r="H8" s="231">
        <v>0</v>
      </c>
      <c r="I8" s="227">
        <v>0</v>
      </c>
      <c r="J8" s="129">
        <v>0</v>
      </c>
      <c r="K8" s="128">
        <v>0</v>
      </c>
      <c r="L8" s="231">
        <v>0</v>
      </c>
      <c r="M8" s="227">
        <v>0</v>
      </c>
      <c r="N8" s="129">
        <v>0</v>
      </c>
      <c r="O8" s="128">
        <v>0</v>
      </c>
      <c r="P8" s="231">
        <v>0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0</v>
      </c>
      <c r="W8" s="130">
        <f>SUM(G8,K8,O8,S8)</f>
        <v>0</v>
      </c>
      <c r="X8" s="222">
        <f>SUM(H8,L8,P8,T8)</f>
        <v>0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0</v>
      </c>
      <c r="D12" s="139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9">
        <f t="shared" si="0"/>
        <v>0</v>
      </c>
      <c r="I12" s="139">
        <f t="shared" si="0"/>
        <v>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0</v>
      </c>
      <c r="O12" s="139">
        <f t="shared" si="0"/>
        <v>0</v>
      </c>
      <c r="P12" s="139">
        <f t="shared" si="0"/>
        <v>0</v>
      </c>
      <c r="Q12" s="139">
        <f t="shared" si="0"/>
        <v>0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0</v>
      </c>
      <c r="W12" s="138">
        <f t="shared" ref="W12:Y12" si="1">SUM(W8:W11)</f>
        <v>0</v>
      </c>
      <c r="X12" s="138">
        <f t="shared" si="1"/>
        <v>0</v>
      </c>
      <c r="Y12" s="138">
        <f t="shared" si="1"/>
        <v>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63.046036199999996</v>
      </c>
      <c r="G17" s="145">
        <v>189.14</v>
      </c>
      <c r="H17" s="233">
        <v>0</v>
      </c>
      <c r="I17" s="229">
        <v>0</v>
      </c>
      <c r="J17" s="146">
        <v>-63.046036199999996</v>
      </c>
      <c r="K17" s="145">
        <v>-189.14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0.50332830000000006</v>
      </c>
      <c r="G20" s="147">
        <v>1.51</v>
      </c>
      <c r="H20" s="234">
        <v>0</v>
      </c>
      <c r="I20" s="230">
        <v>0</v>
      </c>
      <c r="J20" s="136">
        <v>-0.50332830000000006</v>
      </c>
      <c r="K20" s="147">
        <v>-1.51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63.549364499999996</v>
      </c>
      <c r="G21" s="149">
        <f t="shared" si="2"/>
        <v>190.64999999999998</v>
      </c>
      <c r="H21" s="149">
        <f t="shared" si="2"/>
        <v>0</v>
      </c>
      <c r="I21" s="149">
        <f t="shared" si="2"/>
        <v>0</v>
      </c>
      <c r="J21" s="78">
        <f t="shared" si="2"/>
        <v>-63.549364499999996</v>
      </c>
      <c r="K21" s="91">
        <f t="shared" si="2"/>
        <v>-190.64999999999998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0</v>
      </c>
      <c r="W30" s="150">
        <f t="shared" si="3"/>
        <v>0</v>
      </c>
      <c r="X30" s="150">
        <f t="shared" si="3"/>
        <v>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0</v>
      </c>
      <c r="E40" s="227">
        <v>0</v>
      </c>
      <c r="F40" s="129">
        <v>4.2966237000000005</v>
      </c>
      <c r="G40" s="128">
        <v>12.89</v>
      </c>
      <c r="H40" s="231">
        <v>0</v>
      </c>
      <c r="I40" s="227">
        <v>0</v>
      </c>
      <c r="J40" s="129">
        <v>-4.2966237000000005</v>
      </c>
      <c r="K40" s="128">
        <v>-12.89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0</v>
      </c>
      <c r="S40" s="130">
        <v>0</v>
      </c>
      <c r="T40" s="222">
        <v>0</v>
      </c>
      <c r="U40" s="217">
        <v>0</v>
      </c>
      <c r="V40" s="127">
        <f>SUM(F40,J40,N40,R40)</f>
        <v>0</v>
      </c>
      <c r="W40" s="130">
        <f>SUM(G40,K40,O40,S40)</f>
        <v>0</v>
      </c>
      <c r="X40" s="222">
        <f>SUM(H40,L40,P40,T40)</f>
        <v>0</v>
      </c>
      <c r="Y40" s="217">
        <f>SUM(I40,M40,Q40,U40)</f>
        <v>0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0</v>
      </c>
      <c r="E41" s="230">
        <v>0</v>
      </c>
      <c r="F41" s="136">
        <v>0.3933294</v>
      </c>
      <c r="G41" s="147">
        <v>1.18</v>
      </c>
      <c r="H41" s="234">
        <v>0</v>
      </c>
      <c r="I41" s="230">
        <v>0</v>
      </c>
      <c r="J41" s="136">
        <v>-0.3933294</v>
      </c>
      <c r="K41" s="147">
        <v>-1.18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</v>
      </c>
      <c r="S41" s="148">
        <v>0</v>
      </c>
      <c r="T41" s="226">
        <v>0</v>
      </c>
      <c r="U41" s="221">
        <v>0</v>
      </c>
      <c r="V41" s="135">
        <f>SUM(F41,J41,N41,R41)</f>
        <v>0</v>
      </c>
      <c r="W41" s="148">
        <f>SUM(G41,K41,O41,S41)</f>
        <v>0</v>
      </c>
      <c r="X41" s="226">
        <f>SUM(H41,L41,P41,T41)</f>
        <v>0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0</v>
      </c>
      <c r="E42" s="149">
        <f t="shared" si="5"/>
        <v>0</v>
      </c>
      <c r="F42" s="151">
        <f t="shared" si="5"/>
        <v>4.6899531000000003</v>
      </c>
      <c r="G42" s="149">
        <f t="shared" si="5"/>
        <v>14.07</v>
      </c>
      <c r="H42" s="149">
        <f t="shared" si="5"/>
        <v>0</v>
      </c>
      <c r="I42" s="149">
        <f t="shared" si="5"/>
        <v>0</v>
      </c>
      <c r="J42" s="151">
        <f t="shared" si="5"/>
        <v>-4.6899531000000003</v>
      </c>
      <c r="K42" s="149">
        <f t="shared" si="5"/>
        <v>-14.07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0</v>
      </c>
      <c r="S42" s="152">
        <f t="shared" si="5"/>
        <v>0</v>
      </c>
      <c r="T42" s="152">
        <f t="shared" si="5"/>
        <v>0</v>
      </c>
      <c r="U42" s="152">
        <f t="shared" si="5"/>
        <v>0</v>
      </c>
      <c r="V42" s="78">
        <f t="shared" si="5"/>
        <v>0</v>
      </c>
      <c r="W42" s="152">
        <f t="shared" si="5"/>
        <v>0</v>
      </c>
      <c r="X42" s="152">
        <f t="shared" si="5"/>
        <v>0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0</v>
      </c>
      <c r="E43" s="139">
        <f t="shared" si="6"/>
        <v>0</v>
      </c>
      <c r="F43" s="138">
        <f t="shared" si="6"/>
        <v>68.239317599999993</v>
      </c>
      <c r="G43" s="139">
        <f t="shared" si="6"/>
        <v>204.71999999999997</v>
      </c>
      <c r="H43" s="139">
        <f t="shared" si="6"/>
        <v>0</v>
      </c>
      <c r="I43" s="139">
        <f t="shared" si="6"/>
        <v>0</v>
      </c>
      <c r="J43" s="138">
        <f t="shared" si="6"/>
        <v>-68.239317599999993</v>
      </c>
      <c r="K43" s="139">
        <f t="shared" si="6"/>
        <v>-204.71999999999997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0</v>
      </c>
      <c r="S43" s="138">
        <f t="shared" si="6"/>
        <v>0</v>
      </c>
      <c r="T43" s="138">
        <f t="shared" si="6"/>
        <v>0</v>
      </c>
      <c r="U43" s="138">
        <f t="shared" si="6"/>
        <v>0</v>
      </c>
      <c r="V43" s="138">
        <f>SUM(V21,V30,V34,V42)</f>
        <v>0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0</v>
      </c>
      <c r="S45" s="142">
        <v>0</v>
      </c>
      <c r="T45" s="224">
        <v>0</v>
      </c>
      <c r="U45" s="219">
        <v>0</v>
      </c>
      <c r="V45" s="141">
        <f>SUM(F45,J45,N45,R45)</f>
        <v>0</v>
      </c>
      <c r="W45" s="142">
        <f>SUM(G45,K45,O45,S45)</f>
        <v>0</v>
      </c>
      <c r="X45" s="224">
        <f>SUM(H45,L45,P45,T45)</f>
        <v>0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0</v>
      </c>
      <c r="S47" s="150">
        <f t="shared" si="8"/>
        <v>0</v>
      </c>
      <c r="T47" s="150">
        <f t="shared" si="8"/>
        <v>0</v>
      </c>
      <c r="U47" s="150">
        <f t="shared" si="8"/>
        <v>0</v>
      </c>
      <c r="V47" s="153">
        <f t="shared" si="8"/>
        <v>0</v>
      </c>
      <c r="W47" s="150">
        <f t="shared" si="8"/>
        <v>0</v>
      </c>
      <c r="X47" s="150">
        <f t="shared" si="8"/>
        <v>0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68.239317599999993</v>
      </c>
      <c r="G48" s="139">
        <f t="shared" si="9"/>
        <v>204.71999999999997</v>
      </c>
      <c r="H48" s="139">
        <f t="shared" si="9"/>
        <v>0</v>
      </c>
      <c r="I48" s="139">
        <f t="shared" si="9"/>
        <v>0</v>
      </c>
      <c r="J48" s="138">
        <f t="shared" si="9"/>
        <v>-68.239317599999993</v>
      </c>
      <c r="K48" s="139">
        <f t="shared" si="9"/>
        <v>-204.71999999999997</v>
      </c>
      <c r="L48" s="139">
        <f t="shared" si="9"/>
        <v>0</v>
      </c>
      <c r="M48" s="139">
        <f t="shared" si="9"/>
        <v>0</v>
      </c>
      <c r="N48" s="138">
        <f t="shared" si="9"/>
        <v>0</v>
      </c>
      <c r="O48" s="139">
        <f t="shared" si="9"/>
        <v>0</v>
      </c>
      <c r="P48" s="139">
        <f t="shared" si="9"/>
        <v>0</v>
      </c>
      <c r="Q48" s="139">
        <f t="shared" si="9"/>
        <v>0</v>
      </c>
      <c r="R48" s="138">
        <f t="shared" si="9"/>
        <v>0</v>
      </c>
      <c r="S48" s="138">
        <f t="shared" si="9"/>
        <v>0</v>
      </c>
      <c r="T48" s="138">
        <f t="shared" si="9"/>
        <v>0</v>
      </c>
      <c r="U48" s="138">
        <f t="shared" si="9"/>
        <v>0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77" priority="13" operator="lessThan">
      <formula>-0.01</formula>
    </cfRule>
  </conditionalFormatting>
  <conditionalFormatting sqref="Y15:Y21 Y23:Y30 Y32:Y34 Y36:Y43">
    <cfRule type="cellIs" dxfId="76" priority="12" operator="lessThan">
      <formula>-0.01</formula>
    </cfRule>
  </conditionalFormatting>
  <conditionalFormatting sqref="X15:X21 X23:X30 X32:X34 X36:X43">
    <cfRule type="cellIs" dxfId="75" priority="11" operator="lessThan">
      <formula>-0.01</formula>
    </cfRule>
  </conditionalFormatting>
  <conditionalFormatting sqref="U15:U21 U23:U30 U32:U34 U36:U43">
    <cfRule type="cellIs" dxfId="74" priority="10" operator="lessThan">
      <formula>-0.01</formula>
    </cfRule>
  </conditionalFormatting>
  <conditionalFormatting sqref="T15:T21 T23:T30 T32:T34 T36:T43">
    <cfRule type="cellIs" dxfId="73" priority="9" operator="lessThan">
      <formula>-0.01</formula>
    </cfRule>
  </conditionalFormatting>
  <conditionalFormatting sqref="Q15:Q21 Q23:Q30 Q32:Q34 Q36:Q43">
    <cfRule type="cellIs" dxfId="72" priority="8" operator="lessThan">
      <formula>-0.01</formula>
    </cfRule>
  </conditionalFormatting>
  <conditionalFormatting sqref="P15:P21 P23:P30 P32:P34 P36:P43">
    <cfRule type="cellIs" dxfId="71" priority="7" operator="lessThan">
      <formula>-0.01</formula>
    </cfRule>
  </conditionalFormatting>
  <conditionalFormatting sqref="M15:M21 M23:M30 M32:M34 M36:M43">
    <cfRule type="cellIs" dxfId="70" priority="6" operator="lessThan">
      <formula>-0.01</formula>
    </cfRule>
  </conditionalFormatting>
  <conditionalFormatting sqref="L15:L21 L23:L30 L32:L34 L36:L43">
    <cfRule type="cellIs" dxfId="69" priority="5" operator="lessThan">
      <formula>-0.01</formula>
    </cfRule>
  </conditionalFormatting>
  <conditionalFormatting sqref="I15:I21 I23:I30 I32:I34 I36:I43">
    <cfRule type="cellIs" dxfId="68" priority="4" operator="lessThan">
      <formula>-0.01</formula>
    </cfRule>
  </conditionalFormatting>
  <conditionalFormatting sqref="H15:H21 H23:H30 H32:H34 H36:H43">
    <cfRule type="cellIs" dxfId="67" priority="3" operator="lessThan">
      <formula>-0.01</formula>
    </cfRule>
  </conditionalFormatting>
  <conditionalFormatting sqref="E15:E21 E23:E30 E32:E34 E36:E43">
    <cfRule type="cellIs" dxfId="66" priority="2" operator="lessThan">
      <formula>-0.01</formula>
    </cfRule>
  </conditionalFormatting>
  <conditionalFormatting sqref="D15:D21 D23:D30 D32:D34 D36:D43">
    <cfRule type="cellIs" dxfId="65" priority="1" operator="lessThan">
      <formula>-0.01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23739-2A40-450F-8BB9-EA07C2824EEA}">
  <sheetPr codeName="Sheet89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742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-18550</v>
      </c>
      <c r="C8" s="128">
        <v>-29079</v>
      </c>
      <c r="D8" s="231">
        <v>-29007</v>
      </c>
      <c r="E8" s="227">
        <v>-29007</v>
      </c>
      <c r="F8" s="129">
        <v>-4846.2848700000004</v>
      </c>
      <c r="G8" s="128">
        <v>-14539</v>
      </c>
      <c r="H8" s="231">
        <v>0</v>
      </c>
      <c r="I8" s="227">
        <v>0</v>
      </c>
      <c r="J8" s="129">
        <v>-4834.2849900000001</v>
      </c>
      <c r="K8" s="128">
        <v>0</v>
      </c>
      <c r="L8" s="231">
        <v>-14503</v>
      </c>
      <c r="M8" s="227">
        <v>0</v>
      </c>
      <c r="N8" s="129">
        <v>-9681.2365200000004</v>
      </c>
      <c r="O8" s="128">
        <v>-14540</v>
      </c>
      <c r="P8" s="231">
        <v>-14504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-19361.806380000002</v>
      </c>
      <c r="W8" s="130">
        <f>SUM(G8,K8,O8,S8)</f>
        <v>-29079</v>
      </c>
      <c r="X8" s="222">
        <f>SUM(H8,L8,P8,T8)</f>
        <v>-29007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-1082.6558400000001</v>
      </c>
      <c r="K9" s="132">
        <v>0</v>
      </c>
      <c r="L9" s="232">
        <v>0</v>
      </c>
      <c r="M9" s="228">
        <v>-3248</v>
      </c>
      <c r="N9" s="129">
        <v>-102.24897750000001</v>
      </c>
      <c r="O9" s="132">
        <v>0</v>
      </c>
      <c r="P9" s="232">
        <v>-306.75</v>
      </c>
      <c r="Q9" s="228">
        <v>0</v>
      </c>
      <c r="R9" s="129">
        <v>-1791.6487500000001</v>
      </c>
      <c r="S9" s="133">
        <v>0</v>
      </c>
      <c r="T9" s="223">
        <v>0</v>
      </c>
      <c r="U9" s="218">
        <v>-5375</v>
      </c>
      <c r="V9" s="127">
        <f>SUM(F9,J9,N9,R9)</f>
        <v>-2976.5535675000001</v>
      </c>
      <c r="W9" s="133">
        <f>SUM(G9,K9,O9,S9)</f>
        <v>0</v>
      </c>
      <c r="X9" s="223">
        <f>SUM(H9,L9,P9,T9)</f>
        <v>-306.75</v>
      </c>
      <c r="Y9" s="218">
        <f>SUM(I9,M9,Q9,U9)</f>
        <v>-8623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-399.99600000000004</v>
      </c>
      <c r="K11" s="132">
        <v>-1200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-7877.5445571</v>
      </c>
      <c r="S11" s="133">
        <v>0</v>
      </c>
      <c r="T11" s="223">
        <v>0</v>
      </c>
      <c r="U11" s="218">
        <v>-23632.87</v>
      </c>
      <c r="V11" s="135">
        <f>SUM(F11,J11,N11,R11)</f>
        <v>-8277.5405570999992</v>
      </c>
      <c r="W11" s="133">
        <f>SUM(G11,K11,O11,S11)</f>
        <v>-1200</v>
      </c>
      <c r="X11" s="223">
        <f>SUM(H11,L11,P11,T11)</f>
        <v>0</v>
      </c>
      <c r="Y11" s="218">
        <f>SUM(I11,M11,Q11,U11)</f>
        <v>-23632.87</v>
      </c>
    </row>
    <row r="12" spans="1:52" ht="16.2" collapsed="1" thickBot="1">
      <c r="A12" s="137" t="s">
        <v>134</v>
      </c>
      <c r="B12" s="138">
        <f>SUM(B8:B11)</f>
        <v>-18550</v>
      </c>
      <c r="C12" s="139">
        <f t="shared" ref="C12:U12" si="0">SUM(C8:C11)</f>
        <v>-29079</v>
      </c>
      <c r="D12" s="139">
        <f t="shared" si="0"/>
        <v>-29007</v>
      </c>
      <c r="E12" s="139">
        <f t="shared" si="0"/>
        <v>-29007</v>
      </c>
      <c r="F12" s="138">
        <f t="shared" si="0"/>
        <v>-4846.2848700000004</v>
      </c>
      <c r="G12" s="139">
        <f t="shared" si="0"/>
        <v>-14539</v>
      </c>
      <c r="H12" s="139">
        <f t="shared" si="0"/>
        <v>0</v>
      </c>
      <c r="I12" s="139">
        <f t="shared" si="0"/>
        <v>0</v>
      </c>
      <c r="J12" s="138">
        <f t="shared" si="0"/>
        <v>-6316.9368300000006</v>
      </c>
      <c r="K12" s="139">
        <f t="shared" si="0"/>
        <v>-1200</v>
      </c>
      <c r="L12" s="139">
        <f t="shared" si="0"/>
        <v>-14503</v>
      </c>
      <c r="M12" s="139">
        <f t="shared" si="0"/>
        <v>-3248</v>
      </c>
      <c r="N12" s="138">
        <f t="shared" si="0"/>
        <v>-9783.4854974999998</v>
      </c>
      <c r="O12" s="139">
        <f t="shared" si="0"/>
        <v>-14540</v>
      </c>
      <c r="P12" s="139">
        <f t="shared" si="0"/>
        <v>-14810.75</v>
      </c>
      <c r="Q12" s="139">
        <f t="shared" si="0"/>
        <v>0</v>
      </c>
      <c r="R12" s="138">
        <f t="shared" si="0"/>
        <v>-9669.1933071000003</v>
      </c>
      <c r="S12" s="138">
        <f t="shared" si="0"/>
        <v>0</v>
      </c>
      <c r="T12" s="138">
        <f t="shared" si="0"/>
        <v>0</v>
      </c>
      <c r="U12" s="138">
        <f t="shared" si="0"/>
        <v>-29007.87</v>
      </c>
      <c r="V12" s="138">
        <f>SUM(V8:V11)</f>
        <v>-30615.900504600002</v>
      </c>
      <c r="W12" s="138">
        <f t="shared" ref="W12:Y12" si="1">SUM(W8:W11)</f>
        <v>-30279</v>
      </c>
      <c r="X12" s="138">
        <f t="shared" si="1"/>
        <v>-29313.75</v>
      </c>
      <c r="Y12" s="138">
        <f t="shared" si="1"/>
        <v>-32255.87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17227</v>
      </c>
      <c r="C23" s="128">
        <v>27227</v>
      </c>
      <c r="D23" s="231">
        <v>27227</v>
      </c>
      <c r="E23" s="227">
        <v>27226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73.699263000000002</v>
      </c>
      <c r="K25" s="128">
        <v>221.1</v>
      </c>
      <c r="L25" s="231">
        <v>0</v>
      </c>
      <c r="M25" s="227">
        <v>0</v>
      </c>
      <c r="N25" s="129">
        <v>828.1750515</v>
      </c>
      <c r="O25" s="128">
        <v>0</v>
      </c>
      <c r="P25" s="231">
        <v>77.989999999999995</v>
      </c>
      <c r="Q25" s="227">
        <v>2406.56</v>
      </c>
      <c r="R25" s="129">
        <v>58.749412500000005</v>
      </c>
      <c r="S25" s="130">
        <v>0</v>
      </c>
      <c r="T25" s="222">
        <v>158.25</v>
      </c>
      <c r="U25" s="217">
        <v>18</v>
      </c>
      <c r="V25" s="127">
        <f>SUM(F25,J25,N25,R25)</f>
        <v>960.62372699999992</v>
      </c>
      <c r="W25" s="130">
        <f>SUM(G25,K25,O25,S25)</f>
        <v>221.1</v>
      </c>
      <c r="X25" s="222">
        <f>SUM(H25,L25,P25,T25)</f>
        <v>236.24</v>
      </c>
      <c r="Y25" s="217">
        <f>SUM(I25,M25,Q25,U25)</f>
        <v>2424.56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967.77365550000002</v>
      </c>
      <c r="G26" s="128">
        <v>1734</v>
      </c>
      <c r="H26" s="231">
        <v>0</v>
      </c>
      <c r="I26" s="227">
        <v>1169.3499999999999</v>
      </c>
      <c r="J26" s="129">
        <v>5670.1332980999996</v>
      </c>
      <c r="K26" s="128">
        <v>4220.63</v>
      </c>
      <c r="L26" s="231">
        <v>7140</v>
      </c>
      <c r="M26" s="227">
        <v>5649.94</v>
      </c>
      <c r="N26" s="129">
        <v>1932.6873396000001</v>
      </c>
      <c r="O26" s="128">
        <v>972.45</v>
      </c>
      <c r="P26" s="231">
        <v>2398.41</v>
      </c>
      <c r="Q26" s="227">
        <v>2427.2600000000002</v>
      </c>
      <c r="R26" s="129">
        <v>3808.4419151999996</v>
      </c>
      <c r="S26" s="130">
        <v>5397.78</v>
      </c>
      <c r="T26" s="222">
        <v>4320.78</v>
      </c>
      <c r="U26" s="217">
        <v>1706.88</v>
      </c>
      <c r="V26" s="127">
        <f>SUM(F26,J26,N26,R26)</f>
        <v>12379.036208399999</v>
      </c>
      <c r="W26" s="130">
        <f>SUM(G26,K26,O26,S26)</f>
        <v>12324.86</v>
      </c>
      <c r="X26" s="222">
        <f>SUM(H26,L26,P26,T26)</f>
        <v>13859.189999999999</v>
      </c>
      <c r="Y26" s="217">
        <f>SUM(I26,M26,Q26,U26)</f>
        <v>10953.43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33.332999999999998</v>
      </c>
      <c r="G27" s="128">
        <v>100</v>
      </c>
      <c r="H27" s="231">
        <v>0</v>
      </c>
      <c r="I27" s="227">
        <v>0</v>
      </c>
      <c r="J27" s="129">
        <v>293.69706300000001</v>
      </c>
      <c r="K27" s="128">
        <v>296</v>
      </c>
      <c r="L27" s="231">
        <v>0</v>
      </c>
      <c r="M27" s="227">
        <v>585.1</v>
      </c>
      <c r="N27" s="129">
        <v>41.066256000000003</v>
      </c>
      <c r="O27" s="128">
        <v>0</v>
      </c>
      <c r="P27" s="231">
        <v>36</v>
      </c>
      <c r="Q27" s="227">
        <v>87.2</v>
      </c>
      <c r="R27" s="129">
        <v>62.932704000000001</v>
      </c>
      <c r="S27" s="130">
        <v>158.80000000000001</v>
      </c>
      <c r="T27" s="222">
        <v>30</v>
      </c>
      <c r="U27" s="217">
        <v>0</v>
      </c>
      <c r="V27" s="127">
        <f>SUM(F27,J27,N27,R27)</f>
        <v>431.02902300000005</v>
      </c>
      <c r="W27" s="130">
        <f>SUM(G27,K27,O27,S27)</f>
        <v>554.79999999999995</v>
      </c>
      <c r="X27" s="222">
        <f>SUM(H27,L27,P27,T27)</f>
        <v>66</v>
      </c>
      <c r="Y27" s="217">
        <f>SUM(I27,M27,Q27,U27)</f>
        <v>672.30000000000007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1003.6832964</v>
      </c>
      <c r="K28" s="128">
        <v>300.08</v>
      </c>
      <c r="L28" s="231">
        <v>2640</v>
      </c>
      <c r="M28" s="227">
        <v>71</v>
      </c>
      <c r="N28" s="129">
        <v>264.99734999999998</v>
      </c>
      <c r="O28" s="128">
        <v>0</v>
      </c>
      <c r="P28" s="231">
        <v>157.15</v>
      </c>
      <c r="Q28" s="227">
        <v>637.85</v>
      </c>
      <c r="R28" s="129">
        <v>493.78839540000001</v>
      </c>
      <c r="S28" s="130">
        <v>0</v>
      </c>
      <c r="T28" s="222">
        <v>301.38</v>
      </c>
      <c r="U28" s="217">
        <v>1180</v>
      </c>
      <c r="V28" s="127">
        <f>SUM(F28,J28,N28,R28)</f>
        <v>1762.4690418</v>
      </c>
      <c r="W28" s="130">
        <f>SUM(G28,K28,O28,S28)</f>
        <v>300.08</v>
      </c>
      <c r="X28" s="222">
        <f>SUM(H28,L28,P28,T28)</f>
        <v>3098.53</v>
      </c>
      <c r="Y28" s="217">
        <f>SUM(I28,M28,Q28,U28)</f>
        <v>1888.85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3345.9598734000001</v>
      </c>
      <c r="G29" s="147">
        <v>10000</v>
      </c>
      <c r="H29" s="234">
        <v>0</v>
      </c>
      <c r="I29" s="230">
        <v>37.979999999999997</v>
      </c>
      <c r="J29" s="136">
        <v>3608.7272457000004</v>
      </c>
      <c r="K29" s="147">
        <v>365.17</v>
      </c>
      <c r="L29" s="234">
        <v>386.83</v>
      </c>
      <c r="M29" s="230">
        <v>10074.290000000001</v>
      </c>
      <c r="N29" s="136">
        <v>109.99890000000001</v>
      </c>
      <c r="O29" s="147">
        <v>0</v>
      </c>
      <c r="P29" s="234">
        <v>0</v>
      </c>
      <c r="Q29" s="230">
        <v>330</v>
      </c>
      <c r="R29" s="136">
        <v>41.319586799999996</v>
      </c>
      <c r="S29" s="148">
        <v>0</v>
      </c>
      <c r="T29" s="226">
        <v>-350</v>
      </c>
      <c r="U29" s="221">
        <v>473.96</v>
      </c>
      <c r="V29" s="135">
        <f>SUM(F29,J29,N29,R29)</f>
        <v>7106.0056059000008</v>
      </c>
      <c r="W29" s="148">
        <f>SUM(G29,K29,O29,S29)</f>
        <v>10365.17</v>
      </c>
      <c r="X29" s="226">
        <f>SUM(H29,L29,P29,T29)</f>
        <v>36.829999999999984</v>
      </c>
      <c r="Y29" s="221">
        <f>SUM(I29,M29,Q29,U29)</f>
        <v>10916.23</v>
      </c>
    </row>
    <row r="30" spans="1:25" collapsed="1">
      <c r="A30" s="62" t="s">
        <v>151</v>
      </c>
      <c r="B30" s="78">
        <f t="shared" ref="B30:Y30" si="3">SUM(B23:B29)</f>
        <v>17227</v>
      </c>
      <c r="C30" s="91">
        <f t="shared" si="3"/>
        <v>27227</v>
      </c>
      <c r="D30" s="91">
        <f t="shared" si="3"/>
        <v>27227</v>
      </c>
      <c r="E30" s="91">
        <f t="shared" si="3"/>
        <v>27226</v>
      </c>
      <c r="F30" s="78">
        <f t="shared" si="3"/>
        <v>4347.0665288999999</v>
      </c>
      <c r="G30" s="91">
        <f t="shared" si="3"/>
        <v>11834</v>
      </c>
      <c r="H30" s="91">
        <f t="shared" si="3"/>
        <v>0</v>
      </c>
      <c r="I30" s="91">
        <f t="shared" si="3"/>
        <v>1207.33</v>
      </c>
      <c r="J30" s="78">
        <f t="shared" si="3"/>
        <v>10649.9401662</v>
      </c>
      <c r="K30" s="91">
        <f t="shared" si="3"/>
        <v>5402.9800000000005</v>
      </c>
      <c r="L30" s="91">
        <f t="shared" si="3"/>
        <v>10166.83</v>
      </c>
      <c r="M30" s="91">
        <f t="shared" si="3"/>
        <v>16380.330000000002</v>
      </c>
      <c r="N30" s="78">
        <f t="shared" si="3"/>
        <v>3176.9248971000002</v>
      </c>
      <c r="O30" s="91">
        <f t="shared" si="3"/>
        <v>972.45</v>
      </c>
      <c r="P30" s="91">
        <f t="shared" si="3"/>
        <v>2669.5499999999997</v>
      </c>
      <c r="Q30" s="91">
        <f t="shared" si="3"/>
        <v>5888.87</v>
      </c>
      <c r="R30" s="78">
        <f t="shared" si="3"/>
        <v>4465.2320138999994</v>
      </c>
      <c r="S30" s="150">
        <f t="shared" si="3"/>
        <v>5556.58</v>
      </c>
      <c r="T30" s="150">
        <f t="shared" si="3"/>
        <v>4460.41</v>
      </c>
      <c r="U30" s="150">
        <f t="shared" si="3"/>
        <v>3378.84</v>
      </c>
      <c r="V30" s="78">
        <f t="shared" si="3"/>
        <v>22639.163606099999</v>
      </c>
      <c r="W30" s="150">
        <f t="shared" si="3"/>
        <v>23766.010000000002</v>
      </c>
      <c r="X30" s="150">
        <f t="shared" si="3"/>
        <v>17296.79</v>
      </c>
      <c r="Y30" s="150">
        <f t="shared" si="3"/>
        <v>26855.37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920.19079799999997</v>
      </c>
      <c r="K33" s="147">
        <v>0</v>
      </c>
      <c r="L33" s="234">
        <v>0</v>
      </c>
      <c r="M33" s="230">
        <v>2760.6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920.19079799999997</v>
      </c>
      <c r="W33" s="148">
        <f>SUM(G33,K33,O33,S33)</f>
        <v>0</v>
      </c>
      <c r="X33" s="226">
        <f>SUM(H33,L33,P33,T33)</f>
        <v>0</v>
      </c>
      <c r="Y33" s="221">
        <f>SUM(I33,M33,Q33,U33)</f>
        <v>2760.6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920.19079799999997</v>
      </c>
      <c r="K34" s="91">
        <f t="shared" si="4"/>
        <v>0</v>
      </c>
      <c r="L34" s="91">
        <f t="shared" si="4"/>
        <v>0</v>
      </c>
      <c r="M34" s="91">
        <f t="shared" si="4"/>
        <v>2760.6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920.19079799999997</v>
      </c>
      <c r="W34" s="150">
        <f t="shared" si="4"/>
        <v>0</v>
      </c>
      <c r="X34" s="150">
        <f t="shared" si="4"/>
        <v>0</v>
      </c>
      <c r="Y34" s="150">
        <f t="shared" si="4"/>
        <v>2760.6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1216</v>
      </c>
      <c r="C40" s="128">
        <v>1713</v>
      </c>
      <c r="D40" s="231">
        <v>1644</v>
      </c>
      <c r="E40" s="227">
        <v>1645</v>
      </c>
      <c r="F40" s="129">
        <v>290.96375700000004</v>
      </c>
      <c r="G40" s="128">
        <v>799.98</v>
      </c>
      <c r="H40" s="231">
        <v>0</v>
      </c>
      <c r="I40" s="227">
        <v>72.92</v>
      </c>
      <c r="J40" s="129">
        <v>720.27613050000002</v>
      </c>
      <c r="K40" s="128">
        <v>365.24</v>
      </c>
      <c r="L40" s="231">
        <v>639.49</v>
      </c>
      <c r="M40" s="227">
        <v>1156.1199999999999</v>
      </c>
      <c r="N40" s="129">
        <v>196.4480355</v>
      </c>
      <c r="O40" s="128">
        <v>65.739999999999995</v>
      </c>
      <c r="P40" s="231">
        <v>167.92</v>
      </c>
      <c r="Q40" s="227">
        <v>355.69</v>
      </c>
      <c r="R40" s="129">
        <v>286.74713250000002</v>
      </c>
      <c r="S40" s="130">
        <v>375.62</v>
      </c>
      <c r="T40" s="222">
        <v>280.55</v>
      </c>
      <c r="U40" s="217">
        <v>204.08</v>
      </c>
      <c r="V40" s="127">
        <f>SUM(F40,J40,N40,R40)</f>
        <v>1494.4350555000001</v>
      </c>
      <c r="W40" s="130">
        <f>SUM(G40,K40,O40,S40)</f>
        <v>1606.58</v>
      </c>
      <c r="X40" s="222">
        <f>SUM(H40,L40,P40,T40)</f>
        <v>1087.96</v>
      </c>
      <c r="Y40" s="217">
        <f>SUM(I40,M40,Q40,U40)</f>
        <v>1788.81</v>
      </c>
    </row>
    <row r="41" spans="1:25" hidden="1" outlineLevel="1">
      <c r="A41" s="134" t="s">
        <v>161</v>
      </c>
      <c r="B41" s="135">
        <v>107</v>
      </c>
      <c r="C41" s="147">
        <v>139</v>
      </c>
      <c r="D41" s="234">
        <v>136</v>
      </c>
      <c r="E41" s="230">
        <v>136</v>
      </c>
      <c r="F41" s="136">
        <v>26.4697353</v>
      </c>
      <c r="G41" s="147">
        <v>73.37</v>
      </c>
      <c r="H41" s="234">
        <v>0</v>
      </c>
      <c r="I41" s="230">
        <v>6.04</v>
      </c>
      <c r="J41" s="136">
        <v>60.352729800000006</v>
      </c>
      <c r="K41" s="147">
        <v>33.5</v>
      </c>
      <c r="L41" s="234">
        <v>51.85</v>
      </c>
      <c r="M41" s="230">
        <v>95.71</v>
      </c>
      <c r="N41" s="136">
        <v>16.366503000000002</v>
      </c>
      <c r="O41" s="147">
        <v>6.03</v>
      </c>
      <c r="P41" s="234">
        <v>13.62</v>
      </c>
      <c r="Q41" s="230">
        <v>29.45</v>
      </c>
      <c r="R41" s="136">
        <v>24.6964197</v>
      </c>
      <c r="S41" s="148">
        <v>34.450000000000003</v>
      </c>
      <c r="T41" s="226">
        <v>22.75</v>
      </c>
      <c r="U41" s="221">
        <v>16.89</v>
      </c>
      <c r="V41" s="135">
        <f>SUM(F41,J41,N41,R41)</f>
        <v>127.88538780000002</v>
      </c>
      <c r="W41" s="148">
        <f>SUM(G41,K41,O41,S41)</f>
        <v>147.35000000000002</v>
      </c>
      <c r="X41" s="226">
        <f>SUM(H41,L41,P41,T41)</f>
        <v>88.22</v>
      </c>
      <c r="Y41" s="221">
        <f>SUM(I41,M41,Q41,U41)</f>
        <v>148.08999999999997</v>
      </c>
    </row>
    <row r="42" spans="1:25" collapsed="1">
      <c r="A42" s="62" t="s">
        <v>162</v>
      </c>
      <c r="B42" s="78">
        <f t="shared" ref="B42:Y42" si="5">SUM(B36:B41)</f>
        <v>1323</v>
      </c>
      <c r="C42" s="149">
        <f t="shared" si="5"/>
        <v>1852</v>
      </c>
      <c r="D42" s="149">
        <f t="shared" si="5"/>
        <v>1780</v>
      </c>
      <c r="E42" s="149">
        <f t="shared" si="5"/>
        <v>1781</v>
      </c>
      <c r="F42" s="151">
        <f t="shared" si="5"/>
        <v>317.43349230000007</v>
      </c>
      <c r="G42" s="149">
        <f t="shared" si="5"/>
        <v>873.35</v>
      </c>
      <c r="H42" s="149">
        <f t="shared" si="5"/>
        <v>0</v>
      </c>
      <c r="I42" s="149">
        <f t="shared" si="5"/>
        <v>78.960000000000008</v>
      </c>
      <c r="J42" s="151">
        <f t="shared" si="5"/>
        <v>780.62886030000004</v>
      </c>
      <c r="K42" s="149">
        <f t="shared" si="5"/>
        <v>398.74</v>
      </c>
      <c r="L42" s="149">
        <f t="shared" si="5"/>
        <v>691.34</v>
      </c>
      <c r="M42" s="149">
        <f t="shared" si="5"/>
        <v>1251.83</v>
      </c>
      <c r="N42" s="151">
        <f t="shared" si="5"/>
        <v>212.8145385</v>
      </c>
      <c r="O42" s="149">
        <f t="shared" si="5"/>
        <v>71.77</v>
      </c>
      <c r="P42" s="149">
        <f t="shared" si="5"/>
        <v>181.54</v>
      </c>
      <c r="Q42" s="149">
        <f t="shared" si="5"/>
        <v>385.14</v>
      </c>
      <c r="R42" s="151">
        <f t="shared" si="5"/>
        <v>311.4435522</v>
      </c>
      <c r="S42" s="152">
        <f t="shared" si="5"/>
        <v>410.07</v>
      </c>
      <c r="T42" s="152">
        <f t="shared" si="5"/>
        <v>303.3</v>
      </c>
      <c r="U42" s="152">
        <f t="shared" si="5"/>
        <v>220.97000000000003</v>
      </c>
      <c r="V42" s="78">
        <f t="shared" si="5"/>
        <v>1622.3204433000001</v>
      </c>
      <c r="W42" s="152">
        <f t="shared" si="5"/>
        <v>1753.9299999999998</v>
      </c>
      <c r="X42" s="152">
        <f t="shared" si="5"/>
        <v>1176.18</v>
      </c>
      <c r="Y42" s="152">
        <f t="shared" si="5"/>
        <v>1936.8999999999999</v>
      </c>
    </row>
    <row r="43" spans="1:25" ht="16.2" thickBot="1">
      <c r="A43" s="137" t="s">
        <v>163</v>
      </c>
      <c r="B43" s="138">
        <f>SUM(B21,B30,B34,B42)</f>
        <v>18550</v>
      </c>
      <c r="C43" s="139">
        <f t="shared" ref="C43:U43" si="6">SUM(C21,C30,C34,C42)</f>
        <v>29079</v>
      </c>
      <c r="D43" s="139">
        <f t="shared" si="6"/>
        <v>29007</v>
      </c>
      <c r="E43" s="139">
        <f t="shared" si="6"/>
        <v>29007</v>
      </c>
      <c r="F43" s="138">
        <f t="shared" si="6"/>
        <v>4664.5000211999995</v>
      </c>
      <c r="G43" s="139">
        <f t="shared" si="6"/>
        <v>12707.35</v>
      </c>
      <c r="H43" s="139">
        <f t="shared" si="6"/>
        <v>0</v>
      </c>
      <c r="I43" s="139">
        <f t="shared" si="6"/>
        <v>1286.29</v>
      </c>
      <c r="J43" s="138">
        <f t="shared" si="6"/>
        <v>12350.759824499999</v>
      </c>
      <c r="K43" s="139">
        <f t="shared" si="6"/>
        <v>5801.72</v>
      </c>
      <c r="L43" s="139">
        <f t="shared" si="6"/>
        <v>10858.17</v>
      </c>
      <c r="M43" s="139">
        <f t="shared" si="6"/>
        <v>20392.760000000002</v>
      </c>
      <c r="N43" s="138">
        <f t="shared" si="6"/>
        <v>3389.7394356</v>
      </c>
      <c r="O43" s="139">
        <f t="shared" si="6"/>
        <v>1044.22</v>
      </c>
      <c r="P43" s="139">
        <f t="shared" si="6"/>
        <v>2851.0899999999997</v>
      </c>
      <c r="Q43" s="139">
        <f t="shared" si="6"/>
        <v>6274.01</v>
      </c>
      <c r="R43" s="138">
        <f t="shared" si="6"/>
        <v>4776.6755660999997</v>
      </c>
      <c r="S43" s="138">
        <f t="shared" si="6"/>
        <v>5966.65</v>
      </c>
      <c r="T43" s="138">
        <f t="shared" si="6"/>
        <v>4763.71</v>
      </c>
      <c r="U43" s="138">
        <f t="shared" si="6"/>
        <v>3599.8100000000004</v>
      </c>
      <c r="V43" s="138">
        <f>SUM(V21,V30,V34,V42)</f>
        <v>25181.674847399998</v>
      </c>
      <c r="W43" s="138">
        <f t="shared" ref="W43:Y43" si="7">SUM(W21,W30,W34,W42)</f>
        <v>25519.940000000002</v>
      </c>
      <c r="X43" s="138">
        <f t="shared" si="7"/>
        <v>18472.97</v>
      </c>
      <c r="Y43" s="138">
        <f t="shared" si="7"/>
        <v>31552.87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5434.2256572000006</v>
      </c>
      <c r="S45" s="142">
        <v>4759.0600000000004</v>
      </c>
      <c r="T45" s="224">
        <v>10840.78</v>
      </c>
      <c r="U45" s="219">
        <v>703</v>
      </c>
      <c r="V45" s="141">
        <f>SUM(F45,J45,N45,R45)</f>
        <v>5434.2256572000006</v>
      </c>
      <c r="W45" s="142">
        <f>SUM(G45,K45,O45,S45)</f>
        <v>4759.0600000000004</v>
      </c>
      <c r="X45" s="224">
        <f>SUM(H45,L45,P45,T45)</f>
        <v>10840.78</v>
      </c>
      <c r="Y45" s="219">
        <f>SUM(I45,M45,Q45,U45)</f>
        <v>703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5434.2256572000006</v>
      </c>
      <c r="S47" s="150">
        <f t="shared" si="8"/>
        <v>4759.0600000000004</v>
      </c>
      <c r="T47" s="150">
        <f t="shared" si="8"/>
        <v>10840.78</v>
      </c>
      <c r="U47" s="150">
        <f t="shared" si="8"/>
        <v>703</v>
      </c>
      <c r="V47" s="153">
        <f t="shared" si="8"/>
        <v>5434.2256572000006</v>
      </c>
      <c r="W47" s="150">
        <f t="shared" si="8"/>
        <v>4759.0600000000004</v>
      </c>
      <c r="X47" s="150">
        <f t="shared" si="8"/>
        <v>10840.78</v>
      </c>
      <c r="Y47" s="150">
        <f t="shared" si="8"/>
        <v>703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-181.78484880000087</v>
      </c>
      <c r="G48" s="139">
        <f t="shared" si="9"/>
        <v>-1831.6499999999996</v>
      </c>
      <c r="H48" s="139">
        <f t="shared" si="9"/>
        <v>0</v>
      </c>
      <c r="I48" s="139">
        <f t="shared" si="9"/>
        <v>1286.29</v>
      </c>
      <c r="J48" s="138">
        <f t="shared" si="9"/>
        <v>6033.8229944999985</v>
      </c>
      <c r="K48" s="139">
        <f t="shared" si="9"/>
        <v>4601.72</v>
      </c>
      <c r="L48" s="139">
        <f t="shared" si="9"/>
        <v>-3644.83</v>
      </c>
      <c r="M48" s="139">
        <f t="shared" si="9"/>
        <v>17144.760000000002</v>
      </c>
      <c r="N48" s="138">
        <f t="shared" si="9"/>
        <v>-6393.7460618999994</v>
      </c>
      <c r="O48" s="139">
        <f t="shared" si="9"/>
        <v>-13495.78</v>
      </c>
      <c r="P48" s="139">
        <f t="shared" si="9"/>
        <v>-11959.66</v>
      </c>
      <c r="Q48" s="139">
        <f t="shared" si="9"/>
        <v>6274.01</v>
      </c>
      <c r="R48" s="138">
        <f t="shared" si="9"/>
        <v>541.7079162</v>
      </c>
      <c r="S48" s="138">
        <f t="shared" si="9"/>
        <v>10725.71</v>
      </c>
      <c r="T48" s="138">
        <f t="shared" si="9"/>
        <v>15604.490000000002</v>
      </c>
      <c r="U48" s="138">
        <f t="shared" si="9"/>
        <v>-24705.059999999998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64" priority="13" operator="lessThan">
      <formula>-0.01</formula>
    </cfRule>
  </conditionalFormatting>
  <conditionalFormatting sqref="Y15:Y21 Y23:Y30 Y32:Y34 Y36:Y43">
    <cfRule type="cellIs" dxfId="63" priority="12" operator="lessThan">
      <formula>-0.01</formula>
    </cfRule>
  </conditionalFormatting>
  <conditionalFormatting sqref="X15:X21 X23:X30 X32:X34 X36:X43">
    <cfRule type="cellIs" dxfId="62" priority="11" operator="lessThan">
      <formula>-0.01</formula>
    </cfRule>
  </conditionalFormatting>
  <conditionalFormatting sqref="U15:U21 U23:U30 U32:U34 U36:U43">
    <cfRule type="cellIs" dxfId="61" priority="10" operator="lessThan">
      <formula>-0.01</formula>
    </cfRule>
  </conditionalFormatting>
  <conditionalFormatting sqref="T15:T21 T23:T30 T32:T34 T36:T43">
    <cfRule type="cellIs" dxfId="60" priority="9" operator="lessThan">
      <formula>-0.01</formula>
    </cfRule>
  </conditionalFormatting>
  <conditionalFormatting sqref="Q15:Q21 Q23:Q30 Q32:Q34 Q36:Q43">
    <cfRule type="cellIs" dxfId="59" priority="8" operator="lessThan">
      <formula>-0.01</formula>
    </cfRule>
  </conditionalFormatting>
  <conditionalFormatting sqref="P15:P21 P23:P30 P32:P34 P36:P43">
    <cfRule type="cellIs" dxfId="58" priority="7" operator="lessThan">
      <formula>-0.01</formula>
    </cfRule>
  </conditionalFormatting>
  <conditionalFormatting sqref="M15:M21 M23:M30 M32:M34 M36:M43">
    <cfRule type="cellIs" dxfId="57" priority="6" operator="lessThan">
      <formula>-0.01</formula>
    </cfRule>
  </conditionalFormatting>
  <conditionalFormatting sqref="L15:L21 L23:L30 L32:L34 L36:L43">
    <cfRule type="cellIs" dxfId="56" priority="5" operator="lessThan">
      <formula>-0.01</formula>
    </cfRule>
  </conditionalFormatting>
  <conditionalFormatting sqref="I15:I21 I23:I30 I32:I34 I36:I43">
    <cfRule type="cellIs" dxfId="55" priority="4" operator="lessThan">
      <formula>-0.01</formula>
    </cfRule>
  </conditionalFormatting>
  <conditionalFormatting sqref="H15:H21 H23:H30 H32:H34 H36:H43">
    <cfRule type="cellIs" dxfId="54" priority="3" operator="lessThan">
      <formula>-0.01</formula>
    </cfRule>
  </conditionalFormatting>
  <conditionalFormatting sqref="E15:E21 E23:E30 E32:E34 E36:E43">
    <cfRule type="cellIs" dxfId="53" priority="2" operator="lessThan">
      <formula>-0.01</formula>
    </cfRule>
  </conditionalFormatting>
  <conditionalFormatting sqref="D15:D21 D23:D30 D32:D34 D36:D43">
    <cfRule type="cellIs" dxfId="52" priority="1" operator="lessThan">
      <formula>-0.01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016-E163-4E82-A186-0673D87848E2}">
  <sheetPr codeName="Sheet90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9.1093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744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-6965</v>
      </c>
      <c r="C8" s="128">
        <v>-3704</v>
      </c>
      <c r="D8" s="231">
        <v>-3694</v>
      </c>
      <c r="E8" s="227">
        <v>-3694</v>
      </c>
      <c r="F8" s="129">
        <v>-1848.6481800000001</v>
      </c>
      <c r="G8" s="128">
        <v>-1852</v>
      </c>
      <c r="H8" s="231">
        <v>-1847</v>
      </c>
      <c r="I8" s="227">
        <v>-1847</v>
      </c>
      <c r="J8" s="129">
        <v>0</v>
      </c>
      <c r="K8" s="128">
        <v>0</v>
      </c>
      <c r="L8" s="231">
        <v>0</v>
      </c>
      <c r="M8" s="227">
        <v>0</v>
      </c>
      <c r="N8" s="129">
        <v>-1848.6481800000001</v>
      </c>
      <c r="O8" s="128">
        <v>-1852</v>
      </c>
      <c r="P8" s="231">
        <v>-1847</v>
      </c>
      <c r="Q8" s="227">
        <v>-1847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-3697.2963600000003</v>
      </c>
      <c r="W8" s="130">
        <f>SUM(G8,K8,O8,S8)</f>
        <v>-3704</v>
      </c>
      <c r="X8" s="222">
        <f>SUM(H8,L8,P8,T8)</f>
        <v>-3694</v>
      </c>
      <c r="Y8" s="217">
        <f>SUM(I8,M8,Q8,U8)</f>
        <v>-3694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-1370.4662951999999</v>
      </c>
      <c r="S11" s="133">
        <v>0</v>
      </c>
      <c r="T11" s="223">
        <v>-866.88</v>
      </c>
      <c r="U11" s="218">
        <v>-3244.56</v>
      </c>
      <c r="V11" s="135">
        <f>SUM(F11,J11,N11,R11)</f>
        <v>-1370.4662951999999</v>
      </c>
      <c r="W11" s="133">
        <f>SUM(G11,K11,O11,S11)</f>
        <v>0</v>
      </c>
      <c r="X11" s="223">
        <f>SUM(H11,L11,P11,T11)</f>
        <v>-866.88</v>
      </c>
      <c r="Y11" s="218">
        <f>SUM(I11,M11,Q11,U11)</f>
        <v>-3244.56</v>
      </c>
    </row>
    <row r="12" spans="1:52" ht="16.2" collapsed="1" thickBot="1">
      <c r="A12" s="137" t="s">
        <v>134</v>
      </c>
      <c r="B12" s="138">
        <f>SUM(B8:B11)</f>
        <v>-6965</v>
      </c>
      <c r="C12" s="139">
        <f t="shared" ref="C12:U12" si="0">SUM(C8:C11)</f>
        <v>-3704</v>
      </c>
      <c r="D12" s="139">
        <f t="shared" si="0"/>
        <v>-3694</v>
      </c>
      <c r="E12" s="139">
        <f t="shared" si="0"/>
        <v>-3694</v>
      </c>
      <c r="F12" s="138">
        <f t="shared" si="0"/>
        <v>-1848.6481800000001</v>
      </c>
      <c r="G12" s="139">
        <f t="shared" si="0"/>
        <v>-1852</v>
      </c>
      <c r="H12" s="139">
        <f t="shared" si="0"/>
        <v>-1847</v>
      </c>
      <c r="I12" s="139">
        <f t="shared" si="0"/>
        <v>-1847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-1848.6481800000001</v>
      </c>
      <c r="O12" s="139">
        <f t="shared" si="0"/>
        <v>-1852</v>
      </c>
      <c r="P12" s="139">
        <f t="shared" si="0"/>
        <v>-1847</v>
      </c>
      <c r="Q12" s="139">
        <f t="shared" si="0"/>
        <v>-1847</v>
      </c>
      <c r="R12" s="138">
        <f t="shared" si="0"/>
        <v>-1370.4662951999999</v>
      </c>
      <c r="S12" s="138">
        <f t="shared" si="0"/>
        <v>0</v>
      </c>
      <c r="T12" s="138">
        <f t="shared" si="0"/>
        <v>-866.88</v>
      </c>
      <c r="U12" s="138">
        <f t="shared" si="0"/>
        <v>-3244.56</v>
      </c>
      <c r="V12" s="138">
        <f>SUM(V8:V11)</f>
        <v>-5067.7626552000002</v>
      </c>
      <c r="W12" s="138">
        <f t="shared" ref="W12:Y12" si="1">SUM(W8:W11)</f>
        <v>-3704</v>
      </c>
      <c r="X12" s="138">
        <f t="shared" si="1"/>
        <v>-4560.88</v>
      </c>
      <c r="Y12" s="138">
        <f t="shared" si="1"/>
        <v>-6938.5599999999995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6468</v>
      </c>
      <c r="C23" s="128">
        <v>3468</v>
      </c>
      <c r="D23" s="231">
        <v>3468</v>
      </c>
      <c r="E23" s="227">
        <v>3468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8.4265824000000009</v>
      </c>
      <c r="K26" s="128">
        <v>0</v>
      </c>
      <c r="L26" s="231">
        <v>25.28</v>
      </c>
      <c r="M26" s="227">
        <v>0</v>
      </c>
      <c r="N26" s="129">
        <v>28.363049700000001</v>
      </c>
      <c r="O26" s="128">
        <v>0</v>
      </c>
      <c r="P26" s="231">
        <v>0</v>
      </c>
      <c r="Q26" s="227">
        <v>85.09</v>
      </c>
      <c r="R26" s="129">
        <v>-22.936437300000001</v>
      </c>
      <c r="S26" s="130">
        <v>0</v>
      </c>
      <c r="T26" s="222">
        <v>0</v>
      </c>
      <c r="U26" s="217">
        <v>-68.81</v>
      </c>
      <c r="V26" s="127">
        <f>SUM(F26,J26,N26,R26)</f>
        <v>13.853194800000004</v>
      </c>
      <c r="W26" s="130">
        <f>SUM(G26,K26,O26,S26)</f>
        <v>0</v>
      </c>
      <c r="X26" s="222">
        <f>SUM(H26,L26,P26,T26)</f>
        <v>25.28</v>
      </c>
      <c r="Y26" s="217">
        <f>SUM(I26,M26,Q26,U26)</f>
        <v>16.28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10.416562500000001</v>
      </c>
      <c r="G28" s="128">
        <v>0</v>
      </c>
      <c r="H28" s="231">
        <v>31.25</v>
      </c>
      <c r="I28" s="227">
        <v>0</v>
      </c>
      <c r="J28" s="129">
        <v>497.99502000000001</v>
      </c>
      <c r="K28" s="128">
        <v>80</v>
      </c>
      <c r="L28" s="231">
        <v>1078</v>
      </c>
      <c r="M28" s="227">
        <v>336</v>
      </c>
      <c r="N28" s="129">
        <v>2007.7899219000001</v>
      </c>
      <c r="O28" s="128">
        <v>3357.5</v>
      </c>
      <c r="P28" s="231">
        <v>2635.93</v>
      </c>
      <c r="Q28" s="227">
        <v>30</v>
      </c>
      <c r="R28" s="129">
        <v>1795.8353748000002</v>
      </c>
      <c r="S28" s="130">
        <v>0</v>
      </c>
      <c r="T28" s="222">
        <v>180.04</v>
      </c>
      <c r="U28" s="217">
        <v>5207.5200000000004</v>
      </c>
      <c r="V28" s="127">
        <f>SUM(F28,J28,N28,R28)</f>
        <v>4312.0368791999999</v>
      </c>
      <c r="W28" s="130">
        <f>SUM(G28,K28,O28,S28)</f>
        <v>3437.5</v>
      </c>
      <c r="X28" s="222">
        <f>SUM(H28,L28,P28,T28)</f>
        <v>3925.22</v>
      </c>
      <c r="Y28" s="217">
        <f>SUM(I28,M28,Q28,U28)</f>
        <v>5573.52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106.65893340000001</v>
      </c>
      <c r="K29" s="147">
        <v>0</v>
      </c>
      <c r="L29" s="234">
        <v>319.98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307.60692390000003</v>
      </c>
      <c r="S29" s="148">
        <v>0</v>
      </c>
      <c r="T29" s="226">
        <v>0</v>
      </c>
      <c r="U29" s="221">
        <v>922.83</v>
      </c>
      <c r="V29" s="135">
        <f>SUM(F29,J29,N29,R29)</f>
        <v>414.26585730000005</v>
      </c>
      <c r="W29" s="148">
        <f>SUM(G29,K29,O29,S29)</f>
        <v>0</v>
      </c>
      <c r="X29" s="226">
        <f>SUM(H29,L29,P29,T29)</f>
        <v>319.98</v>
      </c>
      <c r="Y29" s="221">
        <f>SUM(I29,M29,Q29,U29)</f>
        <v>922.83</v>
      </c>
    </row>
    <row r="30" spans="1:25" collapsed="1">
      <c r="A30" s="62" t="s">
        <v>151</v>
      </c>
      <c r="B30" s="78">
        <f t="shared" ref="B30:Y30" si="3">SUM(B23:B29)</f>
        <v>6468</v>
      </c>
      <c r="C30" s="91">
        <f t="shared" si="3"/>
        <v>3468</v>
      </c>
      <c r="D30" s="91">
        <f t="shared" si="3"/>
        <v>3468</v>
      </c>
      <c r="E30" s="91">
        <f t="shared" si="3"/>
        <v>3468</v>
      </c>
      <c r="F30" s="78">
        <f t="shared" si="3"/>
        <v>10.416562500000001</v>
      </c>
      <c r="G30" s="91">
        <f t="shared" si="3"/>
        <v>0</v>
      </c>
      <c r="H30" s="91">
        <f t="shared" si="3"/>
        <v>31.25</v>
      </c>
      <c r="I30" s="91">
        <f t="shared" si="3"/>
        <v>0</v>
      </c>
      <c r="J30" s="78">
        <f t="shared" si="3"/>
        <v>613.08053580000001</v>
      </c>
      <c r="K30" s="91">
        <f t="shared" si="3"/>
        <v>80</v>
      </c>
      <c r="L30" s="91">
        <f t="shared" si="3"/>
        <v>1423.26</v>
      </c>
      <c r="M30" s="91">
        <f t="shared" si="3"/>
        <v>336</v>
      </c>
      <c r="N30" s="78">
        <f t="shared" si="3"/>
        <v>2036.1529716</v>
      </c>
      <c r="O30" s="91">
        <f t="shared" si="3"/>
        <v>3357.5</v>
      </c>
      <c r="P30" s="91">
        <f t="shared" si="3"/>
        <v>2635.93</v>
      </c>
      <c r="Q30" s="91">
        <f t="shared" si="3"/>
        <v>115.09</v>
      </c>
      <c r="R30" s="78">
        <f t="shared" si="3"/>
        <v>2080.5058614</v>
      </c>
      <c r="S30" s="150">
        <f t="shared" si="3"/>
        <v>0</v>
      </c>
      <c r="T30" s="150">
        <f t="shared" si="3"/>
        <v>180.04</v>
      </c>
      <c r="U30" s="150">
        <f t="shared" si="3"/>
        <v>6061.54</v>
      </c>
      <c r="V30" s="78">
        <f t="shared" si="3"/>
        <v>4740.1559312999998</v>
      </c>
      <c r="W30" s="150">
        <f t="shared" si="3"/>
        <v>3437.5</v>
      </c>
      <c r="X30" s="150">
        <f t="shared" si="3"/>
        <v>4270.4799999999996</v>
      </c>
      <c r="Y30" s="150">
        <f t="shared" si="3"/>
        <v>6512.63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457</v>
      </c>
      <c r="C40" s="128">
        <v>218</v>
      </c>
      <c r="D40" s="231">
        <v>209</v>
      </c>
      <c r="E40" s="227">
        <v>209</v>
      </c>
      <c r="F40" s="129">
        <v>0.65666009999999997</v>
      </c>
      <c r="G40" s="128">
        <v>0</v>
      </c>
      <c r="H40" s="231">
        <v>1.97</v>
      </c>
      <c r="I40" s="227">
        <v>0</v>
      </c>
      <c r="J40" s="129">
        <v>38.406282600000004</v>
      </c>
      <c r="K40" s="128">
        <v>5.41</v>
      </c>
      <c r="L40" s="231">
        <v>89.52</v>
      </c>
      <c r="M40" s="227">
        <v>20.29</v>
      </c>
      <c r="N40" s="129">
        <v>133.23866760000001</v>
      </c>
      <c r="O40" s="128">
        <v>226.97</v>
      </c>
      <c r="P40" s="231">
        <v>165.8</v>
      </c>
      <c r="Q40" s="227">
        <v>6.95</v>
      </c>
      <c r="R40" s="129">
        <v>125.81207520000001</v>
      </c>
      <c r="S40" s="130">
        <v>0</v>
      </c>
      <c r="T40" s="222">
        <v>11.33</v>
      </c>
      <c r="U40" s="217">
        <v>366.11</v>
      </c>
      <c r="V40" s="127">
        <f>SUM(F40,J40,N40,R40)</f>
        <v>298.11368550000003</v>
      </c>
      <c r="W40" s="130">
        <f>SUM(G40,K40,O40,S40)</f>
        <v>232.38</v>
      </c>
      <c r="X40" s="222">
        <f>SUM(H40,L40,P40,T40)</f>
        <v>268.62</v>
      </c>
      <c r="Y40" s="217">
        <f>SUM(I40,M40,Q40,U40)</f>
        <v>393.35</v>
      </c>
    </row>
    <row r="41" spans="1:25" hidden="1" outlineLevel="1">
      <c r="A41" s="134" t="s">
        <v>161</v>
      </c>
      <c r="B41" s="135">
        <v>40</v>
      </c>
      <c r="C41" s="147">
        <v>18</v>
      </c>
      <c r="D41" s="234">
        <v>17</v>
      </c>
      <c r="E41" s="230">
        <v>17</v>
      </c>
      <c r="F41" s="136">
        <v>5.3332800000000007E-2</v>
      </c>
      <c r="G41" s="147">
        <v>0</v>
      </c>
      <c r="H41" s="234">
        <v>0.16</v>
      </c>
      <c r="I41" s="230">
        <v>0</v>
      </c>
      <c r="J41" s="136">
        <v>3.1499684999999999</v>
      </c>
      <c r="K41" s="147">
        <v>0.5</v>
      </c>
      <c r="L41" s="234">
        <v>7.26</v>
      </c>
      <c r="M41" s="230">
        <v>1.69</v>
      </c>
      <c r="N41" s="136">
        <v>11.613217199999999</v>
      </c>
      <c r="O41" s="147">
        <v>20.82</v>
      </c>
      <c r="P41" s="234">
        <v>13.44</v>
      </c>
      <c r="Q41" s="230">
        <v>0.57999999999999996</v>
      </c>
      <c r="R41" s="136">
        <v>10.4098959</v>
      </c>
      <c r="S41" s="148">
        <v>0</v>
      </c>
      <c r="T41" s="226">
        <v>0.92</v>
      </c>
      <c r="U41" s="221">
        <v>30.31</v>
      </c>
      <c r="V41" s="135">
        <f>SUM(F41,J41,N41,R41)</f>
        <v>25.226414399999999</v>
      </c>
      <c r="W41" s="148">
        <f>SUM(G41,K41,O41,S41)</f>
        <v>21.32</v>
      </c>
      <c r="X41" s="226">
        <f>SUM(H41,L41,P41,T41)</f>
        <v>21.78</v>
      </c>
      <c r="Y41" s="221">
        <f>SUM(I41,M41,Q41,U41)</f>
        <v>32.58</v>
      </c>
    </row>
    <row r="42" spans="1:25" collapsed="1">
      <c r="A42" s="62" t="s">
        <v>162</v>
      </c>
      <c r="B42" s="78">
        <f t="shared" ref="B42:Y42" si="5">SUM(B36:B41)</f>
        <v>497</v>
      </c>
      <c r="C42" s="149">
        <f t="shared" si="5"/>
        <v>236</v>
      </c>
      <c r="D42" s="149">
        <f t="shared" si="5"/>
        <v>226</v>
      </c>
      <c r="E42" s="149">
        <f t="shared" si="5"/>
        <v>226</v>
      </c>
      <c r="F42" s="151">
        <f t="shared" si="5"/>
        <v>0.70999289999999993</v>
      </c>
      <c r="G42" s="149">
        <f t="shared" si="5"/>
        <v>0</v>
      </c>
      <c r="H42" s="149">
        <f t="shared" si="5"/>
        <v>2.13</v>
      </c>
      <c r="I42" s="149">
        <f t="shared" si="5"/>
        <v>0</v>
      </c>
      <c r="J42" s="151">
        <f t="shared" si="5"/>
        <v>41.556251100000004</v>
      </c>
      <c r="K42" s="149">
        <f t="shared" si="5"/>
        <v>5.91</v>
      </c>
      <c r="L42" s="149">
        <f t="shared" si="5"/>
        <v>96.78</v>
      </c>
      <c r="M42" s="149">
        <f t="shared" si="5"/>
        <v>21.98</v>
      </c>
      <c r="N42" s="151">
        <f t="shared" si="5"/>
        <v>144.85188480000002</v>
      </c>
      <c r="O42" s="149">
        <f t="shared" si="5"/>
        <v>247.79</v>
      </c>
      <c r="P42" s="149">
        <f t="shared" si="5"/>
        <v>179.24</v>
      </c>
      <c r="Q42" s="149">
        <f t="shared" si="5"/>
        <v>7.53</v>
      </c>
      <c r="R42" s="151">
        <f t="shared" si="5"/>
        <v>136.22197110000002</v>
      </c>
      <c r="S42" s="152">
        <f t="shared" si="5"/>
        <v>0</v>
      </c>
      <c r="T42" s="152">
        <f t="shared" si="5"/>
        <v>12.25</v>
      </c>
      <c r="U42" s="152">
        <f t="shared" si="5"/>
        <v>396.42</v>
      </c>
      <c r="V42" s="78">
        <f t="shared" si="5"/>
        <v>323.34009990000004</v>
      </c>
      <c r="W42" s="152">
        <f t="shared" si="5"/>
        <v>253.7</v>
      </c>
      <c r="X42" s="152">
        <f t="shared" si="5"/>
        <v>290.39999999999998</v>
      </c>
      <c r="Y42" s="152">
        <f t="shared" si="5"/>
        <v>425.93</v>
      </c>
    </row>
    <row r="43" spans="1:25" ht="16.2" thickBot="1">
      <c r="A43" s="137" t="s">
        <v>163</v>
      </c>
      <c r="B43" s="138">
        <f>SUM(B21,B30,B34,B42)</f>
        <v>6965</v>
      </c>
      <c r="C43" s="139">
        <f t="shared" ref="C43:U43" si="6">SUM(C21,C30,C34,C42)</f>
        <v>3704</v>
      </c>
      <c r="D43" s="139">
        <f t="shared" si="6"/>
        <v>3694</v>
      </c>
      <c r="E43" s="139">
        <f t="shared" si="6"/>
        <v>3694</v>
      </c>
      <c r="F43" s="138">
        <f t="shared" si="6"/>
        <v>11.126555400000001</v>
      </c>
      <c r="G43" s="139">
        <f t="shared" si="6"/>
        <v>0</v>
      </c>
      <c r="H43" s="139">
        <f t="shared" si="6"/>
        <v>33.380000000000003</v>
      </c>
      <c r="I43" s="139">
        <f t="shared" si="6"/>
        <v>0</v>
      </c>
      <c r="J43" s="138">
        <f t="shared" si="6"/>
        <v>654.63678690000006</v>
      </c>
      <c r="K43" s="139">
        <f t="shared" si="6"/>
        <v>85.91</v>
      </c>
      <c r="L43" s="139">
        <f t="shared" si="6"/>
        <v>1520.04</v>
      </c>
      <c r="M43" s="139">
        <f t="shared" si="6"/>
        <v>357.98</v>
      </c>
      <c r="N43" s="138">
        <f t="shared" si="6"/>
        <v>2181.0048563999999</v>
      </c>
      <c r="O43" s="139">
        <f t="shared" si="6"/>
        <v>3605.29</v>
      </c>
      <c r="P43" s="139">
        <f t="shared" si="6"/>
        <v>2815.17</v>
      </c>
      <c r="Q43" s="139">
        <f t="shared" si="6"/>
        <v>122.62</v>
      </c>
      <c r="R43" s="138">
        <f t="shared" si="6"/>
        <v>2216.7278324999997</v>
      </c>
      <c r="S43" s="138">
        <f t="shared" si="6"/>
        <v>0</v>
      </c>
      <c r="T43" s="138">
        <f t="shared" si="6"/>
        <v>192.29</v>
      </c>
      <c r="U43" s="138">
        <f t="shared" si="6"/>
        <v>6457.96</v>
      </c>
      <c r="V43" s="138">
        <f>SUM(V21,V30,V34,V42)</f>
        <v>5063.4960312000003</v>
      </c>
      <c r="W43" s="138">
        <f t="shared" ref="W43:Y43" si="7">SUM(W21,W30,W34,W42)</f>
        <v>3691.2</v>
      </c>
      <c r="X43" s="138">
        <f t="shared" si="7"/>
        <v>4560.8799999999992</v>
      </c>
      <c r="Y43" s="138">
        <f t="shared" si="7"/>
        <v>6938.56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4.2666240000000002</v>
      </c>
      <c r="S45" s="142">
        <v>12.8</v>
      </c>
      <c r="T45" s="224">
        <v>0</v>
      </c>
      <c r="U45" s="219">
        <v>0</v>
      </c>
      <c r="V45" s="141">
        <f>SUM(F45,J45,N45,R45)</f>
        <v>4.2666240000000002</v>
      </c>
      <c r="W45" s="142">
        <f>SUM(G45,K45,O45,S45)</f>
        <v>12.8</v>
      </c>
      <c r="X45" s="224">
        <f>SUM(H45,L45,P45,T45)</f>
        <v>0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4.2666240000000002</v>
      </c>
      <c r="S47" s="150">
        <f t="shared" si="8"/>
        <v>12.8</v>
      </c>
      <c r="T47" s="150">
        <f t="shared" si="8"/>
        <v>0</v>
      </c>
      <c r="U47" s="150">
        <f t="shared" si="8"/>
        <v>0</v>
      </c>
      <c r="V47" s="153">
        <f t="shared" si="8"/>
        <v>4.2666240000000002</v>
      </c>
      <c r="W47" s="150">
        <f t="shared" si="8"/>
        <v>12.8</v>
      </c>
      <c r="X47" s="150">
        <f t="shared" si="8"/>
        <v>0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-1837.5216246000002</v>
      </c>
      <c r="G48" s="139">
        <f t="shared" si="9"/>
        <v>-1852</v>
      </c>
      <c r="H48" s="139">
        <f t="shared" si="9"/>
        <v>-1813.62</v>
      </c>
      <c r="I48" s="139">
        <f t="shared" si="9"/>
        <v>-1847</v>
      </c>
      <c r="J48" s="138">
        <f t="shared" si="9"/>
        <v>654.63678690000006</v>
      </c>
      <c r="K48" s="139">
        <f t="shared" si="9"/>
        <v>85.91</v>
      </c>
      <c r="L48" s="139">
        <f t="shared" si="9"/>
        <v>1520.04</v>
      </c>
      <c r="M48" s="139">
        <f t="shared" si="9"/>
        <v>357.98</v>
      </c>
      <c r="N48" s="138">
        <f t="shared" si="9"/>
        <v>332.35667639999974</v>
      </c>
      <c r="O48" s="139">
        <f t="shared" si="9"/>
        <v>1753.29</v>
      </c>
      <c r="P48" s="139">
        <f t="shared" si="9"/>
        <v>968.17000000000007</v>
      </c>
      <c r="Q48" s="139">
        <f t="shared" si="9"/>
        <v>-1724.38</v>
      </c>
      <c r="R48" s="138">
        <f t="shared" si="9"/>
        <v>850.52816129999985</v>
      </c>
      <c r="S48" s="138">
        <f t="shared" si="9"/>
        <v>12.8</v>
      </c>
      <c r="T48" s="138">
        <f t="shared" si="9"/>
        <v>-674.59</v>
      </c>
      <c r="U48" s="138">
        <f t="shared" si="9"/>
        <v>3213.4</v>
      </c>
      <c r="V48" s="138">
        <f>SUM(V12,V43,V47)</f>
        <v>1.3500311979441904E-13</v>
      </c>
      <c r="W48" s="138">
        <f t="shared" ref="W48:Y48" si="10">SUM(W12,W43,W47)</f>
        <v>-1.8118839761882555E-13</v>
      </c>
      <c r="X48" s="138">
        <f t="shared" si="10"/>
        <v>-9.0949470177292824E-13</v>
      </c>
      <c r="Y48" s="138">
        <f t="shared" si="10"/>
        <v>9.0949470177292824E-13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51" priority="13" operator="lessThan">
      <formula>-0.01</formula>
    </cfRule>
  </conditionalFormatting>
  <conditionalFormatting sqref="Y15:Y21 Y23:Y30 Y32:Y34 Y36:Y43">
    <cfRule type="cellIs" dxfId="50" priority="12" operator="lessThan">
      <formula>-0.01</formula>
    </cfRule>
  </conditionalFormatting>
  <conditionalFormatting sqref="X15:X21 X23:X30 X32:X34 X36:X43">
    <cfRule type="cellIs" dxfId="49" priority="11" operator="lessThan">
      <formula>-0.01</formula>
    </cfRule>
  </conditionalFormatting>
  <conditionalFormatting sqref="U15:U21 U23:U30 U32:U34 U36:U43">
    <cfRule type="cellIs" dxfId="48" priority="10" operator="lessThan">
      <formula>-0.01</formula>
    </cfRule>
  </conditionalFormatting>
  <conditionalFormatting sqref="T15:T21 T23:T30 T32:T34 T36:T43">
    <cfRule type="cellIs" dxfId="47" priority="9" operator="lessThan">
      <formula>-0.01</formula>
    </cfRule>
  </conditionalFormatting>
  <conditionalFormatting sqref="Q15:Q21 Q23:Q30 Q32:Q34 Q36:Q43">
    <cfRule type="cellIs" dxfId="46" priority="8" operator="lessThan">
      <formula>-0.01</formula>
    </cfRule>
  </conditionalFormatting>
  <conditionalFormatting sqref="P15:P21 P23:P30 P32:P34 P36:P43">
    <cfRule type="cellIs" dxfId="45" priority="7" operator="lessThan">
      <formula>-0.01</formula>
    </cfRule>
  </conditionalFormatting>
  <conditionalFormatting sqref="M15:M21 M23:M30 M32:M34 M36:M43">
    <cfRule type="cellIs" dxfId="44" priority="6" operator="lessThan">
      <formula>-0.01</formula>
    </cfRule>
  </conditionalFormatting>
  <conditionalFormatting sqref="L15:L21 L23:L30 L32:L34 L36:L43">
    <cfRule type="cellIs" dxfId="43" priority="5" operator="lessThan">
      <formula>-0.01</formula>
    </cfRule>
  </conditionalFormatting>
  <conditionalFormatting sqref="I15:I21 I23:I30 I32:I34 I36:I43">
    <cfRule type="cellIs" dxfId="42" priority="4" operator="lessThan">
      <formula>-0.01</formula>
    </cfRule>
  </conditionalFormatting>
  <conditionalFormatting sqref="H15:H21 H23:H30 H32:H34 H36:H43">
    <cfRule type="cellIs" dxfId="41" priority="3" operator="lessThan">
      <formula>-0.01</formula>
    </cfRule>
  </conditionalFormatting>
  <conditionalFormatting sqref="E15:E21 E23:E30 E32:E34 E36:E43">
    <cfRule type="cellIs" dxfId="40" priority="2" operator="lessThan">
      <formula>-0.01</formula>
    </cfRule>
  </conditionalFormatting>
  <conditionalFormatting sqref="D15:D21 D23:D30 D32:D34 D36:D43">
    <cfRule type="cellIs" dxfId="39" priority="1" operator="lessThan">
      <formula>-0.01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557A-10CF-456A-9750-4FA3B31B5F85}">
  <sheetPr codeName="Sheet91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0.2187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746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-36700</v>
      </c>
      <c r="C8" s="128">
        <v>-26700</v>
      </c>
      <c r="D8" s="231">
        <v>-26635</v>
      </c>
      <c r="E8" s="227">
        <v>-26635</v>
      </c>
      <c r="F8" s="129">
        <v>-13101.532316700001</v>
      </c>
      <c r="G8" s="128">
        <v>-13350</v>
      </c>
      <c r="H8" s="231">
        <v>-13317</v>
      </c>
      <c r="I8" s="227">
        <v>-12637.99</v>
      </c>
      <c r="J8" s="129">
        <v>3272.7606053999998</v>
      </c>
      <c r="K8" s="128">
        <v>0</v>
      </c>
      <c r="L8" s="231">
        <v>0</v>
      </c>
      <c r="M8" s="227">
        <v>9818.3799999999992</v>
      </c>
      <c r="N8" s="129">
        <v>-7711.6128831000005</v>
      </c>
      <c r="O8" s="128">
        <v>-13350</v>
      </c>
      <c r="P8" s="231">
        <v>-13318</v>
      </c>
      <c r="Q8" s="227">
        <v>3532.93</v>
      </c>
      <c r="R8" s="129">
        <v>523.3014336</v>
      </c>
      <c r="S8" s="130">
        <v>0</v>
      </c>
      <c r="T8" s="222">
        <v>0</v>
      </c>
      <c r="U8" s="217">
        <v>1569.92</v>
      </c>
      <c r="V8" s="127">
        <f>SUM(F8,J8,N8,R8)</f>
        <v>-17017.083160799997</v>
      </c>
      <c r="W8" s="130">
        <f>SUM(G8,K8,O8,S8)</f>
        <v>-26700</v>
      </c>
      <c r="X8" s="222">
        <f>SUM(H8,L8,P8,T8)</f>
        <v>-26635</v>
      </c>
      <c r="Y8" s="217">
        <f>SUM(I8,M8,Q8,U8)</f>
        <v>2283.2399999999993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-531.87801450000006</v>
      </c>
      <c r="K11" s="132">
        <v>-1127.49</v>
      </c>
      <c r="L11" s="232">
        <v>-468.16</v>
      </c>
      <c r="M11" s="228">
        <v>0</v>
      </c>
      <c r="N11" s="136">
        <v>-9050.166164100001</v>
      </c>
      <c r="O11" s="132">
        <v>-27150.77</v>
      </c>
      <c r="P11" s="232">
        <v>0</v>
      </c>
      <c r="Q11" s="228">
        <v>0</v>
      </c>
      <c r="R11" s="136">
        <v>-15576.687564899999</v>
      </c>
      <c r="S11" s="133">
        <v>-5823.04</v>
      </c>
      <c r="T11" s="223">
        <v>-6750.82</v>
      </c>
      <c r="U11" s="218">
        <v>-34156.67</v>
      </c>
      <c r="V11" s="135">
        <f>SUM(F11,J11,N11,R11)</f>
        <v>-25158.7317435</v>
      </c>
      <c r="W11" s="133">
        <f>SUM(G11,K11,O11,S11)</f>
        <v>-34101.300000000003</v>
      </c>
      <c r="X11" s="223">
        <f>SUM(H11,L11,P11,T11)</f>
        <v>-7218.98</v>
      </c>
      <c r="Y11" s="218">
        <f>SUM(I11,M11,Q11,U11)</f>
        <v>-34156.67</v>
      </c>
    </row>
    <row r="12" spans="1:52" ht="16.2" collapsed="1" thickBot="1">
      <c r="A12" s="137" t="s">
        <v>134</v>
      </c>
      <c r="B12" s="138">
        <f>SUM(B8:B11)</f>
        <v>-36700</v>
      </c>
      <c r="C12" s="139">
        <f t="shared" ref="C12:U12" si="0">SUM(C8:C11)</f>
        <v>-26700</v>
      </c>
      <c r="D12" s="139">
        <f t="shared" si="0"/>
        <v>-26635</v>
      </c>
      <c r="E12" s="139">
        <f t="shared" si="0"/>
        <v>-26635</v>
      </c>
      <c r="F12" s="138">
        <f t="shared" si="0"/>
        <v>-13101.532316700001</v>
      </c>
      <c r="G12" s="139">
        <f t="shared" si="0"/>
        <v>-13350</v>
      </c>
      <c r="H12" s="139">
        <f t="shared" si="0"/>
        <v>-13317</v>
      </c>
      <c r="I12" s="139">
        <f t="shared" si="0"/>
        <v>-12637.99</v>
      </c>
      <c r="J12" s="138">
        <f t="shared" si="0"/>
        <v>2740.8825908999997</v>
      </c>
      <c r="K12" s="139">
        <f t="shared" si="0"/>
        <v>-1127.49</v>
      </c>
      <c r="L12" s="139">
        <f t="shared" si="0"/>
        <v>-468.16</v>
      </c>
      <c r="M12" s="139">
        <f t="shared" si="0"/>
        <v>9818.3799999999992</v>
      </c>
      <c r="N12" s="138">
        <f t="shared" si="0"/>
        <v>-16761.779047200002</v>
      </c>
      <c r="O12" s="139">
        <f t="shared" si="0"/>
        <v>-40500.770000000004</v>
      </c>
      <c r="P12" s="139">
        <f t="shared" si="0"/>
        <v>-13318</v>
      </c>
      <c r="Q12" s="139">
        <f t="shared" si="0"/>
        <v>3532.93</v>
      </c>
      <c r="R12" s="138">
        <f t="shared" si="0"/>
        <v>-15053.3861313</v>
      </c>
      <c r="S12" s="138">
        <f t="shared" si="0"/>
        <v>-5823.04</v>
      </c>
      <c r="T12" s="138">
        <f t="shared" si="0"/>
        <v>-6750.82</v>
      </c>
      <c r="U12" s="138">
        <f t="shared" si="0"/>
        <v>-32586.75</v>
      </c>
      <c r="V12" s="138">
        <f>SUM(V8:V11)</f>
        <v>-42175.814904300001</v>
      </c>
      <c r="W12" s="138">
        <f t="shared" ref="W12:Y12" si="1">SUM(W8:W11)</f>
        <v>-60801.3</v>
      </c>
      <c r="X12" s="138">
        <f t="shared" si="1"/>
        <v>-33853.979999999996</v>
      </c>
      <c r="Y12" s="138">
        <f t="shared" si="1"/>
        <v>-31873.43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25000</v>
      </c>
      <c r="E23" s="227">
        <v>25000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105.99894</v>
      </c>
      <c r="S26" s="130">
        <v>0</v>
      </c>
      <c r="T26" s="222">
        <v>0</v>
      </c>
      <c r="U26" s="217">
        <v>318</v>
      </c>
      <c r="V26" s="127">
        <f>SUM(F26,J26,N26,R26)</f>
        <v>105.99894</v>
      </c>
      <c r="W26" s="130">
        <f>SUM(G26,K26,O26,S26)</f>
        <v>0</v>
      </c>
      <c r="X26" s="222">
        <f>SUM(H26,L26,P26,T26)</f>
        <v>0</v>
      </c>
      <c r="Y26" s="217">
        <f>SUM(I26,M26,Q26,U26)</f>
        <v>318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25000</v>
      </c>
      <c r="E30" s="91">
        <f t="shared" si="3"/>
        <v>25000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105.99894</v>
      </c>
      <c r="S30" s="150">
        <f t="shared" si="3"/>
        <v>0</v>
      </c>
      <c r="T30" s="150">
        <f t="shared" si="3"/>
        <v>0</v>
      </c>
      <c r="U30" s="150">
        <f t="shared" si="3"/>
        <v>318</v>
      </c>
      <c r="V30" s="78">
        <f t="shared" si="3"/>
        <v>105.99894</v>
      </c>
      <c r="W30" s="150">
        <f t="shared" si="3"/>
        <v>0</v>
      </c>
      <c r="X30" s="150">
        <f t="shared" si="3"/>
        <v>0</v>
      </c>
      <c r="Y30" s="150">
        <f t="shared" si="3"/>
        <v>318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1510</v>
      </c>
      <c r="E40" s="227">
        <v>1510</v>
      </c>
      <c r="F40" s="129">
        <v>0</v>
      </c>
      <c r="G40" s="128">
        <v>0</v>
      </c>
      <c r="H40" s="231">
        <v>0</v>
      </c>
      <c r="I40" s="227">
        <v>0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6.4032693000000007</v>
      </c>
      <c r="S40" s="130">
        <v>0</v>
      </c>
      <c r="T40" s="222">
        <v>0</v>
      </c>
      <c r="U40" s="217">
        <v>19.21</v>
      </c>
      <c r="V40" s="127">
        <f>SUM(F40,J40,N40,R40)</f>
        <v>6.4032693000000007</v>
      </c>
      <c r="W40" s="130">
        <f>SUM(G40,K40,O40,S40)</f>
        <v>0</v>
      </c>
      <c r="X40" s="222">
        <f>SUM(H40,L40,P40,T40)</f>
        <v>0</v>
      </c>
      <c r="Y40" s="217">
        <f>SUM(I40,M40,Q40,U40)</f>
        <v>19.21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125</v>
      </c>
      <c r="E41" s="230">
        <v>125</v>
      </c>
      <c r="F41" s="136">
        <v>0</v>
      </c>
      <c r="G41" s="147">
        <v>0</v>
      </c>
      <c r="H41" s="234">
        <v>0</v>
      </c>
      <c r="I41" s="230">
        <v>0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0.52999470000000004</v>
      </c>
      <c r="S41" s="148">
        <v>0</v>
      </c>
      <c r="T41" s="226">
        <v>0</v>
      </c>
      <c r="U41" s="221">
        <v>1.59</v>
      </c>
      <c r="V41" s="135">
        <f>SUM(F41,J41,N41,R41)</f>
        <v>0.52999470000000004</v>
      </c>
      <c r="W41" s="148">
        <f>SUM(G41,K41,O41,S41)</f>
        <v>0</v>
      </c>
      <c r="X41" s="226">
        <f>SUM(H41,L41,P41,T41)</f>
        <v>0</v>
      </c>
      <c r="Y41" s="221">
        <f>SUM(I41,M41,Q41,U41)</f>
        <v>1.59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1635</v>
      </c>
      <c r="E42" s="149">
        <f t="shared" si="5"/>
        <v>1635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6.9332640000000012</v>
      </c>
      <c r="S42" s="152">
        <f t="shared" si="5"/>
        <v>0</v>
      </c>
      <c r="T42" s="152">
        <f t="shared" si="5"/>
        <v>0</v>
      </c>
      <c r="U42" s="152">
        <f t="shared" si="5"/>
        <v>20.8</v>
      </c>
      <c r="V42" s="78">
        <f t="shared" si="5"/>
        <v>6.9332640000000012</v>
      </c>
      <c r="W42" s="152">
        <f t="shared" si="5"/>
        <v>0</v>
      </c>
      <c r="X42" s="152">
        <f t="shared" si="5"/>
        <v>0</v>
      </c>
      <c r="Y42" s="152">
        <f t="shared" si="5"/>
        <v>20.8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26635</v>
      </c>
      <c r="E43" s="139">
        <f t="shared" si="6"/>
        <v>26635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112.93220400000001</v>
      </c>
      <c r="S43" s="138">
        <f t="shared" si="6"/>
        <v>0</v>
      </c>
      <c r="T43" s="138">
        <f t="shared" si="6"/>
        <v>0</v>
      </c>
      <c r="U43" s="138">
        <f t="shared" si="6"/>
        <v>338.8</v>
      </c>
      <c r="V43" s="138">
        <f>SUM(V21,V30,V34,V42)</f>
        <v>112.93220400000001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338.8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36700</v>
      </c>
      <c r="C45" s="128">
        <v>26700</v>
      </c>
      <c r="D45" s="231">
        <v>0</v>
      </c>
      <c r="E45" s="227">
        <v>0</v>
      </c>
      <c r="F45" s="129">
        <v>3208.4145822</v>
      </c>
      <c r="G45" s="128">
        <v>9625.34</v>
      </c>
      <c r="H45" s="231">
        <v>0</v>
      </c>
      <c r="I45" s="227">
        <v>0</v>
      </c>
      <c r="J45" s="129">
        <v>10138.008618900001</v>
      </c>
      <c r="K45" s="128">
        <v>19643.23</v>
      </c>
      <c r="L45" s="231">
        <v>10771.1</v>
      </c>
      <c r="M45" s="227">
        <v>0</v>
      </c>
      <c r="N45" s="129">
        <v>9269.9806325999998</v>
      </c>
      <c r="O45" s="128">
        <v>14911.99</v>
      </c>
      <c r="P45" s="231">
        <v>12898.23</v>
      </c>
      <c r="Q45" s="227">
        <v>0</v>
      </c>
      <c r="R45" s="129">
        <v>19446.478866600002</v>
      </c>
      <c r="S45" s="142">
        <v>16620.740000000002</v>
      </c>
      <c r="T45" s="224">
        <v>41719.279999999999</v>
      </c>
      <c r="U45" s="219">
        <v>0</v>
      </c>
      <c r="V45" s="141">
        <f>SUM(F45,J45,N45,R45)</f>
        <v>42062.882700300004</v>
      </c>
      <c r="W45" s="142">
        <f>SUM(G45,K45,O45,S45)</f>
        <v>60801.3</v>
      </c>
      <c r="X45" s="224">
        <f>SUM(H45,L45,P45,T45)</f>
        <v>65388.61</v>
      </c>
      <c r="Y45" s="219">
        <f>SUM(I45,M45,Q45,U45)</f>
        <v>0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36700</v>
      </c>
      <c r="C47" s="91">
        <f t="shared" si="8"/>
        <v>26700</v>
      </c>
      <c r="D47" s="91">
        <f t="shared" si="8"/>
        <v>0</v>
      </c>
      <c r="E47" s="91">
        <f t="shared" si="8"/>
        <v>0</v>
      </c>
      <c r="F47" s="78">
        <f t="shared" si="8"/>
        <v>3208.4145822</v>
      </c>
      <c r="G47" s="91">
        <f t="shared" si="8"/>
        <v>9625.34</v>
      </c>
      <c r="H47" s="91">
        <f t="shared" si="8"/>
        <v>0</v>
      </c>
      <c r="I47" s="91">
        <f t="shared" si="8"/>
        <v>0</v>
      </c>
      <c r="J47" s="78">
        <f t="shared" si="8"/>
        <v>10138.008618900001</v>
      </c>
      <c r="K47" s="91">
        <f t="shared" si="8"/>
        <v>19643.23</v>
      </c>
      <c r="L47" s="91">
        <f t="shared" si="8"/>
        <v>10771.1</v>
      </c>
      <c r="M47" s="91">
        <f t="shared" si="8"/>
        <v>0</v>
      </c>
      <c r="N47" s="78">
        <f t="shared" si="8"/>
        <v>9269.9806325999998</v>
      </c>
      <c r="O47" s="91">
        <f t="shared" si="8"/>
        <v>14911.99</v>
      </c>
      <c r="P47" s="91">
        <f t="shared" si="8"/>
        <v>12898.23</v>
      </c>
      <c r="Q47" s="91">
        <f t="shared" si="8"/>
        <v>0</v>
      </c>
      <c r="R47" s="78">
        <f t="shared" si="8"/>
        <v>19446.478866600002</v>
      </c>
      <c r="S47" s="150">
        <f t="shared" si="8"/>
        <v>16620.740000000002</v>
      </c>
      <c r="T47" s="150">
        <f t="shared" si="8"/>
        <v>41719.279999999999</v>
      </c>
      <c r="U47" s="150">
        <f t="shared" si="8"/>
        <v>0</v>
      </c>
      <c r="V47" s="153">
        <f t="shared" si="8"/>
        <v>42062.882700300004</v>
      </c>
      <c r="W47" s="150">
        <f t="shared" si="8"/>
        <v>60801.3</v>
      </c>
      <c r="X47" s="150">
        <f t="shared" si="8"/>
        <v>65388.61</v>
      </c>
      <c r="Y47" s="150">
        <f t="shared" si="8"/>
        <v>0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-9893.1177344999996</v>
      </c>
      <c r="G48" s="139">
        <f t="shared" si="9"/>
        <v>-3724.66</v>
      </c>
      <c r="H48" s="139">
        <f t="shared" si="9"/>
        <v>-13317</v>
      </c>
      <c r="I48" s="139">
        <f t="shared" si="9"/>
        <v>-12637.99</v>
      </c>
      <c r="J48" s="138">
        <f t="shared" si="9"/>
        <v>12878.8912098</v>
      </c>
      <c r="K48" s="139">
        <f t="shared" si="9"/>
        <v>18515.739999999998</v>
      </c>
      <c r="L48" s="139">
        <f t="shared" si="9"/>
        <v>10302.94</v>
      </c>
      <c r="M48" s="139">
        <f t="shared" si="9"/>
        <v>9818.3799999999992</v>
      </c>
      <c r="N48" s="138">
        <f t="shared" si="9"/>
        <v>-7491.7984146000017</v>
      </c>
      <c r="O48" s="139">
        <f t="shared" si="9"/>
        <v>-25588.780000000006</v>
      </c>
      <c r="P48" s="139">
        <f t="shared" si="9"/>
        <v>-419.77000000000044</v>
      </c>
      <c r="Q48" s="139">
        <f t="shared" si="9"/>
        <v>3532.93</v>
      </c>
      <c r="R48" s="138">
        <f t="shared" si="9"/>
        <v>4506.0249393000031</v>
      </c>
      <c r="S48" s="138">
        <f t="shared" si="9"/>
        <v>10797.7</v>
      </c>
      <c r="T48" s="138">
        <f t="shared" si="9"/>
        <v>34968.46</v>
      </c>
      <c r="U48" s="138">
        <f t="shared" si="9"/>
        <v>-32247.95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31534.630000000005</v>
      </c>
      <c r="Y48" s="138">
        <f t="shared" si="10"/>
        <v>-31534.63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38" priority="13" operator="lessThan">
      <formula>-0.01</formula>
    </cfRule>
  </conditionalFormatting>
  <conditionalFormatting sqref="Y15:Y21 Y23:Y30 Y32:Y34 Y36:Y43">
    <cfRule type="cellIs" dxfId="37" priority="12" operator="lessThan">
      <formula>-0.01</formula>
    </cfRule>
  </conditionalFormatting>
  <conditionalFormatting sqref="X15:X21 X23:X30 X32:X34 X36:X43">
    <cfRule type="cellIs" dxfId="36" priority="11" operator="lessThan">
      <formula>-0.01</formula>
    </cfRule>
  </conditionalFormatting>
  <conditionalFormatting sqref="U15:U21 U23:U30 U32:U34 U36:U43">
    <cfRule type="cellIs" dxfId="35" priority="10" operator="lessThan">
      <formula>-0.01</formula>
    </cfRule>
  </conditionalFormatting>
  <conditionalFormatting sqref="T15:T21 T23:T30 T32:T34 T36:T43">
    <cfRule type="cellIs" dxfId="34" priority="9" operator="lessThan">
      <formula>-0.01</formula>
    </cfRule>
  </conditionalFormatting>
  <conditionalFormatting sqref="Q15:Q21 Q23:Q30 Q32:Q34 Q36:Q43">
    <cfRule type="cellIs" dxfId="33" priority="8" operator="lessThan">
      <formula>-0.01</formula>
    </cfRule>
  </conditionalFormatting>
  <conditionalFormatting sqref="P15:P21 P23:P30 P32:P34 P36:P43">
    <cfRule type="cellIs" dxfId="32" priority="7" operator="lessThan">
      <formula>-0.01</formula>
    </cfRule>
  </conditionalFormatting>
  <conditionalFormatting sqref="M15:M21 M23:M30 M32:M34 M36:M43">
    <cfRule type="cellIs" dxfId="31" priority="6" operator="lessThan">
      <formula>-0.01</formula>
    </cfRule>
  </conditionalFormatting>
  <conditionalFormatting sqref="L15:L21 L23:L30 L32:L34 L36:L43">
    <cfRule type="cellIs" dxfId="30" priority="5" operator="lessThan">
      <formula>-0.01</formula>
    </cfRule>
  </conditionalFormatting>
  <conditionalFormatting sqref="I15:I21 I23:I30 I32:I34 I36:I43">
    <cfRule type="cellIs" dxfId="29" priority="4" operator="lessThan">
      <formula>-0.01</formula>
    </cfRule>
  </conditionalFormatting>
  <conditionalFormatting sqref="H15:H21 H23:H30 H32:H34 H36:H43">
    <cfRule type="cellIs" dxfId="28" priority="3" operator="lessThan">
      <formula>-0.01</formula>
    </cfRule>
  </conditionalFormatting>
  <conditionalFormatting sqref="E15:E21 E23:E30 E32:E34 E36:E43">
    <cfRule type="cellIs" dxfId="27" priority="2" operator="lessThan">
      <formula>-0.01</formula>
    </cfRule>
  </conditionalFormatting>
  <conditionalFormatting sqref="D15:D21 D23:D30 D32:D34 D36:D43">
    <cfRule type="cellIs" dxfId="26" priority="1" operator="lessThan">
      <formula>-0.01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290F-8A12-4D6C-8170-F91FA5036742}">
  <sheetPr codeName="Sheet92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8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748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0</v>
      </c>
      <c r="C8" s="128">
        <v>0</v>
      </c>
      <c r="D8" s="231">
        <v>0</v>
      </c>
      <c r="E8" s="227">
        <v>0</v>
      </c>
      <c r="F8" s="129">
        <v>0</v>
      </c>
      <c r="G8" s="128">
        <v>0</v>
      </c>
      <c r="H8" s="231">
        <v>0</v>
      </c>
      <c r="I8" s="227">
        <v>0</v>
      </c>
      <c r="J8" s="129">
        <v>0</v>
      </c>
      <c r="K8" s="128">
        <v>0</v>
      </c>
      <c r="L8" s="231">
        <v>0</v>
      </c>
      <c r="M8" s="227">
        <v>0</v>
      </c>
      <c r="N8" s="129">
        <v>0</v>
      </c>
      <c r="O8" s="128">
        <v>0</v>
      </c>
      <c r="P8" s="231">
        <v>0</v>
      </c>
      <c r="Q8" s="227">
        <v>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0</v>
      </c>
      <c r="W8" s="130">
        <f>SUM(G8,K8,O8,S8)</f>
        <v>0</v>
      </c>
      <c r="X8" s="222">
        <f>SUM(H8,L8,P8,T8)</f>
        <v>0</v>
      </c>
      <c r="Y8" s="217">
        <f>SUM(I8,M8,Q8,U8)</f>
        <v>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-15085.565809500002</v>
      </c>
      <c r="S11" s="133">
        <v>-11069.19</v>
      </c>
      <c r="T11" s="223">
        <v>-34187.96</v>
      </c>
      <c r="U11" s="218">
        <v>0</v>
      </c>
      <c r="V11" s="135">
        <f>SUM(F11,J11,N11,R11)</f>
        <v>-15085.565809500002</v>
      </c>
      <c r="W11" s="133">
        <f>SUM(G11,K11,O11,S11)</f>
        <v>-11069.19</v>
      </c>
      <c r="X11" s="223">
        <f>SUM(H11,L11,P11,T11)</f>
        <v>-34187.96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0</v>
      </c>
      <c r="C12" s="139">
        <f t="shared" ref="C12:U12" si="0">SUM(C8:C11)</f>
        <v>0</v>
      </c>
      <c r="D12" s="139">
        <f t="shared" si="0"/>
        <v>0</v>
      </c>
      <c r="E12" s="139">
        <f t="shared" si="0"/>
        <v>0</v>
      </c>
      <c r="F12" s="138">
        <f t="shared" si="0"/>
        <v>0</v>
      </c>
      <c r="G12" s="139">
        <f t="shared" si="0"/>
        <v>0</v>
      </c>
      <c r="H12" s="139">
        <f t="shared" si="0"/>
        <v>0</v>
      </c>
      <c r="I12" s="139">
        <f t="shared" si="0"/>
        <v>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0</v>
      </c>
      <c r="O12" s="139">
        <f t="shared" si="0"/>
        <v>0</v>
      </c>
      <c r="P12" s="139">
        <f t="shared" si="0"/>
        <v>0</v>
      </c>
      <c r="Q12" s="139">
        <f t="shared" si="0"/>
        <v>0</v>
      </c>
      <c r="R12" s="138">
        <f t="shared" si="0"/>
        <v>-15085.565809500002</v>
      </c>
      <c r="S12" s="138">
        <f t="shared" si="0"/>
        <v>-11069.19</v>
      </c>
      <c r="T12" s="138">
        <f t="shared" si="0"/>
        <v>-34187.96</v>
      </c>
      <c r="U12" s="138">
        <f t="shared" si="0"/>
        <v>0</v>
      </c>
      <c r="V12" s="138">
        <f>SUM(V8:V11)</f>
        <v>-15085.565809500002</v>
      </c>
      <c r="W12" s="138">
        <f t="shared" ref="W12:Y12" si="1">SUM(W8:W11)</f>
        <v>-11069.19</v>
      </c>
      <c r="X12" s="138">
        <f t="shared" si="1"/>
        <v>-34187.96</v>
      </c>
      <c r="Y12" s="138">
        <f t="shared" si="1"/>
        <v>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0</v>
      </c>
      <c r="K15" s="128">
        <v>0</v>
      </c>
      <c r="L15" s="231">
        <v>0</v>
      </c>
      <c r="M15" s="227">
        <v>0</v>
      </c>
      <c r="N15" s="129">
        <v>0</v>
      </c>
      <c r="O15" s="128">
        <v>0</v>
      </c>
      <c r="P15" s="231">
        <v>0</v>
      </c>
      <c r="Q15" s="227">
        <v>0</v>
      </c>
      <c r="R15" s="129">
        <v>0</v>
      </c>
      <c r="S15" s="142">
        <v>0</v>
      </c>
      <c r="T15" s="224">
        <v>0</v>
      </c>
      <c r="U15" s="219">
        <v>0</v>
      </c>
      <c r="V15" s="141">
        <f>SUM(F15,J15,N15,R15)</f>
        <v>0</v>
      </c>
      <c r="W15" s="142">
        <f>SUM(G15,K15,O15,S15)</f>
        <v>0</v>
      </c>
      <c r="X15" s="224">
        <f>SUM(H15,L15,P15,T15)</f>
        <v>0</v>
      </c>
      <c r="Y15" s="219">
        <f>SUM(I15,M15,Q15,U15)</f>
        <v>0</v>
      </c>
    </row>
    <row r="16" spans="1:52" hidden="1" outlineLevel="1">
      <c r="A16" s="131" t="s">
        <v>137</v>
      </c>
      <c r="B16" s="127">
        <v>0</v>
      </c>
      <c r="C16" s="128">
        <v>0</v>
      </c>
      <c r="D16" s="231">
        <v>0</v>
      </c>
      <c r="E16" s="227">
        <v>0</v>
      </c>
      <c r="F16" s="129">
        <v>0</v>
      </c>
      <c r="G16" s="128">
        <v>0</v>
      </c>
      <c r="H16" s="231">
        <v>0</v>
      </c>
      <c r="I16" s="227">
        <v>0</v>
      </c>
      <c r="J16" s="129">
        <v>0</v>
      </c>
      <c r="K16" s="128">
        <v>0</v>
      </c>
      <c r="L16" s="231">
        <v>0</v>
      </c>
      <c r="M16" s="227">
        <v>0</v>
      </c>
      <c r="N16" s="129">
        <v>0</v>
      </c>
      <c r="O16" s="128">
        <v>0</v>
      </c>
      <c r="P16" s="231">
        <v>0</v>
      </c>
      <c r="Q16" s="227">
        <v>0</v>
      </c>
      <c r="R16" s="129">
        <v>0</v>
      </c>
      <c r="S16" s="130">
        <v>0</v>
      </c>
      <c r="T16" s="222">
        <v>0</v>
      </c>
      <c r="U16" s="217">
        <v>0</v>
      </c>
      <c r="V16" s="127">
        <f>SUM(F16,J16,N16,R16)</f>
        <v>0</v>
      </c>
      <c r="W16" s="130">
        <f>SUM(G16,K16,O16,S16)</f>
        <v>0</v>
      </c>
      <c r="X16" s="222">
        <f>SUM(H16,L16,P16,T16)</f>
        <v>0</v>
      </c>
      <c r="Y16" s="217">
        <f>SUM(I16,M16,Q16,U16)</f>
        <v>0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0</v>
      </c>
      <c r="K18" s="128">
        <v>0</v>
      </c>
      <c r="L18" s="231">
        <v>0</v>
      </c>
      <c r="M18" s="227">
        <v>0</v>
      </c>
      <c r="N18" s="129">
        <v>0</v>
      </c>
      <c r="O18" s="128">
        <v>0</v>
      </c>
      <c r="P18" s="231">
        <v>0</v>
      </c>
      <c r="Q18" s="227">
        <v>0</v>
      </c>
      <c r="R18" s="129">
        <v>0</v>
      </c>
      <c r="S18" s="130">
        <v>0</v>
      </c>
      <c r="T18" s="222">
        <v>0</v>
      </c>
      <c r="U18" s="217">
        <v>0</v>
      </c>
      <c r="V18" s="127">
        <f>SUM(F18,J18,N18,R18)</f>
        <v>0</v>
      </c>
      <c r="W18" s="130">
        <f>SUM(G18,K18,O18,S18)</f>
        <v>0</v>
      </c>
      <c r="X18" s="222">
        <f>SUM(H18,L18,P18,T18)</f>
        <v>0</v>
      </c>
      <c r="Y18" s="217">
        <f>SUM(I18,M18,Q18,U18)</f>
        <v>0</v>
      </c>
    </row>
    <row r="19" spans="1:25" hidden="1" outlineLevel="1">
      <c r="A19" s="131" t="s">
        <v>140</v>
      </c>
      <c r="B19" s="127">
        <v>0</v>
      </c>
      <c r="C19" s="128">
        <v>0</v>
      </c>
      <c r="D19" s="231">
        <v>0</v>
      </c>
      <c r="E19" s="227">
        <v>0</v>
      </c>
      <c r="F19" s="129">
        <v>0</v>
      </c>
      <c r="G19" s="128">
        <v>0</v>
      </c>
      <c r="H19" s="231">
        <v>0</v>
      </c>
      <c r="I19" s="227">
        <v>0</v>
      </c>
      <c r="J19" s="129">
        <v>0</v>
      </c>
      <c r="K19" s="128">
        <v>0</v>
      </c>
      <c r="L19" s="231">
        <v>0</v>
      </c>
      <c r="M19" s="227">
        <v>0</v>
      </c>
      <c r="N19" s="129">
        <v>0</v>
      </c>
      <c r="O19" s="128">
        <v>0</v>
      </c>
      <c r="P19" s="231">
        <v>0</v>
      </c>
      <c r="Q19" s="227">
        <v>0</v>
      </c>
      <c r="R19" s="129">
        <v>0</v>
      </c>
      <c r="S19" s="130">
        <v>0</v>
      </c>
      <c r="T19" s="222">
        <v>0</v>
      </c>
      <c r="U19" s="217">
        <v>0</v>
      </c>
      <c r="V19" s="127">
        <f>SUM(F19,J19,N19,R19)</f>
        <v>0</v>
      </c>
      <c r="W19" s="130">
        <f>SUM(G19,K19,O19,S19)</f>
        <v>0</v>
      </c>
      <c r="X19" s="222">
        <f>SUM(H19,L19,P19,T19)</f>
        <v>0</v>
      </c>
      <c r="Y19" s="217">
        <f>SUM(I19,M19,Q19,U19)</f>
        <v>0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0</v>
      </c>
      <c r="C21" s="91">
        <f t="shared" si="2"/>
        <v>0</v>
      </c>
      <c r="D21" s="91">
        <f t="shared" si="2"/>
        <v>0</v>
      </c>
      <c r="E21" s="91">
        <f t="shared" si="2"/>
        <v>0</v>
      </c>
      <c r="F21" s="78">
        <f t="shared" si="2"/>
        <v>0</v>
      </c>
      <c r="G21" s="149">
        <f t="shared" si="2"/>
        <v>0</v>
      </c>
      <c r="H21" s="149">
        <f t="shared" si="2"/>
        <v>0</v>
      </c>
      <c r="I21" s="149">
        <f t="shared" si="2"/>
        <v>0</v>
      </c>
      <c r="J21" s="78">
        <f t="shared" si="2"/>
        <v>0</v>
      </c>
      <c r="K21" s="91">
        <f t="shared" si="2"/>
        <v>0</v>
      </c>
      <c r="L21" s="91">
        <f t="shared" si="2"/>
        <v>0</v>
      </c>
      <c r="M21" s="91">
        <f t="shared" si="2"/>
        <v>0</v>
      </c>
      <c r="N21" s="78">
        <f t="shared" si="2"/>
        <v>0</v>
      </c>
      <c r="O21" s="91">
        <f t="shared" si="2"/>
        <v>0</v>
      </c>
      <c r="P21" s="91">
        <f t="shared" si="2"/>
        <v>0</v>
      </c>
      <c r="Q21" s="91">
        <f t="shared" si="2"/>
        <v>0</v>
      </c>
      <c r="R21" s="78">
        <f t="shared" si="2"/>
        <v>0</v>
      </c>
      <c r="S21" s="150">
        <f t="shared" si="2"/>
        <v>0</v>
      </c>
      <c r="T21" s="150">
        <f t="shared" si="2"/>
        <v>0</v>
      </c>
      <c r="U21" s="150">
        <f t="shared" si="2"/>
        <v>0</v>
      </c>
      <c r="V21" s="78">
        <f t="shared" si="2"/>
        <v>0</v>
      </c>
      <c r="W21" s="150">
        <f t="shared" si="2"/>
        <v>0</v>
      </c>
      <c r="X21" s="150">
        <f t="shared" si="2"/>
        <v>0</v>
      </c>
      <c r="Y21" s="150">
        <f t="shared" si="2"/>
        <v>0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0</v>
      </c>
      <c r="C23" s="128">
        <v>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0</v>
      </c>
      <c r="G25" s="128">
        <v>0</v>
      </c>
      <c r="H25" s="231">
        <v>0</v>
      </c>
      <c r="I25" s="227">
        <v>0</v>
      </c>
      <c r="J25" s="129">
        <v>0</v>
      </c>
      <c r="K25" s="128">
        <v>0</v>
      </c>
      <c r="L25" s="231">
        <v>0</v>
      </c>
      <c r="M25" s="227">
        <v>0</v>
      </c>
      <c r="N25" s="129">
        <v>0</v>
      </c>
      <c r="O25" s="128">
        <v>0</v>
      </c>
      <c r="P25" s="231">
        <v>0</v>
      </c>
      <c r="Q25" s="227">
        <v>0</v>
      </c>
      <c r="R25" s="129">
        <v>0</v>
      </c>
      <c r="S25" s="130">
        <v>0</v>
      </c>
      <c r="T25" s="222">
        <v>0</v>
      </c>
      <c r="U25" s="217">
        <v>0</v>
      </c>
      <c r="V25" s="127">
        <f>SUM(F25,J25,N25,R25)</f>
        <v>0</v>
      </c>
      <c r="W25" s="130">
        <f>SUM(G25,K25,O25,S25)</f>
        <v>0</v>
      </c>
      <c r="X25" s="222">
        <f>SUM(H25,L25,P25,T25)</f>
        <v>0</v>
      </c>
      <c r="Y25" s="217">
        <f>SUM(I25,M25,Q25,U25)</f>
        <v>0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0</v>
      </c>
      <c r="G26" s="128">
        <v>0</v>
      </c>
      <c r="H26" s="231">
        <v>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0</v>
      </c>
      <c r="W26" s="130">
        <f>SUM(G26,K26,O26,S26)</f>
        <v>0</v>
      </c>
      <c r="X26" s="222">
        <f>SUM(H26,L26,P26,T26)</f>
        <v>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0</v>
      </c>
      <c r="G28" s="128">
        <v>0</v>
      </c>
      <c r="H28" s="231">
        <v>0</v>
      </c>
      <c r="I28" s="227">
        <v>0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0</v>
      </c>
      <c r="W28" s="130">
        <f>SUM(G28,K28,O28,S28)</f>
        <v>0</v>
      </c>
      <c r="X28" s="222">
        <f>SUM(H28,L28,P28,T28)</f>
        <v>0</v>
      </c>
      <c r="Y28" s="217">
        <f>SUM(I28,M28,Q28,U28)</f>
        <v>0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0</v>
      </c>
      <c r="G29" s="147">
        <v>0</v>
      </c>
      <c r="H29" s="234">
        <v>0</v>
      </c>
      <c r="I29" s="230">
        <v>0</v>
      </c>
      <c r="J29" s="136">
        <v>0</v>
      </c>
      <c r="K29" s="147">
        <v>0</v>
      </c>
      <c r="L29" s="234">
        <v>0</v>
      </c>
      <c r="M29" s="230">
        <v>0</v>
      </c>
      <c r="N29" s="136">
        <v>0</v>
      </c>
      <c r="O29" s="147">
        <v>0</v>
      </c>
      <c r="P29" s="234">
        <v>0</v>
      </c>
      <c r="Q29" s="230">
        <v>0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0</v>
      </c>
      <c r="W29" s="148">
        <f>SUM(G29,K29,O29,S29)</f>
        <v>0</v>
      </c>
      <c r="X29" s="226">
        <f>SUM(H29,L29,P29,T29)</f>
        <v>0</v>
      </c>
      <c r="Y29" s="221">
        <f>SUM(I29,M29,Q29,U29)</f>
        <v>0</v>
      </c>
    </row>
    <row r="30" spans="1:25" collapsed="1">
      <c r="A30" s="62" t="s">
        <v>151</v>
      </c>
      <c r="B30" s="78">
        <f t="shared" ref="B30:Y30" si="3">SUM(B23:B29)</f>
        <v>0</v>
      </c>
      <c r="C30" s="91">
        <f t="shared" si="3"/>
        <v>0</v>
      </c>
      <c r="D30" s="91">
        <f t="shared" si="3"/>
        <v>0</v>
      </c>
      <c r="E30" s="91">
        <f t="shared" si="3"/>
        <v>0</v>
      </c>
      <c r="F30" s="78">
        <f t="shared" si="3"/>
        <v>0</v>
      </c>
      <c r="G30" s="91">
        <f t="shared" si="3"/>
        <v>0</v>
      </c>
      <c r="H30" s="91">
        <f t="shared" si="3"/>
        <v>0</v>
      </c>
      <c r="I30" s="91">
        <f t="shared" si="3"/>
        <v>0</v>
      </c>
      <c r="J30" s="78">
        <f t="shared" si="3"/>
        <v>0</v>
      </c>
      <c r="K30" s="91">
        <f t="shared" si="3"/>
        <v>0</v>
      </c>
      <c r="L30" s="91">
        <f t="shared" si="3"/>
        <v>0</v>
      </c>
      <c r="M30" s="91">
        <f t="shared" si="3"/>
        <v>0</v>
      </c>
      <c r="N30" s="78">
        <f t="shared" si="3"/>
        <v>0</v>
      </c>
      <c r="O30" s="91">
        <f t="shared" si="3"/>
        <v>0</v>
      </c>
      <c r="P30" s="91">
        <f t="shared" si="3"/>
        <v>0</v>
      </c>
      <c r="Q30" s="91">
        <f t="shared" si="3"/>
        <v>0</v>
      </c>
      <c r="R30" s="78">
        <f t="shared" si="3"/>
        <v>0</v>
      </c>
      <c r="S30" s="150">
        <f t="shared" si="3"/>
        <v>0</v>
      </c>
      <c r="T30" s="150">
        <f t="shared" si="3"/>
        <v>0</v>
      </c>
      <c r="U30" s="150">
        <f t="shared" si="3"/>
        <v>0</v>
      </c>
      <c r="V30" s="78">
        <f t="shared" si="3"/>
        <v>0</v>
      </c>
      <c r="W30" s="150">
        <f t="shared" si="3"/>
        <v>0</v>
      </c>
      <c r="X30" s="150">
        <f t="shared" si="3"/>
        <v>0</v>
      </c>
      <c r="Y30" s="150">
        <f t="shared" si="3"/>
        <v>0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0</v>
      </c>
      <c r="C32" s="128">
        <v>0</v>
      </c>
      <c r="D32" s="231">
        <v>0</v>
      </c>
      <c r="E32" s="227">
        <v>0</v>
      </c>
      <c r="F32" s="129">
        <v>0</v>
      </c>
      <c r="G32" s="128">
        <v>0</v>
      </c>
      <c r="H32" s="231">
        <v>0</v>
      </c>
      <c r="I32" s="227">
        <v>0</v>
      </c>
      <c r="J32" s="129">
        <v>0</v>
      </c>
      <c r="K32" s="128">
        <v>0</v>
      </c>
      <c r="L32" s="231">
        <v>0</v>
      </c>
      <c r="M32" s="227">
        <v>0</v>
      </c>
      <c r="N32" s="129">
        <v>0</v>
      </c>
      <c r="O32" s="128">
        <v>0</v>
      </c>
      <c r="P32" s="231">
        <v>0</v>
      </c>
      <c r="Q32" s="227">
        <v>0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0</v>
      </c>
      <c r="W32" s="142">
        <f>SUM(G32,K32,O32,S32)</f>
        <v>0</v>
      </c>
      <c r="X32" s="224">
        <f>SUM(H32,L32,P32,T32)</f>
        <v>0</v>
      </c>
      <c r="Y32" s="219">
        <f>SUM(I32,M32,Q32,U32)</f>
        <v>0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0</v>
      </c>
      <c r="G33" s="147">
        <v>0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0</v>
      </c>
      <c r="S33" s="148">
        <v>0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0</v>
      </c>
      <c r="C34" s="91">
        <f t="shared" si="4"/>
        <v>0</v>
      </c>
      <c r="D34" s="91">
        <f t="shared" si="4"/>
        <v>0</v>
      </c>
      <c r="E34" s="91">
        <f t="shared" si="4"/>
        <v>0</v>
      </c>
      <c r="F34" s="78">
        <f t="shared" si="4"/>
        <v>0</v>
      </c>
      <c r="G34" s="91">
        <f t="shared" si="4"/>
        <v>0</v>
      </c>
      <c r="H34" s="91">
        <f t="shared" si="4"/>
        <v>0</v>
      </c>
      <c r="I34" s="91">
        <f t="shared" si="4"/>
        <v>0</v>
      </c>
      <c r="J34" s="78">
        <f t="shared" si="4"/>
        <v>0</v>
      </c>
      <c r="K34" s="91">
        <f t="shared" si="4"/>
        <v>0</v>
      </c>
      <c r="L34" s="91">
        <f t="shared" si="4"/>
        <v>0</v>
      </c>
      <c r="M34" s="91">
        <f t="shared" si="4"/>
        <v>0</v>
      </c>
      <c r="N34" s="78">
        <f t="shared" si="4"/>
        <v>0</v>
      </c>
      <c r="O34" s="91">
        <f t="shared" si="4"/>
        <v>0</v>
      </c>
      <c r="P34" s="91">
        <f t="shared" si="4"/>
        <v>0</v>
      </c>
      <c r="Q34" s="91">
        <f t="shared" si="4"/>
        <v>0</v>
      </c>
      <c r="R34" s="78">
        <f t="shared" si="4"/>
        <v>0</v>
      </c>
      <c r="S34" s="150">
        <f t="shared" si="4"/>
        <v>0</v>
      </c>
      <c r="T34" s="150">
        <f t="shared" si="4"/>
        <v>0</v>
      </c>
      <c r="U34" s="150">
        <f t="shared" si="4"/>
        <v>0</v>
      </c>
      <c r="V34" s="78">
        <f t="shared" si="4"/>
        <v>0</v>
      </c>
      <c r="W34" s="150">
        <f t="shared" si="4"/>
        <v>0</v>
      </c>
      <c r="X34" s="150">
        <f t="shared" si="4"/>
        <v>0</v>
      </c>
      <c r="Y34" s="150">
        <f t="shared" si="4"/>
        <v>0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0</v>
      </c>
      <c r="C40" s="128">
        <v>0</v>
      </c>
      <c r="D40" s="231">
        <v>0</v>
      </c>
      <c r="E40" s="227">
        <v>0</v>
      </c>
      <c r="F40" s="129">
        <v>0</v>
      </c>
      <c r="G40" s="128">
        <v>0</v>
      </c>
      <c r="H40" s="231">
        <v>0</v>
      </c>
      <c r="I40" s="227">
        <v>0</v>
      </c>
      <c r="J40" s="129">
        <v>0</v>
      </c>
      <c r="K40" s="128">
        <v>0</v>
      </c>
      <c r="L40" s="231">
        <v>0</v>
      </c>
      <c r="M40" s="227">
        <v>0</v>
      </c>
      <c r="N40" s="129">
        <v>0</v>
      </c>
      <c r="O40" s="128">
        <v>0</v>
      </c>
      <c r="P40" s="231">
        <v>0</v>
      </c>
      <c r="Q40" s="227">
        <v>0</v>
      </c>
      <c r="R40" s="129">
        <v>0</v>
      </c>
      <c r="S40" s="130">
        <v>0</v>
      </c>
      <c r="T40" s="222">
        <v>0</v>
      </c>
      <c r="U40" s="217">
        <v>0</v>
      </c>
      <c r="V40" s="127">
        <f>SUM(F40,J40,N40,R40)</f>
        <v>0</v>
      </c>
      <c r="W40" s="130">
        <f>SUM(G40,K40,O40,S40)</f>
        <v>0</v>
      </c>
      <c r="X40" s="222">
        <f>SUM(H40,L40,P40,T40)</f>
        <v>0</v>
      </c>
      <c r="Y40" s="217">
        <f>SUM(I40,M40,Q40,U40)</f>
        <v>0</v>
      </c>
    </row>
    <row r="41" spans="1:25" hidden="1" outlineLevel="1">
      <c r="A41" s="134" t="s">
        <v>161</v>
      </c>
      <c r="B41" s="135">
        <v>0</v>
      </c>
      <c r="C41" s="147">
        <v>0</v>
      </c>
      <c r="D41" s="234">
        <v>0</v>
      </c>
      <c r="E41" s="230">
        <v>0</v>
      </c>
      <c r="F41" s="136">
        <v>0</v>
      </c>
      <c r="G41" s="147">
        <v>0</v>
      </c>
      <c r="H41" s="234">
        <v>0</v>
      </c>
      <c r="I41" s="230">
        <v>0</v>
      </c>
      <c r="J41" s="136">
        <v>0</v>
      </c>
      <c r="K41" s="147">
        <v>0</v>
      </c>
      <c r="L41" s="234">
        <v>0</v>
      </c>
      <c r="M41" s="230">
        <v>0</v>
      </c>
      <c r="N41" s="136">
        <v>0</v>
      </c>
      <c r="O41" s="147">
        <v>0</v>
      </c>
      <c r="P41" s="234">
        <v>0</v>
      </c>
      <c r="Q41" s="230">
        <v>0</v>
      </c>
      <c r="R41" s="136">
        <v>0</v>
      </c>
      <c r="S41" s="148">
        <v>0</v>
      </c>
      <c r="T41" s="226">
        <v>0</v>
      </c>
      <c r="U41" s="221">
        <v>0</v>
      </c>
      <c r="V41" s="135">
        <f>SUM(F41,J41,N41,R41)</f>
        <v>0</v>
      </c>
      <c r="W41" s="148">
        <f>SUM(G41,K41,O41,S41)</f>
        <v>0</v>
      </c>
      <c r="X41" s="226">
        <f>SUM(H41,L41,P41,T41)</f>
        <v>0</v>
      </c>
      <c r="Y41" s="221">
        <f>SUM(I41,M41,Q41,U41)</f>
        <v>0</v>
      </c>
    </row>
    <row r="42" spans="1:25" collapsed="1">
      <c r="A42" s="62" t="s">
        <v>162</v>
      </c>
      <c r="B42" s="78">
        <f t="shared" ref="B42:Y42" si="5">SUM(B36:B41)</f>
        <v>0</v>
      </c>
      <c r="C42" s="149">
        <f t="shared" si="5"/>
        <v>0</v>
      </c>
      <c r="D42" s="149">
        <f t="shared" si="5"/>
        <v>0</v>
      </c>
      <c r="E42" s="149">
        <f t="shared" si="5"/>
        <v>0</v>
      </c>
      <c r="F42" s="151">
        <f t="shared" si="5"/>
        <v>0</v>
      </c>
      <c r="G42" s="149">
        <f t="shared" si="5"/>
        <v>0</v>
      </c>
      <c r="H42" s="149">
        <f t="shared" si="5"/>
        <v>0</v>
      </c>
      <c r="I42" s="149">
        <f t="shared" si="5"/>
        <v>0</v>
      </c>
      <c r="J42" s="151">
        <f t="shared" si="5"/>
        <v>0</v>
      </c>
      <c r="K42" s="149">
        <f t="shared" si="5"/>
        <v>0</v>
      </c>
      <c r="L42" s="149">
        <f t="shared" si="5"/>
        <v>0</v>
      </c>
      <c r="M42" s="149">
        <f t="shared" si="5"/>
        <v>0</v>
      </c>
      <c r="N42" s="151">
        <f t="shared" si="5"/>
        <v>0</v>
      </c>
      <c r="O42" s="149">
        <f t="shared" si="5"/>
        <v>0</v>
      </c>
      <c r="P42" s="149">
        <f t="shared" si="5"/>
        <v>0</v>
      </c>
      <c r="Q42" s="149">
        <f t="shared" si="5"/>
        <v>0</v>
      </c>
      <c r="R42" s="151">
        <f t="shared" si="5"/>
        <v>0</v>
      </c>
      <c r="S42" s="152">
        <f t="shared" si="5"/>
        <v>0</v>
      </c>
      <c r="T42" s="152">
        <f t="shared" si="5"/>
        <v>0</v>
      </c>
      <c r="U42" s="152">
        <f t="shared" si="5"/>
        <v>0</v>
      </c>
      <c r="V42" s="78">
        <f t="shared" si="5"/>
        <v>0</v>
      </c>
      <c r="W42" s="152">
        <f t="shared" si="5"/>
        <v>0</v>
      </c>
      <c r="X42" s="152">
        <f t="shared" si="5"/>
        <v>0</v>
      </c>
      <c r="Y42" s="152">
        <f t="shared" si="5"/>
        <v>0</v>
      </c>
    </row>
    <row r="43" spans="1:25" ht="16.2" thickBot="1">
      <c r="A43" s="137" t="s">
        <v>163</v>
      </c>
      <c r="B43" s="138">
        <f>SUM(B21,B30,B34,B42)</f>
        <v>0</v>
      </c>
      <c r="C43" s="139">
        <f t="shared" ref="C43:U43" si="6">SUM(C21,C30,C34,C42)</f>
        <v>0</v>
      </c>
      <c r="D43" s="139">
        <f t="shared" si="6"/>
        <v>0</v>
      </c>
      <c r="E43" s="139">
        <f t="shared" si="6"/>
        <v>0</v>
      </c>
      <c r="F43" s="138">
        <f t="shared" si="6"/>
        <v>0</v>
      </c>
      <c r="G43" s="139">
        <f t="shared" si="6"/>
        <v>0</v>
      </c>
      <c r="H43" s="139">
        <f t="shared" si="6"/>
        <v>0</v>
      </c>
      <c r="I43" s="139">
        <f t="shared" si="6"/>
        <v>0</v>
      </c>
      <c r="J43" s="138">
        <f t="shared" si="6"/>
        <v>0</v>
      </c>
      <c r="K43" s="139">
        <f t="shared" si="6"/>
        <v>0</v>
      </c>
      <c r="L43" s="139">
        <f t="shared" si="6"/>
        <v>0</v>
      </c>
      <c r="M43" s="139">
        <f t="shared" si="6"/>
        <v>0</v>
      </c>
      <c r="N43" s="138">
        <f t="shared" si="6"/>
        <v>0</v>
      </c>
      <c r="O43" s="139">
        <f t="shared" si="6"/>
        <v>0</v>
      </c>
      <c r="P43" s="139">
        <f t="shared" si="6"/>
        <v>0</v>
      </c>
      <c r="Q43" s="139">
        <f t="shared" si="6"/>
        <v>0</v>
      </c>
      <c r="R43" s="138">
        <f t="shared" si="6"/>
        <v>0</v>
      </c>
      <c r="S43" s="138">
        <f t="shared" si="6"/>
        <v>0</v>
      </c>
      <c r="T43" s="138">
        <f t="shared" si="6"/>
        <v>0</v>
      </c>
      <c r="U43" s="138">
        <f t="shared" si="6"/>
        <v>0</v>
      </c>
      <c r="V43" s="138">
        <f>SUM(V21,V30,V34,V42)</f>
        <v>0</v>
      </c>
      <c r="W43" s="138">
        <f t="shared" ref="W43:Y43" si="7">SUM(W21,W30,W34,W42)</f>
        <v>0</v>
      </c>
      <c r="X43" s="138">
        <f t="shared" si="7"/>
        <v>0</v>
      </c>
      <c r="Y43" s="138">
        <f t="shared" si="7"/>
        <v>0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8456.2487700000001</v>
      </c>
      <c r="O45" s="128">
        <v>25369</v>
      </c>
      <c r="P45" s="231">
        <v>0</v>
      </c>
      <c r="Q45" s="227">
        <v>0</v>
      </c>
      <c r="R45" s="129">
        <v>11796.7986975</v>
      </c>
      <c r="S45" s="142">
        <v>0</v>
      </c>
      <c r="T45" s="224">
        <v>1234.08</v>
      </c>
      <c r="U45" s="219">
        <v>34156.67</v>
      </c>
      <c r="V45" s="141">
        <f>SUM(F45,J45,N45,R45)</f>
        <v>20253.0474675</v>
      </c>
      <c r="W45" s="142">
        <f>SUM(G45,K45,O45,S45)</f>
        <v>25369</v>
      </c>
      <c r="X45" s="224">
        <f>SUM(H45,L45,P45,T45)</f>
        <v>1234.08</v>
      </c>
      <c r="Y45" s="219">
        <f>SUM(I45,M45,Q45,U45)</f>
        <v>34156.67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8456.2487700000001</v>
      </c>
      <c r="O47" s="91">
        <f t="shared" si="8"/>
        <v>25369</v>
      </c>
      <c r="P47" s="91">
        <f t="shared" si="8"/>
        <v>0</v>
      </c>
      <c r="Q47" s="91">
        <f t="shared" si="8"/>
        <v>0</v>
      </c>
      <c r="R47" s="78">
        <f t="shared" si="8"/>
        <v>11796.7986975</v>
      </c>
      <c r="S47" s="150">
        <f t="shared" si="8"/>
        <v>0</v>
      </c>
      <c r="T47" s="150">
        <f t="shared" si="8"/>
        <v>1234.08</v>
      </c>
      <c r="U47" s="150">
        <f t="shared" si="8"/>
        <v>34156.67</v>
      </c>
      <c r="V47" s="153">
        <f t="shared" si="8"/>
        <v>20253.0474675</v>
      </c>
      <c r="W47" s="150">
        <f t="shared" si="8"/>
        <v>25369</v>
      </c>
      <c r="X47" s="150">
        <f t="shared" si="8"/>
        <v>1234.08</v>
      </c>
      <c r="Y47" s="150">
        <f t="shared" si="8"/>
        <v>34156.67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0</v>
      </c>
      <c r="D48" s="139">
        <f t="shared" si="9"/>
        <v>0</v>
      </c>
      <c r="E48" s="139">
        <f t="shared" si="9"/>
        <v>0</v>
      </c>
      <c r="F48" s="138">
        <f t="shared" si="9"/>
        <v>0</v>
      </c>
      <c r="G48" s="139">
        <f t="shared" si="9"/>
        <v>0</v>
      </c>
      <c r="H48" s="139">
        <f t="shared" si="9"/>
        <v>0</v>
      </c>
      <c r="I48" s="139">
        <f t="shared" si="9"/>
        <v>0</v>
      </c>
      <c r="J48" s="138">
        <f t="shared" si="9"/>
        <v>0</v>
      </c>
      <c r="K48" s="139">
        <f t="shared" si="9"/>
        <v>0</v>
      </c>
      <c r="L48" s="139">
        <f t="shared" si="9"/>
        <v>0</v>
      </c>
      <c r="M48" s="139">
        <f t="shared" si="9"/>
        <v>0</v>
      </c>
      <c r="N48" s="138">
        <f t="shared" si="9"/>
        <v>8456.2487700000001</v>
      </c>
      <c r="O48" s="139">
        <f t="shared" si="9"/>
        <v>25369</v>
      </c>
      <c r="P48" s="139">
        <f t="shared" si="9"/>
        <v>0</v>
      </c>
      <c r="Q48" s="139">
        <f t="shared" si="9"/>
        <v>0</v>
      </c>
      <c r="R48" s="138">
        <f t="shared" si="9"/>
        <v>-3288.7671120000014</v>
      </c>
      <c r="S48" s="138">
        <f t="shared" si="9"/>
        <v>-11069.19</v>
      </c>
      <c r="T48" s="138">
        <f t="shared" si="9"/>
        <v>-32953.879999999997</v>
      </c>
      <c r="U48" s="138">
        <f t="shared" si="9"/>
        <v>34156.67</v>
      </c>
      <c r="V48" s="138">
        <f>SUM(V12,V43,V47)</f>
        <v>5167.4816579999988</v>
      </c>
      <c r="W48" s="138">
        <f t="shared" ref="W48:Y48" si="10">SUM(W12,W43,W47)</f>
        <v>14299.81</v>
      </c>
      <c r="X48" s="138">
        <f t="shared" si="10"/>
        <v>-32953.879999999997</v>
      </c>
      <c r="Y48" s="138">
        <f t="shared" si="10"/>
        <v>34156.67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25" priority="13" operator="lessThan">
      <formula>-0.01</formula>
    </cfRule>
  </conditionalFormatting>
  <conditionalFormatting sqref="Y15:Y21 Y23:Y30 Y32:Y34 Y36:Y43">
    <cfRule type="cellIs" dxfId="24" priority="12" operator="lessThan">
      <formula>-0.01</formula>
    </cfRule>
  </conditionalFormatting>
  <conditionalFormatting sqref="X15:X21 X23:X30 X32:X34 X36:X43">
    <cfRule type="cellIs" dxfId="23" priority="11" operator="lessThan">
      <formula>-0.01</formula>
    </cfRule>
  </conditionalFormatting>
  <conditionalFormatting sqref="U15:U21 U23:U30 U32:U34 U36:U43">
    <cfRule type="cellIs" dxfId="22" priority="10" operator="lessThan">
      <formula>-0.01</formula>
    </cfRule>
  </conditionalFormatting>
  <conditionalFormatting sqref="T15:T21 T23:T30 T32:T34 T36:T43">
    <cfRule type="cellIs" dxfId="21" priority="9" operator="lessThan">
      <formula>-0.01</formula>
    </cfRule>
  </conditionalFormatting>
  <conditionalFormatting sqref="Q15:Q21 Q23:Q30 Q32:Q34 Q36:Q43">
    <cfRule type="cellIs" dxfId="20" priority="8" operator="lessThan">
      <formula>-0.01</formula>
    </cfRule>
  </conditionalFormatting>
  <conditionalFormatting sqref="P15:P21 P23:P30 P32:P34 P36:P43">
    <cfRule type="cellIs" dxfId="19" priority="7" operator="lessThan">
      <formula>-0.01</formula>
    </cfRule>
  </conditionalFormatting>
  <conditionalFormatting sqref="M15:M21 M23:M30 M32:M34 M36:M43">
    <cfRule type="cellIs" dxfId="18" priority="6" operator="lessThan">
      <formula>-0.01</formula>
    </cfRule>
  </conditionalFormatting>
  <conditionalFormatting sqref="L15:L21 L23:L30 L32:L34 L36:L43">
    <cfRule type="cellIs" dxfId="17" priority="5" operator="lessThan">
      <formula>-0.01</formula>
    </cfRule>
  </conditionalFormatting>
  <conditionalFormatting sqref="I15:I21 I23:I30 I32:I34 I36:I43">
    <cfRule type="cellIs" dxfId="16" priority="4" operator="lessThan">
      <formula>-0.01</formula>
    </cfRule>
  </conditionalFormatting>
  <conditionalFormatting sqref="H15:H21 H23:H30 H32:H34 H36:H43">
    <cfRule type="cellIs" dxfId="15" priority="3" operator="lessThan">
      <formula>-0.01</formula>
    </cfRule>
  </conditionalFormatting>
  <conditionalFormatting sqref="E15:E21 E23:E30 E32:E34 E36:E43">
    <cfRule type="cellIs" dxfId="14" priority="2" operator="lessThan">
      <formula>-0.01</formula>
    </cfRule>
  </conditionalFormatting>
  <conditionalFormatting sqref="D15:D21 D23:D30 D32:D34 D36:D43">
    <cfRule type="cellIs" dxfId="13" priority="1" operator="lessThan">
      <formula>-0.01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64B27-54D0-4F84-B321-BCCB5F00B79A}">
  <sheetPr codeName="Sheet93"/>
  <dimension ref="A1:AZ4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 outlineLevelCol="1"/>
  <cols>
    <col min="1" max="1" width="32.44140625" style="236" bestFit="1" customWidth="1"/>
    <col min="2" max="2" width="14.88671875" style="236" bestFit="1" customWidth="1"/>
    <col min="3" max="5" width="11.33203125" style="236" hidden="1" customWidth="1" outlineLevel="1"/>
    <col min="6" max="6" width="15.88671875" style="236" bestFit="1" customWidth="1" collapsed="1"/>
    <col min="7" max="9" width="12.6640625" style="236" hidden="1" customWidth="1" outlineLevel="1"/>
    <col min="10" max="10" width="15.88671875" style="236" bestFit="1" customWidth="1" collapsed="1"/>
    <col min="11" max="13" width="12.77734375" style="236" hidden="1" customWidth="1" outlineLevel="1"/>
    <col min="14" max="14" width="15.88671875" style="236" bestFit="1" customWidth="1" collapsed="1"/>
    <col min="15" max="17" width="14.109375" style="236" hidden="1" customWidth="1" outlineLevel="1"/>
    <col min="18" max="18" width="15.88671875" style="236" bestFit="1" customWidth="1" collapsed="1"/>
    <col min="19" max="21" width="13.109375" style="236" hidden="1" customWidth="1" outlineLevel="1"/>
    <col min="22" max="22" width="12.88671875" style="236" bestFit="1" customWidth="1" collapsed="1"/>
    <col min="23" max="25" width="12.109375" style="236" hidden="1" customWidth="1" outlineLevel="1"/>
    <col min="26" max="26" width="8.88671875" style="236" collapsed="1"/>
    <col min="27" max="52" width="8.88671875" style="236"/>
  </cols>
  <sheetData>
    <row r="1" spans="1:52" ht="15.6">
      <c r="A1" s="111" t="s">
        <v>1591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V1" s="237"/>
      <c r="W1" s="237"/>
      <c r="X1" s="237"/>
      <c r="Y1" s="237"/>
    </row>
    <row r="2" spans="1:52" ht="15.6">
      <c r="A2" s="113" t="s">
        <v>750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V2" s="238"/>
      <c r="W2" s="238"/>
      <c r="X2" s="238"/>
      <c r="Y2" s="238"/>
    </row>
    <row r="3" spans="1:52">
      <c r="A3" s="115"/>
      <c r="B3" s="116" t="s">
        <v>118</v>
      </c>
      <c r="C3" s="117" t="s">
        <v>170</v>
      </c>
      <c r="D3" s="117" t="s">
        <v>170</v>
      </c>
      <c r="E3" s="117" t="s">
        <v>170</v>
      </c>
      <c r="F3" s="116" t="s">
        <v>171</v>
      </c>
      <c r="G3" s="117" t="s">
        <v>171</v>
      </c>
      <c r="H3" s="117" t="s">
        <v>171</v>
      </c>
      <c r="I3" s="117" t="s">
        <v>171</v>
      </c>
      <c r="J3" s="116" t="s">
        <v>172</v>
      </c>
      <c r="K3" s="117" t="s">
        <v>172</v>
      </c>
      <c r="L3" s="117" t="s">
        <v>172</v>
      </c>
      <c r="M3" s="117" t="s">
        <v>172</v>
      </c>
      <c r="N3" s="116" t="s">
        <v>173</v>
      </c>
      <c r="O3" s="117" t="s">
        <v>173</v>
      </c>
      <c r="P3" s="117" t="s">
        <v>173</v>
      </c>
      <c r="Q3" s="117" t="s">
        <v>173</v>
      </c>
      <c r="R3" s="116" t="s">
        <v>174</v>
      </c>
      <c r="S3" s="118" t="s">
        <v>174</v>
      </c>
      <c r="T3" s="118" t="s">
        <v>174</v>
      </c>
      <c r="U3" s="118" t="s">
        <v>174</v>
      </c>
      <c r="V3" s="116" t="s">
        <v>175</v>
      </c>
      <c r="W3" s="118" t="s">
        <v>175</v>
      </c>
      <c r="X3" s="118" t="s">
        <v>175</v>
      </c>
      <c r="Y3" s="118" t="s">
        <v>175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</row>
    <row r="4" spans="1:52">
      <c r="A4" s="5"/>
      <c r="B4" s="119" t="str">
        <f>_xlfn.CONCAT("FY ",'Create Report'!E9+'Create Report'!E10)</f>
        <v>FY 20</v>
      </c>
      <c r="C4" s="120" t="s">
        <v>119</v>
      </c>
      <c r="D4" s="120" t="s">
        <v>119</v>
      </c>
      <c r="E4" s="120" t="s">
        <v>119</v>
      </c>
      <c r="F4" s="119" t="s">
        <v>176</v>
      </c>
      <c r="G4" s="119" t="s">
        <v>177</v>
      </c>
      <c r="H4" s="119" t="s">
        <v>177</v>
      </c>
      <c r="I4" s="119" t="s">
        <v>177</v>
      </c>
      <c r="J4" s="119" t="s">
        <v>176</v>
      </c>
      <c r="K4" s="119" t="s">
        <v>177</v>
      </c>
      <c r="L4" s="119" t="s">
        <v>177</v>
      </c>
      <c r="M4" s="119" t="s">
        <v>177</v>
      </c>
      <c r="N4" s="119" t="s">
        <v>176</v>
      </c>
      <c r="O4" s="119" t="s">
        <v>177</v>
      </c>
      <c r="P4" s="119" t="s">
        <v>177</v>
      </c>
      <c r="Q4" s="119" t="s">
        <v>177</v>
      </c>
      <c r="R4" s="119" t="s">
        <v>176</v>
      </c>
      <c r="S4" s="119" t="s">
        <v>177</v>
      </c>
      <c r="T4" s="119" t="s">
        <v>177</v>
      </c>
      <c r="U4" s="119" t="s">
        <v>177</v>
      </c>
      <c r="V4" s="119" t="s">
        <v>178</v>
      </c>
      <c r="W4" s="119" t="s">
        <v>179</v>
      </c>
      <c r="X4" s="119" t="s">
        <v>179</v>
      </c>
      <c r="Y4" s="119" t="s">
        <v>179</v>
      </c>
    </row>
    <row r="5" spans="1:52">
      <c r="A5" s="8"/>
      <c r="B5" s="119"/>
      <c r="C5" s="120" t="s">
        <v>1585</v>
      </c>
      <c r="D5" s="120" t="s">
        <v>1587</v>
      </c>
      <c r="E5" s="120" t="s">
        <v>1586</v>
      </c>
      <c r="F5" s="119"/>
      <c r="G5" s="120" t="s">
        <v>1585</v>
      </c>
      <c r="H5" s="120" t="s">
        <v>1587</v>
      </c>
      <c r="I5" s="120" t="s">
        <v>1586</v>
      </c>
      <c r="J5" s="119"/>
      <c r="K5" s="120" t="s">
        <v>1585</v>
      </c>
      <c r="L5" s="120" t="s">
        <v>1587</v>
      </c>
      <c r="M5" s="120" t="s">
        <v>1586</v>
      </c>
      <c r="N5" s="119"/>
      <c r="O5" s="120" t="s">
        <v>1585</v>
      </c>
      <c r="P5" s="120" t="s">
        <v>1587</v>
      </c>
      <c r="Q5" s="120" t="s">
        <v>1586</v>
      </c>
      <c r="R5" s="119"/>
      <c r="S5" s="119" t="s">
        <v>1585</v>
      </c>
      <c r="T5" s="119" t="s">
        <v>1587</v>
      </c>
      <c r="U5" s="119" t="s">
        <v>1586</v>
      </c>
      <c r="V5" s="119"/>
      <c r="W5" s="119" t="s">
        <v>1585</v>
      </c>
      <c r="X5" s="119" t="s">
        <v>1587</v>
      </c>
      <c r="Y5" s="119" t="s">
        <v>1586</v>
      </c>
    </row>
    <row r="6" spans="1:52">
      <c r="A6" s="121"/>
      <c r="B6" s="122"/>
      <c r="C6" s="123"/>
      <c r="D6" s="123"/>
      <c r="E6" s="123"/>
      <c r="F6" s="122"/>
      <c r="G6" s="123"/>
      <c r="H6" s="123"/>
      <c r="I6" s="123"/>
      <c r="J6" s="122"/>
      <c r="K6" s="123"/>
      <c r="L6" s="123"/>
      <c r="M6" s="123"/>
      <c r="N6" s="122"/>
      <c r="O6" s="123"/>
      <c r="P6" s="123"/>
      <c r="Q6" s="123"/>
      <c r="R6" s="122"/>
      <c r="S6" s="122"/>
      <c r="T6" s="122"/>
      <c r="U6" s="122"/>
      <c r="V6" s="122"/>
      <c r="W6" s="122"/>
      <c r="X6" s="122"/>
      <c r="Y6" s="122"/>
    </row>
    <row r="7" spans="1:52">
      <c r="A7" s="13" t="s">
        <v>129</v>
      </c>
      <c r="B7" s="124"/>
      <c r="C7" s="125"/>
      <c r="D7" s="125"/>
      <c r="E7" s="125"/>
      <c r="F7" s="124"/>
      <c r="G7" s="125"/>
      <c r="H7" s="125"/>
      <c r="I7" s="125"/>
      <c r="J7" s="124"/>
      <c r="K7" s="125"/>
      <c r="L7" s="125"/>
      <c r="M7" s="125"/>
      <c r="N7" s="124"/>
      <c r="O7" s="125"/>
      <c r="P7" s="125"/>
      <c r="Q7" s="125"/>
      <c r="R7" s="124"/>
      <c r="S7" s="124"/>
      <c r="T7" s="124"/>
      <c r="U7" s="124"/>
      <c r="V7" s="124"/>
      <c r="W7" s="124"/>
      <c r="X7" s="124"/>
      <c r="Y7" s="124"/>
    </row>
    <row r="8" spans="1:52" hidden="1" outlineLevel="1">
      <c r="A8" s="126" t="s">
        <v>130</v>
      </c>
      <c r="B8" s="127">
        <v>-217637</v>
      </c>
      <c r="C8" s="128">
        <v>-217694</v>
      </c>
      <c r="D8" s="231">
        <v>-213902</v>
      </c>
      <c r="E8" s="227">
        <v>-208840</v>
      </c>
      <c r="F8" s="129">
        <v>-106738.26594</v>
      </c>
      <c r="G8" s="128">
        <v>-108847</v>
      </c>
      <c r="H8" s="231">
        <v>-106951</v>
      </c>
      <c r="I8" s="227">
        <v>-104420</v>
      </c>
      <c r="J8" s="129">
        <v>0</v>
      </c>
      <c r="K8" s="128">
        <v>0</v>
      </c>
      <c r="L8" s="231">
        <v>0</v>
      </c>
      <c r="M8" s="227">
        <v>0</v>
      </c>
      <c r="N8" s="129">
        <v>-106738.26594</v>
      </c>
      <c r="O8" s="128">
        <v>-108847</v>
      </c>
      <c r="P8" s="231">
        <v>-106951</v>
      </c>
      <c r="Q8" s="227">
        <v>-104420</v>
      </c>
      <c r="R8" s="129">
        <v>0</v>
      </c>
      <c r="S8" s="130">
        <v>0</v>
      </c>
      <c r="T8" s="222">
        <v>0</v>
      </c>
      <c r="U8" s="217">
        <v>0</v>
      </c>
      <c r="V8" s="127">
        <f>SUM(F8,J8,N8,R8)</f>
        <v>-213476.53187999999</v>
      </c>
      <c r="W8" s="130">
        <f>SUM(G8,K8,O8,S8)</f>
        <v>-217694</v>
      </c>
      <c r="X8" s="222">
        <f>SUM(H8,L8,P8,T8)</f>
        <v>-213902</v>
      </c>
      <c r="Y8" s="217">
        <f>SUM(I8,M8,Q8,U8)</f>
        <v>-208840</v>
      </c>
    </row>
    <row r="9" spans="1:52" hidden="1" outlineLevel="1">
      <c r="A9" s="131" t="s">
        <v>131</v>
      </c>
      <c r="B9" s="127">
        <v>0</v>
      </c>
      <c r="C9" s="132">
        <v>0</v>
      </c>
      <c r="D9" s="232">
        <v>0</v>
      </c>
      <c r="E9" s="228">
        <v>0</v>
      </c>
      <c r="F9" s="129">
        <v>0</v>
      </c>
      <c r="G9" s="132">
        <v>0</v>
      </c>
      <c r="H9" s="232">
        <v>0</v>
      </c>
      <c r="I9" s="228">
        <v>0</v>
      </c>
      <c r="J9" s="129">
        <v>0</v>
      </c>
      <c r="K9" s="132">
        <v>0</v>
      </c>
      <c r="L9" s="232">
        <v>0</v>
      </c>
      <c r="M9" s="228">
        <v>0</v>
      </c>
      <c r="N9" s="129">
        <v>0</v>
      </c>
      <c r="O9" s="132">
        <v>0</v>
      </c>
      <c r="P9" s="232">
        <v>0</v>
      </c>
      <c r="Q9" s="228">
        <v>0</v>
      </c>
      <c r="R9" s="129">
        <v>0</v>
      </c>
      <c r="S9" s="133">
        <v>0</v>
      </c>
      <c r="T9" s="223">
        <v>0</v>
      </c>
      <c r="U9" s="218">
        <v>0</v>
      </c>
      <c r="V9" s="127">
        <f>SUM(F9,J9,N9,R9)</f>
        <v>0</v>
      </c>
      <c r="W9" s="133">
        <f>SUM(G9,K9,O9,S9)</f>
        <v>0</v>
      </c>
      <c r="X9" s="223">
        <f>SUM(H9,L9,P9,T9)</f>
        <v>0</v>
      </c>
      <c r="Y9" s="218">
        <f>SUM(I9,M9,Q9,U9)</f>
        <v>0</v>
      </c>
    </row>
    <row r="10" spans="1:52" hidden="1" outlineLevel="1">
      <c r="A10" s="131" t="s">
        <v>132</v>
      </c>
      <c r="B10" s="127">
        <v>0</v>
      </c>
      <c r="C10" s="132">
        <v>0</v>
      </c>
      <c r="D10" s="232">
        <v>0</v>
      </c>
      <c r="E10" s="228">
        <v>0</v>
      </c>
      <c r="F10" s="129">
        <v>0</v>
      </c>
      <c r="G10" s="132">
        <v>0</v>
      </c>
      <c r="H10" s="232">
        <v>0</v>
      </c>
      <c r="I10" s="228">
        <v>0</v>
      </c>
      <c r="J10" s="129">
        <v>0</v>
      </c>
      <c r="K10" s="132">
        <v>0</v>
      </c>
      <c r="L10" s="232">
        <v>0</v>
      </c>
      <c r="M10" s="228">
        <v>0</v>
      </c>
      <c r="N10" s="129">
        <v>0</v>
      </c>
      <c r="O10" s="132">
        <v>0</v>
      </c>
      <c r="P10" s="232">
        <v>0</v>
      </c>
      <c r="Q10" s="228">
        <v>0</v>
      </c>
      <c r="R10" s="129">
        <v>0</v>
      </c>
      <c r="S10" s="133">
        <v>0</v>
      </c>
      <c r="T10" s="223">
        <v>0</v>
      </c>
      <c r="U10" s="218">
        <v>0</v>
      </c>
      <c r="V10" s="127">
        <f>SUM(F10,J10,N10,R10)</f>
        <v>0</v>
      </c>
      <c r="W10" s="133">
        <f>SUM(G10,K10,O10,S10)</f>
        <v>0</v>
      </c>
      <c r="X10" s="223">
        <f>SUM(H10,L10,P10,T10)</f>
        <v>0</v>
      </c>
      <c r="Y10" s="218">
        <f>SUM(I10,M10,Q10,U10)</f>
        <v>0</v>
      </c>
    </row>
    <row r="11" spans="1:52" hidden="1" outlineLevel="1">
      <c r="A11" s="134" t="s">
        <v>133</v>
      </c>
      <c r="B11" s="135">
        <v>0</v>
      </c>
      <c r="C11" s="132">
        <v>0</v>
      </c>
      <c r="D11" s="232">
        <v>0</v>
      </c>
      <c r="E11" s="228">
        <v>0</v>
      </c>
      <c r="F11" s="136">
        <v>0</v>
      </c>
      <c r="G11" s="132">
        <v>0</v>
      </c>
      <c r="H11" s="232">
        <v>0</v>
      </c>
      <c r="I11" s="228">
        <v>0</v>
      </c>
      <c r="J11" s="136">
        <v>0</v>
      </c>
      <c r="K11" s="132">
        <v>0</v>
      </c>
      <c r="L11" s="232">
        <v>0</v>
      </c>
      <c r="M11" s="228">
        <v>0</v>
      </c>
      <c r="N11" s="136">
        <v>0</v>
      </c>
      <c r="O11" s="132">
        <v>0</v>
      </c>
      <c r="P11" s="232">
        <v>0</v>
      </c>
      <c r="Q11" s="228">
        <v>0</v>
      </c>
      <c r="R11" s="136">
        <v>0</v>
      </c>
      <c r="S11" s="133">
        <v>0</v>
      </c>
      <c r="T11" s="223">
        <v>0</v>
      </c>
      <c r="U11" s="218">
        <v>0</v>
      </c>
      <c r="V11" s="135">
        <f>SUM(F11,J11,N11,R11)</f>
        <v>0</v>
      </c>
      <c r="W11" s="133">
        <f>SUM(G11,K11,O11,S11)</f>
        <v>0</v>
      </c>
      <c r="X11" s="223">
        <f>SUM(H11,L11,P11,T11)</f>
        <v>0</v>
      </c>
      <c r="Y11" s="218">
        <f>SUM(I11,M11,Q11,U11)</f>
        <v>0</v>
      </c>
    </row>
    <row r="12" spans="1:52" ht="16.2" collapsed="1" thickBot="1">
      <c r="A12" s="137" t="s">
        <v>134</v>
      </c>
      <c r="B12" s="138">
        <f>SUM(B8:B11)</f>
        <v>-217637</v>
      </c>
      <c r="C12" s="139">
        <f t="shared" ref="C12:U12" si="0">SUM(C8:C11)</f>
        <v>-217694</v>
      </c>
      <c r="D12" s="139">
        <f t="shared" si="0"/>
        <v>-213902</v>
      </c>
      <c r="E12" s="139">
        <f t="shared" si="0"/>
        <v>-208840</v>
      </c>
      <c r="F12" s="138">
        <f t="shared" si="0"/>
        <v>-106738.26594</v>
      </c>
      <c r="G12" s="139">
        <f t="shared" si="0"/>
        <v>-108847</v>
      </c>
      <c r="H12" s="139">
        <f t="shared" si="0"/>
        <v>-106951</v>
      </c>
      <c r="I12" s="139">
        <f t="shared" si="0"/>
        <v>-104420</v>
      </c>
      <c r="J12" s="138">
        <f t="shared" si="0"/>
        <v>0</v>
      </c>
      <c r="K12" s="139">
        <f t="shared" si="0"/>
        <v>0</v>
      </c>
      <c r="L12" s="139">
        <f t="shared" si="0"/>
        <v>0</v>
      </c>
      <c r="M12" s="139">
        <f t="shared" si="0"/>
        <v>0</v>
      </c>
      <c r="N12" s="138">
        <f t="shared" si="0"/>
        <v>-106738.26594</v>
      </c>
      <c r="O12" s="139">
        <f t="shared" si="0"/>
        <v>-108847</v>
      </c>
      <c r="P12" s="139">
        <f t="shared" si="0"/>
        <v>-106951</v>
      </c>
      <c r="Q12" s="139">
        <f t="shared" si="0"/>
        <v>-104420</v>
      </c>
      <c r="R12" s="138">
        <f t="shared" si="0"/>
        <v>0</v>
      </c>
      <c r="S12" s="138">
        <f t="shared" si="0"/>
        <v>0</v>
      </c>
      <c r="T12" s="138">
        <f t="shared" si="0"/>
        <v>0</v>
      </c>
      <c r="U12" s="138">
        <f t="shared" si="0"/>
        <v>0</v>
      </c>
      <c r="V12" s="138">
        <f>SUM(V8:V11)</f>
        <v>-213476.53187999999</v>
      </c>
      <c r="W12" s="138">
        <f t="shared" ref="W12:Y12" si="1">SUM(W8:W11)</f>
        <v>-217694</v>
      </c>
      <c r="X12" s="138">
        <f t="shared" si="1"/>
        <v>-213902</v>
      </c>
      <c r="Y12" s="138">
        <f t="shared" si="1"/>
        <v>-208840</v>
      </c>
    </row>
    <row r="13" spans="1:52" ht="15" thickTop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</row>
    <row r="14" spans="1:52">
      <c r="A14" s="13" t="s">
        <v>135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52" hidden="1" outlineLevel="1">
      <c r="A15" s="126" t="s">
        <v>136</v>
      </c>
      <c r="B15" s="141">
        <v>0</v>
      </c>
      <c r="C15" s="128">
        <v>0</v>
      </c>
      <c r="D15" s="231">
        <v>0</v>
      </c>
      <c r="E15" s="227">
        <v>0</v>
      </c>
      <c r="F15" s="129">
        <v>0</v>
      </c>
      <c r="G15" s="128">
        <v>0</v>
      </c>
      <c r="H15" s="231">
        <v>0</v>
      </c>
      <c r="I15" s="227">
        <v>0</v>
      </c>
      <c r="J15" s="129">
        <v>2821.6384499999999</v>
      </c>
      <c r="K15" s="128">
        <v>0</v>
      </c>
      <c r="L15" s="231">
        <v>8465</v>
      </c>
      <c r="M15" s="227">
        <v>0</v>
      </c>
      <c r="N15" s="129">
        <v>3139.9686000000002</v>
      </c>
      <c r="O15" s="128">
        <v>2220</v>
      </c>
      <c r="P15" s="231">
        <v>7200</v>
      </c>
      <c r="Q15" s="227">
        <v>0</v>
      </c>
      <c r="R15" s="129">
        <v>5985.106815000001</v>
      </c>
      <c r="S15" s="142">
        <v>10250.5</v>
      </c>
      <c r="T15" s="224">
        <v>7705</v>
      </c>
      <c r="U15" s="219">
        <v>0</v>
      </c>
      <c r="V15" s="141">
        <f>SUM(F15,J15,N15,R15)</f>
        <v>11946.713865000002</v>
      </c>
      <c r="W15" s="142">
        <f>SUM(G15,K15,O15,S15)</f>
        <v>12470.5</v>
      </c>
      <c r="X15" s="224">
        <f>SUM(H15,L15,P15,T15)</f>
        <v>23370</v>
      </c>
      <c r="Y15" s="219">
        <f>SUM(I15,M15,Q15,U15)</f>
        <v>0</v>
      </c>
    </row>
    <row r="16" spans="1:52" hidden="1" outlineLevel="1">
      <c r="A16" s="131" t="s">
        <v>137</v>
      </c>
      <c r="B16" s="127">
        <v>143193</v>
      </c>
      <c r="C16" s="128">
        <v>143193</v>
      </c>
      <c r="D16" s="231">
        <v>141446</v>
      </c>
      <c r="E16" s="227">
        <v>137996</v>
      </c>
      <c r="F16" s="129">
        <v>23366.492999400005</v>
      </c>
      <c r="G16" s="128">
        <v>19255</v>
      </c>
      <c r="H16" s="231">
        <v>23180.68</v>
      </c>
      <c r="I16" s="227">
        <v>27664.5</v>
      </c>
      <c r="J16" s="129">
        <v>21117.768820199999</v>
      </c>
      <c r="K16" s="128">
        <v>20385.12</v>
      </c>
      <c r="L16" s="231">
        <v>16538.009999999998</v>
      </c>
      <c r="M16" s="227">
        <v>26430.81</v>
      </c>
      <c r="N16" s="129">
        <v>18960.537059400001</v>
      </c>
      <c r="O16" s="128">
        <v>15000</v>
      </c>
      <c r="P16" s="231">
        <v>16235.03</v>
      </c>
      <c r="Q16" s="227">
        <v>25647.15</v>
      </c>
      <c r="R16" s="129">
        <v>21363.973024800001</v>
      </c>
      <c r="S16" s="130">
        <v>15137.02</v>
      </c>
      <c r="T16" s="222">
        <v>19645</v>
      </c>
      <c r="U16" s="217">
        <v>29310.54</v>
      </c>
      <c r="V16" s="127">
        <f>SUM(F16,J16,N16,R16)</f>
        <v>84808.771903800007</v>
      </c>
      <c r="W16" s="130">
        <f>SUM(G16,K16,O16,S16)</f>
        <v>69777.14</v>
      </c>
      <c r="X16" s="222">
        <f>SUM(H16,L16,P16,T16)</f>
        <v>75598.720000000001</v>
      </c>
      <c r="Y16" s="217">
        <f>SUM(I16,M16,Q16,U16)</f>
        <v>109053</v>
      </c>
    </row>
    <row r="17" spans="1:25" hidden="1" outlineLevel="1">
      <c r="A17" s="143" t="s">
        <v>138</v>
      </c>
      <c r="B17" s="144">
        <v>0</v>
      </c>
      <c r="C17" s="145">
        <v>0</v>
      </c>
      <c r="D17" s="233">
        <v>0</v>
      </c>
      <c r="E17" s="229">
        <v>0</v>
      </c>
      <c r="F17" s="146">
        <v>0</v>
      </c>
      <c r="G17" s="145">
        <v>0</v>
      </c>
      <c r="H17" s="233">
        <v>0</v>
      </c>
      <c r="I17" s="229">
        <v>0</v>
      </c>
      <c r="J17" s="146">
        <v>0</v>
      </c>
      <c r="K17" s="145">
        <v>0</v>
      </c>
      <c r="L17" s="233">
        <v>0</v>
      </c>
      <c r="M17" s="229">
        <v>0</v>
      </c>
      <c r="N17" s="146">
        <v>0</v>
      </c>
      <c r="O17" s="145">
        <v>0</v>
      </c>
      <c r="P17" s="233">
        <v>0</v>
      </c>
      <c r="Q17" s="229">
        <v>0</v>
      </c>
      <c r="R17" s="146">
        <v>0</v>
      </c>
      <c r="S17" s="56">
        <v>0</v>
      </c>
      <c r="T17" s="225">
        <v>0</v>
      </c>
      <c r="U17" s="220">
        <v>0</v>
      </c>
      <c r="V17" s="144">
        <f>SUM(F17,J17,N17,R17)</f>
        <v>0</v>
      </c>
      <c r="W17" s="56">
        <f>SUM(G17,K17,O17,S17)</f>
        <v>0</v>
      </c>
      <c r="X17" s="225">
        <f>SUM(H17,L17,P17,T17)</f>
        <v>0</v>
      </c>
      <c r="Y17" s="220">
        <f>SUM(I17,M17,Q17,U17)</f>
        <v>0</v>
      </c>
    </row>
    <row r="18" spans="1:25" hidden="1" outlineLevel="1">
      <c r="A18" s="131" t="s">
        <v>139</v>
      </c>
      <c r="B18" s="127">
        <v>0</v>
      </c>
      <c r="C18" s="128">
        <v>0</v>
      </c>
      <c r="D18" s="231">
        <v>0</v>
      </c>
      <c r="E18" s="227">
        <v>0</v>
      </c>
      <c r="F18" s="129">
        <v>0</v>
      </c>
      <c r="G18" s="128">
        <v>0</v>
      </c>
      <c r="H18" s="231">
        <v>0</v>
      </c>
      <c r="I18" s="227">
        <v>0</v>
      </c>
      <c r="J18" s="129">
        <v>417.60249060000001</v>
      </c>
      <c r="K18" s="128">
        <v>0</v>
      </c>
      <c r="L18" s="231">
        <v>1252.82</v>
      </c>
      <c r="M18" s="227">
        <v>0</v>
      </c>
      <c r="N18" s="129">
        <v>472.1152788</v>
      </c>
      <c r="O18" s="128">
        <v>350.76</v>
      </c>
      <c r="P18" s="231">
        <v>1065.5999999999999</v>
      </c>
      <c r="Q18" s="227">
        <v>0</v>
      </c>
      <c r="R18" s="129">
        <v>919.96746689999998</v>
      </c>
      <c r="S18" s="130">
        <v>1619.59</v>
      </c>
      <c r="T18" s="222">
        <v>1140.3399999999999</v>
      </c>
      <c r="U18" s="217">
        <v>0</v>
      </c>
      <c r="V18" s="127">
        <f>SUM(F18,J18,N18,R18)</f>
        <v>1809.6852362999998</v>
      </c>
      <c r="W18" s="130">
        <f>SUM(G18,K18,O18,S18)</f>
        <v>1970.35</v>
      </c>
      <c r="X18" s="222">
        <f>SUM(H18,L18,P18,T18)</f>
        <v>3458.76</v>
      </c>
      <c r="Y18" s="217">
        <f>SUM(I18,M18,Q18,U18)</f>
        <v>0</v>
      </c>
    </row>
    <row r="19" spans="1:25" hidden="1" outlineLevel="1">
      <c r="A19" s="131" t="s">
        <v>140</v>
      </c>
      <c r="B19" s="127">
        <v>52122</v>
      </c>
      <c r="C19" s="128">
        <v>53841</v>
      </c>
      <c r="D19" s="231">
        <v>53325</v>
      </c>
      <c r="E19" s="227">
        <v>52024</v>
      </c>
      <c r="F19" s="129">
        <v>7982.6201729999993</v>
      </c>
      <c r="G19" s="128">
        <v>6162.3</v>
      </c>
      <c r="H19" s="231">
        <v>7887.15</v>
      </c>
      <c r="I19" s="227">
        <v>9898.65</v>
      </c>
      <c r="J19" s="129">
        <v>7292.937069900001</v>
      </c>
      <c r="K19" s="128">
        <v>6355.85</v>
      </c>
      <c r="L19" s="231">
        <v>5780.52</v>
      </c>
      <c r="M19" s="227">
        <v>9742.66</v>
      </c>
      <c r="N19" s="129">
        <v>6729.6927024000006</v>
      </c>
      <c r="O19" s="128">
        <v>5490</v>
      </c>
      <c r="P19" s="231">
        <v>5773.99</v>
      </c>
      <c r="Q19" s="227">
        <v>8925.2900000000009</v>
      </c>
      <c r="R19" s="129">
        <v>7032.8096711999997</v>
      </c>
      <c r="S19" s="130">
        <v>5540.15</v>
      </c>
      <c r="T19" s="222">
        <v>6227.59</v>
      </c>
      <c r="U19" s="217">
        <v>9330.9</v>
      </c>
      <c r="V19" s="127">
        <f>SUM(F19,J19,N19,R19)</f>
        <v>29038.059616500002</v>
      </c>
      <c r="W19" s="130">
        <f>SUM(G19,K19,O19,S19)</f>
        <v>23548.300000000003</v>
      </c>
      <c r="X19" s="222">
        <f>SUM(H19,L19,P19,T19)</f>
        <v>25669.25</v>
      </c>
      <c r="Y19" s="217">
        <f>SUM(I19,M19,Q19,U19)</f>
        <v>37897.5</v>
      </c>
    </row>
    <row r="20" spans="1:25" hidden="1" outlineLevel="1">
      <c r="A20" s="134" t="s">
        <v>141</v>
      </c>
      <c r="B20" s="135">
        <v>0</v>
      </c>
      <c r="C20" s="147">
        <v>0</v>
      </c>
      <c r="D20" s="234">
        <v>0</v>
      </c>
      <c r="E20" s="230">
        <v>0</v>
      </c>
      <c r="F20" s="136">
        <v>0</v>
      </c>
      <c r="G20" s="147">
        <v>0</v>
      </c>
      <c r="H20" s="234">
        <v>0</v>
      </c>
      <c r="I20" s="230">
        <v>0</v>
      </c>
      <c r="J20" s="136">
        <v>0</v>
      </c>
      <c r="K20" s="147">
        <v>0</v>
      </c>
      <c r="L20" s="234">
        <v>0</v>
      </c>
      <c r="M20" s="230">
        <v>0</v>
      </c>
      <c r="N20" s="136">
        <v>0</v>
      </c>
      <c r="O20" s="147">
        <v>0</v>
      </c>
      <c r="P20" s="234">
        <v>0</v>
      </c>
      <c r="Q20" s="230">
        <v>0</v>
      </c>
      <c r="R20" s="136">
        <v>0</v>
      </c>
      <c r="S20" s="148">
        <v>0</v>
      </c>
      <c r="T20" s="226">
        <v>0</v>
      </c>
      <c r="U20" s="221">
        <v>0</v>
      </c>
      <c r="V20" s="135">
        <f>SUM(F20,J20,N20,R20)</f>
        <v>0</v>
      </c>
      <c r="W20" s="148">
        <f>SUM(G20,K20,O20,S20)</f>
        <v>0</v>
      </c>
      <c r="X20" s="226">
        <f>SUM(H20,L20,P20,T20)</f>
        <v>0</v>
      </c>
      <c r="Y20" s="221">
        <f>SUM(I20,M20,Q20,U20)</f>
        <v>0</v>
      </c>
    </row>
    <row r="21" spans="1:25" collapsed="1">
      <c r="A21" s="62" t="s">
        <v>142</v>
      </c>
      <c r="B21" s="78">
        <f t="shared" ref="B21:Y21" si="2">SUM(B15:B20)</f>
        <v>195315</v>
      </c>
      <c r="C21" s="91">
        <f t="shared" si="2"/>
        <v>197034</v>
      </c>
      <c r="D21" s="91">
        <f t="shared" si="2"/>
        <v>194771</v>
      </c>
      <c r="E21" s="91">
        <f t="shared" si="2"/>
        <v>190020</v>
      </c>
      <c r="F21" s="78">
        <f t="shared" si="2"/>
        <v>31349.113172400004</v>
      </c>
      <c r="G21" s="149">
        <f t="shared" si="2"/>
        <v>25417.3</v>
      </c>
      <c r="H21" s="149">
        <f t="shared" si="2"/>
        <v>31067.83</v>
      </c>
      <c r="I21" s="149">
        <f t="shared" si="2"/>
        <v>37563.15</v>
      </c>
      <c r="J21" s="78">
        <f t="shared" si="2"/>
        <v>31649.946830699999</v>
      </c>
      <c r="K21" s="91">
        <f t="shared" si="2"/>
        <v>26740.97</v>
      </c>
      <c r="L21" s="91">
        <f t="shared" si="2"/>
        <v>32036.35</v>
      </c>
      <c r="M21" s="91">
        <f t="shared" si="2"/>
        <v>36173.47</v>
      </c>
      <c r="N21" s="78">
        <f t="shared" si="2"/>
        <v>29302.313640600001</v>
      </c>
      <c r="O21" s="91">
        <f t="shared" si="2"/>
        <v>23060.76</v>
      </c>
      <c r="P21" s="91">
        <f t="shared" si="2"/>
        <v>30274.619999999995</v>
      </c>
      <c r="Q21" s="91">
        <f t="shared" si="2"/>
        <v>34572.44</v>
      </c>
      <c r="R21" s="78">
        <f t="shared" si="2"/>
        <v>35301.856977900003</v>
      </c>
      <c r="S21" s="150">
        <f t="shared" si="2"/>
        <v>32547.260000000002</v>
      </c>
      <c r="T21" s="150">
        <f t="shared" si="2"/>
        <v>34717.93</v>
      </c>
      <c r="U21" s="150">
        <f t="shared" si="2"/>
        <v>38641.440000000002</v>
      </c>
      <c r="V21" s="78">
        <f t="shared" si="2"/>
        <v>127603.23062160001</v>
      </c>
      <c r="W21" s="150">
        <f t="shared" si="2"/>
        <v>107766.29000000001</v>
      </c>
      <c r="X21" s="150">
        <f t="shared" si="2"/>
        <v>128096.73</v>
      </c>
      <c r="Y21" s="150">
        <f t="shared" si="2"/>
        <v>146950.5</v>
      </c>
    </row>
    <row r="22" spans="1:25">
      <c r="A22" s="68" t="s">
        <v>143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</row>
    <row r="23" spans="1:25" hidden="1" outlineLevel="1">
      <c r="A23" s="126" t="s">
        <v>144</v>
      </c>
      <c r="B23" s="141">
        <v>1600</v>
      </c>
      <c r="C23" s="128">
        <v>800</v>
      </c>
      <c r="D23" s="231">
        <v>0</v>
      </c>
      <c r="E23" s="227">
        <v>0</v>
      </c>
      <c r="F23" s="129">
        <v>0</v>
      </c>
      <c r="G23" s="128">
        <v>0</v>
      </c>
      <c r="H23" s="231">
        <v>0</v>
      </c>
      <c r="I23" s="227">
        <v>0</v>
      </c>
      <c r="J23" s="129">
        <v>0</v>
      </c>
      <c r="K23" s="128">
        <v>0</v>
      </c>
      <c r="L23" s="231">
        <v>0</v>
      </c>
      <c r="M23" s="227">
        <v>0</v>
      </c>
      <c r="N23" s="129">
        <v>0</v>
      </c>
      <c r="O23" s="128">
        <v>0</v>
      </c>
      <c r="P23" s="231">
        <v>0</v>
      </c>
      <c r="Q23" s="227">
        <v>0</v>
      </c>
      <c r="R23" s="129">
        <v>0</v>
      </c>
      <c r="S23" s="142">
        <v>0</v>
      </c>
      <c r="T23" s="224">
        <v>0</v>
      </c>
      <c r="U23" s="219">
        <v>0</v>
      </c>
      <c r="V23" s="141">
        <f>SUM(F23,J23,N23,R23)</f>
        <v>0</v>
      </c>
      <c r="W23" s="142">
        <f>SUM(G23,K23,O23,S23)</f>
        <v>0</v>
      </c>
      <c r="X23" s="224">
        <f>SUM(H23,L23,P23,T23)</f>
        <v>0</v>
      </c>
      <c r="Y23" s="219">
        <f>SUM(I23,M23,Q23,U23)</f>
        <v>0</v>
      </c>
    </row>
    <row r="24" spans="1:25" hidden="1" outlineLevel="1">
      <c r="A24" s="131" t="s">
        <v>145</v>
      </c>
      <c r="B24" s="127">
        <v>0</v>
      </c>
      <c r="C24" s="128">
        <v>0</v>
      </c>
      <c r="D24" s="231">
        <v>0</v>
      </c>
      <c r="E24" s="227">
        <v>0</v>
      </c>
      <c r="F24" s="129">
        <v>0</v>
      </c>
      <c r="G24" s="128">
        <v>0</v>
      </c>
      <c r="H24" s="231">
        <v>0</v>
      </c>
      <c r="I24" s="227">
        <v>0</v>
      </c>
      <c r="J24" s="129">
        <v>0</v>
      </c>
      <c r="K24" s="128">
        <v>0</v>
      </c>
      <c r="L24" s="231">
        <v>0</v>
      </c>
      <c r="M24" s="227">
        <v>0</v>
      </c>
      <c r="N24" s="129">
        <v>0</v>
      </c>
      <c r="O24" s="128">
        <v>0</v>
      </c>
      <c r="P24" s="231">
        <v>0</v>
      </c>
      <c r="Q24" s="227">
        <v>0</v>
      </c>
      <c r="R24" s="129">
        <v>0</v>
      </c>
      <c r="S24" s="130">
        <v>0</v>
      </c>
      <c r="T24" s="222">
        <v>0</v>
      </c>
      <c r="U24" s="217">
        <v>0</v>
      </c>
      <c r="V24" s="127">
        <f>SUM(F24,J24,N24,R24)</f>
        <v>0</v>
      </c>
      <c r="W24" s="130">
        <f>SUM(G24,K24,O24,S24)</f>
        <v>0</v>
      </c>
      <c r="X24" s="222">
        <f>SUM(H24,L24,P24,T24)</f>
        <v>0</v>
      </c>
      <c r="Y24" s="217">
        <f>SUM(I24,M24,Q24,U24)</f>
        <v>0</v>
      </c>
    </row>
    <row r="25" spans="1:25" hidden="1" outlineLevel="1">
      <c r="A25" s="131" t="s">
        <v>146</v>
      </c>
      <c r="B25" s="127">
        <v>0</v>
      </c>
      <c r="C25" s="128">
        <v>0</v>
      </c>
      <c r="D25" s="231">
        <v>0</v>
      </c>
      <c r="E25" s="227">
        <v>0</v>
      </c>
      <c r="F25" s="129">
        <v>269.73730260000002</v>
      </c>
      <c r="G25" s="128">
        <v>313.62</v>
      </c>
      <c r="H25" s="231">
        <v>251.46</v>
      </c>
      <c r="I25" s="227">
        <v>244.14</v>
      </c>
      <c r="J25" s="129">
        <v>379.73620259999996</v>
      </c>
      <c r="K25" s="128">
        <v>353.62</v>
      </c>
      <c r="L25" s="231">
        <v>341.46</v>
      </c>
      <c r="M25" s="227">
        <v>444.14</v>
      </c>
      <c r="N25" s="129">
        <v>326.40340259999999</v>
      </c>
      <c r="O25" s="128">
        <v>253.62</v>
      </c>
      <c r="P25" s="231">
        <v>281.45999999999998</v>
      </c>
      <c r="Q25" s="227">
        <v>444.14</v>
      </c>
      <c r="R25" s="129">
        <v>329.7367026</v>
      </c>
      <c r="S25" s="130">
        <v>253.62</v>
      </c>
      <c r="T25" s="222">
        <v>491.46</v>
      </c>
      <c r="U25" s="217">
        <v>244.14</v>
      </c>
      <c r="V25" s="127">
        <f>SUM(F25,J25,N25,R25)</f>
        <v>1305.6136104</v>
      </c>
      <c r="W25" s="130">
        <f>SUM(G25,K25,O25,S25)</f>
        <v>1174.48</v>
      </c>
      <c r="X25" s="222">
        <f>SUM(H25,L25,P25,T25)</f>
        <v>1365.84</v>
      </c>
      <c r="Y25" s="217">
        <f>SUM(I25,M25,Q25,U25)</f>
        <v>1376.56</v>
      </c>
    </row>
    <row r="26" spans="1:25" hidden="1" outlineLevel="1">
      <c r="A26" s="131" t="s">
        <v>147</v>
      </c>
      <c r="B26" s="127">
        <v>0</v>
      </c>
      <c r="C26" s="128">
        <v>0</v>
      </c>
      <c r="D26" s="231">
        <v>0</v>
      </c>
      <c r="E26" s="227">
        <v>0</v>
      </c>
      <c r="F26" s="129">
        <v>83.33250000000001</v>
      </c>
      <c r="G26" s="128">
        <v>0</v>
      </c>
      <c r="H26" s="231">
        <v>250</v>
      </c>
      <c r="I26" s="227">
        <v>0</v>
      </c>
      <c r="J26" s="129">
        <v>0</v>
      </c>
      <c r="K26" s="128">
        <v>0</v>
      </c>
      <c r="L26" s="231">
        <v>0</v>
      </c>
      <c r="M26" s="227">
        <v>0</v>
      </c>
      <c r="N26" s="129">
        <v>0</v>
      </c>
      <c r="O26" s="128">
        <v>0</v>
      </c>
      <c r="P26" s="231">
        <v>0</v>
      </c>
      <c r="Q26" s="227">
        <v>0</v>
      </c>
      <c r="R26" s="129">
        <v>0</v>
      </c>
      <c r="S26" s="130">
        <v>0</v>
      </c>
      <c r="T26" s="222">
        <v>0</v>
      </c>
      <c r="U26" s="217">
        <v>0</v>
      </c>
      <c r="V26" s="127">
        <f>SUM(F26,J26,N26,R26)</f>
        <v>83.33250000000001</v>
      </c>
      <c r="W26" s="130">
        <f>SUM(G26,K26,O26,S26)</f>
        <v>0</v>
      </c>
      <c r="X26" s="222">
        <f>SUM(H26,L26,P26,T26)</f>
        <v>250</v>
      </c>
      <c r="Y26" s="217">
        <f>SUM(I26,M26,Q26,U26)</f>
        <v>0</v>
      </c>
    </row>
    <row r="27" spans="1:25" hidden="1" outlineLevel="1">
      <c r="A27" s="131" t="s">
        <v>148</v>
      </c>
      <c r="B27" s="127">
        <v>0</v>
      </c>
      <c r="C27" s="128">
        <v>0</v>
      </c>
      <c r="D27" s="231">
        <v>0</v>
      </c>
      <c r="E27" s="227">
        <v>0</v>
      </c>
      <c r="F27" s="129">
        <v>0</v>
      </c>
      <c r="G27" s="128">
        <v>0</v>
      </c>
      <c r="H27" s="231">
        <v>0</v>
      </c>
      <c r="I27" s="227">
        <v>0</v>
      </c>
      <c r="J27" s="129">
        <v>0</v>
      </c>
      <c r="K27" s="128">
        <v>0</v>
      </c>
      <c r="L27" s="231">
        <v>0</v>
      </c>
      <c r="M27" s="227">
        <v>0</v>
      </c>
      <c r="N27" s="129">
        <v>0</v>
      </c>
      <c r="O27" s="128">
        <v>0</v>
      </c>
      <c r="P27" s="231">
        <v>0</v>
      </c>
      <c r="Q27" s="227">
        <v>0</v>
      </c>
      <c r="R27" s="129">
        <v>0</v>
      </c>
      <c r="S27" s="130">
        <v>0</v>
      </c>
      <c r="T27" s="222">
        <v>0</v>
      </c>
      <c r="U27" s="217">
        <v>0</v>
      </c>
      <c r="V27" s="127">
        <f>SUM(F27,J27,N27,R27)</f>
        <v>0</v>
      </c>
      <c r="W27" s="130">
        <f>SUM(G27,K27,O27,S27)</f>
        <v>0</v>
      </c>
      <c r="X27" s="222">
        <f>SUM(H27,L27,P27,T27)</f>
        <v>0</v>
      </c>
      <c r="Y27" s="217">
        <f>SUM(I27,M27,Q27,U27)</f>
        <v>0</v>
      </c>
    </row>
    <row r="28" spans="1:25" hidden="1" outlineLevel="1">
      <c r="A28" s="131" t="s">
        <v>149</v>
      </c>
      <c r="B28" s="127">
        <v>0</v>
      </c>
      <c r="C28" s="128">
        <v>0</v>
      </c>
      <c r="D28" s="231">
        <v>0</v>
      </c>
      <c r="E28" s="227">
        <v>0</v>
      </c>
      <c r="F28" s="129">
        <v>14.066526000000001</v>
      </c>
      <c r="G28" s="128">
        <v>0</v>
      </c>
      <c r="H28" s="231">
        <v>0</v>
      </c>
      <c r="I28" s="227">
        <v>42.2</v>
      </c>
      <c r="J28" s="129">
        <v>0</v>
      </c>
      <c r="K28" s="128">
        <v>0</v>
      </c>
      <c r="L28" s="231">
        <v>0</v>
      </c>
      <c r="M28" s="227">
        <v>0</v>
      </c>
      <c r="N28" s="129">
        <v>0</v>
      </c>
      <c r="O28" s="128">
        <v>0</v>
      </c>
      <c r="P28" s="231">
        <v>0</v>
      </c>
      <c r="Q28" s="227">
        <v>0</v>
      </c>
      <c r="R28" s="129">
        <v>0</v>
      </c>
      <c r="S28" s="130">
        <v>0</v>
      </c>
      <c r="T28" s="222">
        <v>0</v>
      </c>
      <c r="U28" s="217">
        <v>0</v>
      </c>
      <c r="V28" s="127">
        <f>SUM(F28,J28,N28,R28)</f>
        <v>14.066526000000001</v>
      </c>
      <c r="W28" s="130">
        <f>SUM(G28,K28,O28,S28)</f>
        <v>0</v>
      </c>
      <c r="X28" s="222">
        <f>SUM(H28,L28,P28,T28)</f>
        <v>0</v>
      </c>
      <c r="Y28" s="217">
        <f>SUM(I28,M28,Q28,U28)</f>
        <v>42.2</v>
      </c>
    </row>
    <row r="29" spans="1:25" hidden="1" outlineLevel="1">
      <c r="A29" s="134" t="s">
        <v>150</v>
      </c>
      <c r="B29" s="135">
        <v>0</v>
      </c>
      <c r="C29" s="147">
        <v>0</v>
      </c>
      <c r="D29" s="234">
        <v>0</v>
      </c>
      <c r="E29" s="230">
        <v>0</v>
      </c>
      <c r="F29" s="136">
        <v>183.66482999999999</v>
      </c>
      <c r="G29" s="147">
        <v>275</v>
      </c>
      <c r="H29" s="234">
        <v>0</v>
      </c>
      <c r="I29" s="230">
        <v>276</v>
      </c>
      <c r="J29" s="136">
        <v>0</v>
      </c>
      <c r="K29" s="147">
        <v>0</v>
      </c>
      <c r="L29" s="234">
        <v>0</v>
      </c>
      <c r="M29" s="230">
        <v>0</v>
      </c>
      <c r="N29" s="136">
        <v>241.66425000000001</v>
      </c>
      <c r="O29" s="147">
        <v>0</v>
      </c>
      <c r="P29" s="234">
        <v>0</v>
      </c>
      <c r="Q29" s="230">
        <v>725</v>
      </c>
      <c r="R29" s="136">
        <v>0</v>
      </c>
      <c r="S29" s="148">
        <v>0</v>
      </c>
      <c r="T29" s="226">
        <v>0</v>
      </c>
      <c r="U29" s="221">
        <v>0</v>
      </c>
      <c r="V29" s="135">
        <f>SUM(F29,J29,N29,R29)</f>
        <v>425.32907999999998</v>
      </c>
      <c r="W29" s="148">
        <f>SUM(G29,K29,O29,S29)</f>
        <v>275</v>
      </c>
      <c r="X29" s="226">
        <f>SUM(H29,L29,P29,T29)</f>
        <v>0</v>
      </c>
      <c r="Y29" s="221">
        <f>SUM(I29,M29,Q29,U29)</f>
        <v>1001</v>
      </c>
    </row>
    <row r="30" spans="1:25" collapsed="1">
      <c r="A30" s="62" t="s">
        <v>151</v>
      </c>
      <c r="B30" s="78">
        <f t="shared" ref="B30:Y30" si="3">SUM(B23:B29)</f>
        <v>1600</v>
      </c>
      <c r="C30" s="91">
        <f t="shared" si="3"/>
        <v>800</v>
      </c>
      <c r="D30" s="91">
        <f t="shared" si="3"/>
        <v>0</v>
      </c>
      <c r="E30" s="91">
        <f t="shared" si="3"/>
        <v>0</v>
      </c>
      <c r="F30" s="78">
        <f t="shared" si="3"/>
        <v>550.80115860000001</v>
      </c>
      <c r="G30" s="91">
        <f t="shared" si="3"/>
        <v>588.62</v>
      </c>
      <c r="H30" s="91">
        <f t="shared" si="3"/>
        <v>501.46000000000004</v>
      </c>
      <c r="I30" s="91">
        <f t="shared" si="3"/>
        <v>562.33999999999992</v>
      </c>
      <c r="J30" s="78">
        <f t="shared" si="3"/>
        <v>379.73620259999996</v>
      </c>
      <c r="K30" s="91">
        <f t="shared" si="3"/>
        <v>353.62</v>
      </c>
      <c r="L30" s="91">
        <f t="shared" si="3"/>
        <v>341.46</v>
      </c>
      <c r="M30" s="91">
        <f t="shared" si="3"/>
        <v>444.14</v>
      </c>
      <c r="N30" s="78">
        <f t="shared" si="3"/>
        <v>568.06765259999997</v>
      </c>
      <c r="O30" s="91">
        <f t="shared" si="3"/>
        <v>253.62</v>
      </c>
      <c r="P30" s="91">
        <f t="shared" si="3"/>
        <v>281.45999999999998</v>
      </c>
      <c r="Q30" s="91">
        <f t="shared" si="3"/>
        <v>1169.1399999999999</v>
      </c>
      <c r="R30" s="78">
        <f t="shared" si="3"/>
        <v>329.7367026</v>
      </c>
      <c r="S30" s="150">
        <f t="shared" si="3"/>
        <v>253.62</v>
      </c>
      <c r="T30" s="150">
        <f t="shared" si="3"/>
        <v>491.46</v>
      </c>
      <c r="U30" s="150">
        <f t="shared" si="3"/>
        <v>244.14</v>
      </c>
      <c r="V30" s="78">
        <f t="shared" si="3"/>
        <v>1828.3417164</v>
      </c>
      <c r="W30" s="150">
        <f t="shared" si="3"/>
        <v>1449.48</v>
      </c>
      <c r="X30" s="150">
        <f t="shared" si="3"/>
        <v>1615.84</v>
      </c>
      <c r="Y30" s="150">
        <f t="shared" si="3"/>
        <v>2419.7600000000002</v>
      </c>
    </row>
    <row r="31" spans="1:25">
      <c r="A31" s="68" t="s">
        <v>152</v>
      </c>
      <c r="B31" s="49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9"/>
      <c r="W31" s="80"/>
      <c r="X31" s="80"/>
      <c r="Y31" s="80"/>
    </row>
    <row r="32" spans="1:25" hidden="1" outlineLevel="1">
      <c r="A32" s="126" t="s">
        <v>153</v>
      </c>
      <c r="B32" s="141">
        <v>5200</v>
      </c>
      <c r="C32" s="128">
        <v>6000</v>
      </c>
      <c r="D32" s="231">
        <v>6000</v>
      </c>
      <c r="E32" s="227">
        <v>6000</v>
      </c>
      <c r="F32" s="129">
        <v>256.01077320000002</v>
      </c>
      <c r="G32" s="128">
        <v>234.55</v>
      </c>
      <c r="H32" s="231">
        <v>533.49</v>
      </c>
      <c r="I32" s="227">
        <v>0</v>
      </c>
      <c r="J32" s="129">
        <v>697.00636320000001</v>
      </c>
      <c r="K32" s="128">
        <v>0</v>
      </c>
      <c r="L32" s="231">
        <v>2091.04</v>
      </c>
      <c r="M32" s="227">
        <v>0</v>
      </c>
      <c r="N32" s="129">
        <v>234.20099130000003</v>
      </c>
      <c r="O32" s="128">
        <v>0</v>
      </c>
      <c r="P32" s="231">
        <v>0</v>
      </c>
      <c r="Q32" s="227">
        <v>702.61</v>
      </c>
      <c r="R32" s="129">
        <v>0</v>
      </c>
      <c r="S32" s="142">
        <v>0</v>
      </c>
      <c r="T32" s="224">
        <v>0</v>
      </c>
      <c r="U32" s="219">
        <v>0</v>
      </c>
      <c r="V32" s="141">
        <f>SUM(F32,J32,N32,R32)</f>
        <v>1187.2181277</v>
      </c>
      <c r="W32" s="142">
        <f>SUM(G32,K32,O32,S32)</f>
        <v>234.55</v>
      </c>
      <c r="X32" s="224">
        <f>SUM(H32,L32,P32,T32)</f>
        <v>2624.5299999999997</v>
      </c>
      <c r="Y32" s="219">
        <f>SUM(I32,M32,Q32,U32)</f>
        <v>702.61</v>
      </c>
    </row>
    <row r="33" spans="1:25" hidden="1" outlineLevel="1">
      <c r="A33" s="134" t="s">
        <v>154</v>
      </c>
      <c r="B33" s="135">
        <v>0</v>
      </c>
      <c r="C33" s="147">
        <v>0</v>
      </c>
      <c r="D33" s="234">
        <v>0</v>
      </c>
      <c r="E33" s="230">
        <v>0</v>
      </c>
      <c r="F33" s="136">
        <v>78.182551500000002</v>
      </c>
      <c r="G33" s="147">
        <v>234.55</v>
      </c>
      <c r="H33" s="234">
        <v>0</v>
      </c>
      <c r="I33" s="230">
        <v>0</v>
      </c>
      <c r="J33" s="136">
        <v>0</v>
      </c>
      <c r="K33" s="147">
        <v>0</v>
      </c>
      <c r="L33" s="234">
        <v>0</v>
      </c>
      <c r="M33" s="230">
        <v>0</v>
      </c>
      <c r="N33" s="136">
        <v>0</v>
      </c>
      <c r="O33" s="147">
        <v>0</v>
      </c>
      <c r="P33" s="234">
        <v>0</v>
      </c>
      <c r="Q33" s="230">
        <v>0</v>
      </c>
      <c r="R33" s="136">
        <v>-78.182551500000002</v>
      </c>
      <c r="S33" s="148">
        <v>-234.55</v>
      </c>
      <c r="T33" s="226">
        <v>0</v>
      </c>
      <c r="U33" s="221">
        <v>0</v>
      </c>
      <c r="V33" s="135">
        <f>SUM(F33,J33,N33,R33)</f>
        <v>0</v>
      </c>
      <c r="W33" s="148">
        <f>SUM(G33,K33,O33,S33)</f>
        <v>0</v>
      </c>
      <c r="X33" s="226">
        <f>SUM(H33,L33,P33,T33)</f>
        <v>0</v>
      </c>
      <c r="Y33" s="221">
        <f>SUM(I33,M33,Q33,U33)</f>
        <v>0</v>
      </c>
    </row>
    <row r="34" spans="1:25" collapsed="1">
      <c r="A34" s="62" t="s">
        <v>155</v>
      </c>
      <c r="B34" s="78">
        <f t="shared" ref="B34:Y34" si="4">SUM(B32:B33)</f>
        <v>5200</v>
      </c>
      <c r="C34" s="91">
        <f t="shared" si="4"/>
        <v>6000</v>
      </c>
      <c r="D34" s="91">
        <f t="shared" si="4"/>
        <v>6000</v>
      </c>
      <c r="E34" s="91">
        <f t="shared" si="4"/>
        <v>6000</v>
      </c>
      <c r="F34" s="78">
        <f t="shared" si="4"/>
        <v>334.19332470000001</v>
      </c>
      <c r="G34" s="91">
        <f t="shared" si="4"/>
        <v>469.1</v>
      </c>
      <c r="H34" s="91">
        <f t="shared" si="4"/>
        <v>533.49</v>
      </c>
      <c r="I34" s="91">
        <f t="shared" si="4"/>
        <v>0</v>
      </c>
      <c r="J34" s="78">
        <f t="shared" si="4"/>
        <v>697.00636320000001</v>
      </c>
      <c r="K34" s="91">
        <f t="shared" si="4"/>
        <v>0</v>
      </c>
      <c r="L34" s="91">
        <f t="shared" si="4"/>
        <v>2091.04</v>
      </c>
      <c r="M34" s="91">
        <f t="shared" si="4"/>
        <v>0</v>
      </c>
      <c r="N34" s="78">
        <f t="shared" si="4"/>
        <v>234.20099130000003</v>
      </c>
      <c r="O34" s="91">
        <f t="shared" si="4"/>
        <v>0</v>
      </c>
      <c r="P34" s="91">
        <f t="shared" si="4"/>
        <v>0</v>
      </c>
      <c r="Q34" s="91">
        <f t="shared" si="4"/>
        <v>702.61</v>
      </c>
      <c r="R34" s="78">
        <f t="shared" si="4"/>
        <v>-78.182551500000002</v>
      </c>
      <c r="S34" s="150">
        <f t="shared" si="4"/>
        <v>-234.55</v>
      </c>
      <c r="T34" s="150">
        <f t="shared" si="4"/>
        <v>0</v>
      </c>
      <c r="U34" s="150">
        <f t="shared" si="4"/>
        <v>0</v>
      </c>
      <c r="V34" s="78">
        <f t="shared" si="4"/>
        <v>1187.2181277</v>
      </c>
      <c r="W34" s="150">
        <f t="shared" si="4"/>
        <v>234.55</v>
      </c>
      <c r="X34" s="150">
        <f t="shared" si="4"/>
        <v>2624.5299999999997</v>
      </c>
      <c r="Y34" s="150">
        <f t="shared" si="4"/>
        <v>702.61</v>
      </c>
    </row>
    <row r="35" spans="1:25">
      <c r="A35" s="68" t="s">
        <v>156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</row>
    <row r="36" spans="1:25" hidden="1" outlineLevel="1">
      <c r="A36" s="126" t="s">
        <v>157</v>
      </c>
      <c r="B36" s="141">
        <v>0</v>
      </c>
      <c r="C36" s="128">
        <v>0</v>
      </c>
      <c r="D36" s="231">
        <v>0</v>
      </c>
      <c r="E36" s="227">
        <v>0</v>
      </c>
      <c r="F36" s="129">
        <v>0</v>
      </c>
      <c r="G36" s="128">
        <v>0</v>
      </c>
      <c r="H36" s="231">
        <v>0</v>
      </c>
      <c r="I36" s="227">
        <v>0</v>
      </c>
      <c r="J36" s="129">
        <v>0</v>
      </c>
      <c r="K36" s="128">
        <v>0</v>
      </c>
      <c r="L36" s="231">
        <v>0</v>
      </c>
      <c r="M36" s="227">
        <v>0</v>
      </c>
      <c r="N36" s="129">
        <v>0</v>
      </c>
      <c r="O36" s="128">
        <v>0</v>
      </c>
      <c r="P36" s="231">
        <v>0</v>
      </c>
      <c r="Q36" s="227">
        <v>0</v>
      </c>
      <c r="R36" s="129">
        <v>0</v>
      </c>
      <c r="S36" s="142">
        <v>0</v>
      </c>
      <c r="T36" s="224">
        <v>0</v>
      </c>
      <c r="U36" s="219">
        <v>0</v>
      </c>
      <c r="V36" s="141">
        <f>SUM(F36,J36,N36,R36)</f>
        <v>0</v>
      </c>
      <c r="W36" s="142">
        <f>SUM(G36,K36,O36,S36)</f>
        <v>0</v>
      </c>
      <c r="X36" s="224">
        <f>SUM(H36,L36,P36,T36)</f>
        <v>0</v>
      </c>
      <c r="Y36" s="219">
        <f>SUM(I36,M36,Q36,U36)</f>
        <v>0</v>
      </c>
    </row>
    <row r="37" spans="1:25" hidden="1" outlineLevel="1">
      <c r="A37" s="131" t="s">
        <v>158</v>
      </c>
      <c r="B37" s="127">
        <v>0</v>
      </c>
      <c r="C37" s="128">
        <v>0</v>
      </c>
      <c r="D37" s="231">
        <v>0</v>
      </c>
      <c r="E37" s="227">
        <v>0</v>
      </c>
      <c r="F37" s="129">
        <v>0</v>
      </c>
      <c r="G37" s="128">
        <v>0</v>
      </c>
      <c r="H37" s="231">
        <v>0</v>
      </c>
      <c r="I37" s="227">
        <v>0</v>
      </c>
      <c r="J37" s="129">
        <v>0</v>
      </c>
      <c r="K37" s="128">
        <v>0</v>
      </c>
      <c r="L37" s="231">
        <v>0</v>
      </c>
      <c r="M37" s="227">
        <v>0</v>
      </c>
      <c r="N37" s="129">
        <v>0</v>
      </c>
      <c r="O37" s="128">
        <v>0</v>
      </c>
      <c r="P37" s="231">
        <v>0</v>
      </c>
      <c r="Q37" s="227">
        <v>0</v>
      </c>
      <c r="R37" s="129">
        <v>0</v>
      </c>
      <c r="S37" s="130">
        <v>0</v>
      </c>
      <c r="T37" s="222">
        <v>0</v>
      </c>
      <c r="U37" s="217">
        <v>0</v>
      </c>
      <c r="V37" s="127">
        <f>SUM(F37,J37,N37,R37)</f>
        <v>0</v>
      </c>
      <c r="W37" s="130">
        <f>SUM(G37,K37,O37,S37)</f>
        <v>0</v>
      </c>
      <c r="X37" s="222">
        <f>SUM(H37,L37,P37,T37)</f>
        <v>0</v>
      </c>
      <c r="Y37" s="217">
        <f>SUM(I37,M37,Q37,U37)</f>
        <v>0</v>
      </c>
    </row>
    <row r="38" spans="1:25" hidden="1" outlineLevel="1">
      <c r="A38" s="131" t="s">
        <v>33</v>
      </c>
      <c r="B38" s="127">
        <v>0</v>
      </c>
      <c r="C38" s="128">
        <v>0</v>
      </c>
      <c r="D38" s="231">
        <v>0</v>
      </c>
      <c r="E38" s="227">
        <v>0</v>
      </c>
      <c r="F38" s="129">
        <v>0</v>
      </c>
      <c r="G38" s="128">
        <v>0</v>
      </c>
      <c r="H38" s="231">
        <v>0</v>
      </c>
      <c r="I38" s="227">
        <v>0</v>
      </c>
      <c r="J38" s="129">
        <v>0</v>
      </c>
      <c r="K38" s="128">
        <v>0</v>
      </c>
      <c r="L38" s="231">
        <v>0</v>
      </c>
      <c r="M38" s="227">
        <v>0</v>
      </c>
      <c r="N38" s="129">
        <v>0</v>
      </c>
      <c r="O38" s="128">
        <v>0</v>
      </c>
      <c r="P38" s="231">
        <v>0</v>
      </c>
      <c r="Q38" s="227">
        <v>0</v>
      </c>
      <c r="R38" s="129">
        <v>0</v>
      </c>
      <c r="S38" s="130">
        <v>0</v>
      </c>
      <c r="T38" s="222">
        <v>0</v>
      </c>
      <c r="U38" s="217">
        <v>0</v>
      </c>
      <c r="V38" s="127">
        <f>SUM(F38,J38,N38,R38)</f>
        <v>0</v>
      </c>
      <c r="W38" s="130">
        <f>SUM(G38,K38,O38,S38)</f>
        <v>0</v>
      </c>
      <c r="X38" s="222">
        <f>SUM(H38,L38,P38,T38)</f>
        <v>0</v>
      </c>
      <c r="Y38" s="217">
        <f>SUM(I38,M38,Q38,U38)</f>
        <v>0</v>
      </c>
    </row>
    <row r="39" spans="1:25" hidden="1" outlineLevel="1">
      <c r="A39" s="143" t="s">
        <v>159</v>
      </c>
      <c r="B39" s="144">
        <v>0</v>
      </c>
      <c r="C39" s="145">
        <v>0</v>
      </c>
      <c r="D39" s="233">
        <v>0</v>
      </c>
      <c r="E39" s="229">
        <v>0</v>
      </c>
      <c r="F39" s="146">
        <v>0</v>
      </c>
      <c r="G39" s="145">
        <v>0</v>
      </c>
      <c r="H39" s="233">
        <v>0</v>
      </c>
      <c r="I39" s="229">
        <v>0</v>
      </c>
      <c r="J39" s="146">
        <v>0</v>
      </c>
      <c r="K39" s="145">
        <v>0</v>
      </c>
      <c r="L39" s="233">
        <v>0</v>
      </c>
      <c r="M39" s="229">
        <v>0</v>
      </c>
      <c r="N39" s="146">
        <v>0</v>
      </c>
      <c r="O39" s="145">
        <v>0</v>
      </c>
      <c r="P39" s="233">
        <v>0</v>
      </c>
      <c r="Q39" s="229">
        <v>0</v>
      </c>
      <c r="R39" s="146">
        <v>0</v>
      </c>
      <c r="S39" s="56">
        <v>0</v>
      </c>
      <c r="T39" s="225">
        <v>0</v>
      </c>
      <c r="U39" s="220">
        <v>0</v>
      </c>
      <c r="V39" s="144">
        <f>SUM(F39,J39,N39,R39)</f>
        <v>0</v>
      </c>
      <c r="W39" s="56">
        <f>SUM(G39,K39,O39,S39)</f>
        <v>0</v>
      </c>
      <c r="X39" s="225">
        <f>SUM(H39,L39,P39,T39)</f>
        <v>0</v>
      </c>
      <c r="Y39" s="220">
        <f>SUM(I39,M39,Q39,U39)</f>
        <v>0</v>
      </c>
    </row>
    <row r="40" spans="1:25" hidden="1" outlineLevel="1">
      <c r="A40" s="131" t="s">
        <v>160</v>
      </c>
      <c r="B40" s="127">
        <v>14269</v>
      </c>
      <c r="C40" s="128">
        <v>12820</v>
      </c>
      <c r="D40" s="231">
        <v>12127</v>
      </c>
      <c r="E40" s="227">
        <v>11840</v>
      </c>
      <c r="F40" s="129">
        <v>2037.2329608</v>
      </c>
      <c r="G40" s="128">
        <v>1789.71</v>
      </c>
      <c r="H40" s="231">
        <v>2019.26</v>
      </c>
      <c r="I40" s="227">
        <v>2302.79</v>
      </c>
      <c r="J40" s="129">
        <v>2070.4426287000001</v>
      </c>
      <c r="K40" s="128">
        <v>1831.59</v>
      </c>
      <c r="L40" s="231">
        <v>2168.09</v>
      </c>
      <c r="M40" s="227">
        <v>2211.71</v>
      </c>
      <c r="N40" s="129">
        <v>1899.7343358000003</v>
      </c>
      <c r="O40" s="128">
        <v>1576.05</v>
      </c>
      <c r="P40" s="231">
        <v>1921.98</v>
      </c>
      <c r="Q40" s="227">
        <v>2201.23</v>
      </c>
      <c r="R40" s="129">
        <v>2254.9241172000002</v>
      </c>
      <c r="S40" s="130">
        <v>2201.48</v>
      </c>
      <c r="T40" s="222">
        <v>2214.67</v>
      </c>
      <c r="U40" s="217">
        <v>2348.69</v>
      </c>
      <c r="V40" s="127">
        <f>SUM(F40,J40,N40,R40)</f>
        <v>8262.3340425000006</v>
      </c>
      <c r="W40" s="130">
        <f>SUM(G40,K40,O40,S40)</f>
        <v>7398.83</v>
      </c>
      <c r="X40" s="222">
        <f>SUM(H40,L40,P40,T40)</f>
        <v>8324</v>
      </c>
      <c r="Y40" s="217">
        <f>SUM(I40,M40,Q40,U40)</f>
        <v>9064.42</v>
      </c>
    </row>
    <row r="41" spans="1:25" hidden="1" outlineLevel="1">
      <c r="A41" s="134" t="s">
        <v>161</v>
      </c>
      <c r="B41" s="135">
        <v>1253</v>
      </c>
      <c r="C41" s="147">
        <v>1041</v>
      </c>
      <c r="D41" s="234">
        <v>1004</v>
      </c>
      <c r="E41" s="230">
        <v>980</v>
      </c>
      <c r="F41" s="136">
        <v>172.83160500000002</v>
      </c>
      <c r="G41" s="147">
        <v>164.15</v>
      </c>
      <c r="H41" s="234">
        <v>163.72</v>
      </c>
      <c r="I41" s="230">
        <v>190.63</v>
      </c>
      <c r="J41" s="136">
        <v>175.6215771</v>
      </c>
      <c r="K41" s="147">
        <v>167.99</v>
      </c>
      <c r="L41" s="234">
        <v>175.79</v>
      </c>
      <c r="M41" s="230">
        <v>183.09</v>
      </c>
      <c r="N41" s="136">
        <v>160.865058</v>
      </c>
      <c r="O41" s="147">
        <v>144.55000000000001</v>
      </c>
      <c r="P41" s="234">
        <v>155.83000000000001</v>
      </c>
      <c r="Q41" s="230">
        <v>182.22</v>
      </c>
      <c r="R41" s="136">
        <v>191.96474699999999</v>
      </c>
      <c r="S41" s="148">
        <v>201.91</v>
      </c>
      <c r="T41" s="226">
        <v>179.56</v>
      </c>
      <c r="U41" s="221">
        <v>194.43</v>
      </c>
      <c r="V41" s="135">
        <f>SUM(F41,J41,N41,R41)</f>
        <v>701.28298710000001</v>
      </c>
      <c r="W41" s="148">
        <f>SUM(G41,K41,O41,S41)</f>
        <v>678.6</v>
      </c>
      <c r="X41" s="226">
        <f>SUM(H41,L41,P41,T41)</f>
        <v>674.90000000000009</v>
      </c>
      <c r="Y41" s="221">
        <f>SUM(I41,M41,Q41,U41)</f>
        <v>750.37000000000012</v>
      </c>
    </row>
    <row r="42" spans="1:25" collapsed="1">
      <c r="A42" s="62" t="s">
        <v>162</v>
      </c>
      <c r="B42" s="78">
        <f t="shared" ref="B42:Y42" si="5">SUM(B36:B41)</f>
        <v>15522</v>
      </c>
      <c r="C42" s="149">
        <f t="shared" si="5"/>
        <v>13861</v>
      </c>
      <c r="D42" s="149">
        <f t="shared" si="5"/>
        <v>13131</v>
      </c>
      <c r="E42" s="149">
        <f t="shared" si="5"/>
        <v>12820</v>
      </c>
      <c r="F42" s="151">
        <f t="shared" si="5"/>
        <v>2210.0645657999999</v>
      </c>
      <c r="G42" s="149">
        <f t="shared" si="5"/>
        <v>1953.8600000000001</v>
      </c>
      <c r="H42" s="149">
        <f t="shared" si="5"/>
        <v>2182.98</v>
      </c>
      <c r="I42" s="149">
        <f t="shared" si="5"/>
        <v>2493.42</v>
      </c>
      <c r="J42" s="151">
        <f t="shared" si="5"/>
        <v>2246.0642058000003</v>
      </c>
      <c r="K42" s="149">
        <f t="shared" si="5"/>
        <v>1999.58</v>
      </c>
      <c r="L42" s="149">
        <f t="shared" si="5"/>
        <v>2343.88</v>
      </c>
      <c r="M42" s="149">
        <f t="shared" si="5"/>
        <v>2394.8000000000002</v>
      </c>
      <c r="N42" s="151">
        <f t="shared" si="5"/>
        <v>2060.5993938000001</v>
      </c>
      <c r="O42" s="149">
        <f t="shared" si="5"/>
        <v>1720.6</v>
      </c>
      <c r="P42" s="149">
        <f t="shared" si="5"/>
        <v>2077.81</v>
      </c>
      <c r="Q42" s="149">
        <f t="shared" si="5"/>
        <v>2383.4499999999998</v>
      </c>
      <c r="R42" s="151">
        <f t="shared" si="5"/>
        <v>2446.8888642000002</v>
      </c>
      <c r="S42" s="152">
        <f t="shared" si="5"/>
        <v>2403.39</v>
      </c>
      <c r="T42" s="152">
        <f t="shared" si="5"/>
        <v>2394.23</v>
      </c>
      <c r="U42" s="152">
        <f t="shared" si="5"/>
        <v>2543.12</v>
      </c>
      <c r="V42" s="78">
        <f t="shared" si="5"/>
        <v>8963.6170296</v>
      </c>
      <c r="W42" s="152">
        <f t="shared" si="5"/>
        <v>8077.43</v>
      </c>
      <c r="X42" s="152">
        <f t="shared" si="5"/>
        <v>8998.9</v>
      </c>
      <c r="Y42" s="152">
        <f t="shared" si="5"/>
        <v>9814.7900000000009</v>
      </c>
    </row>
    <row r="43" spans="1:25" ht="16.2" thickBot="1">
      <c r="A43" s="137" t="s">
        <v>163</v>
      </c>
      <c r="B43" s="138">
        <f>SUM(B21,B30,B34,B42)</f>
        <v>217637</v>
      </c>
      <c r="C43" s="139">
        <f t="shared" ref="C43:U43" si="6">SUM(C21,C30,C34,C42)</f>
        <v>217695</v>
      </c>
      <c r="D43" s="139">
        <f t="shared" si="6"/>
        <v>213902</v>
      </c>
      <c r="E43" s="139">
        <f t="shared" si="6"/>
        <v>208840</v>
      </c>
      <c r="F43" s="138">
        <f t="shared" si="6"/>
        <v>34444.172221500005</v>
      </c>
      <c r="G43" s="139">
        <f t="shared" si="6"/>
        <v>28428.879999999997</v>
      </c>
      <c r="H43" s="139">
        <f t="shared" si="6"/>
        <v>34285.760000000002</v>
      </c>
      <c r="I43" s="139">
        <f t="shared" si="6"/>
        <v>40618.909999999996</v>
      </c>
      <c r="J43" s="138">
        <f t="shared" si="6"/>
        <v>34972.753602299999</v>
      </c>
      <c r="K43" s="139">
        <f t="shared" si="6"/>
        <v>29094.17</v>
      </c>
      <c r="L43" s="139">
        <f t="shared" si="6"/>
        <v>36812.729999999996</v>
      </c>
      <c r="M43" s="139">
        <f t="shared" si="6"/>
        <v>39012.410000000003</v>
      </c>
      <c r="N43" s="138">
        <f t="shared" si="6"/>
        <v>32165.181678299999</v>
      </c>
      <c r="O43" s="139">
        <f t="shared" si="6"/>
        <v>25034.979999999996</v>
      </c>
      <c r="P43" s="139">
        <f t="shared" si="6"/>
        <v>32633.889999999996</v>
      </c>
      <c r="Q43" s="139">
        <f t="shared" si="6"/>
        <v>38827.64</v>
      </c>
      <c r="R43" s="138">
        <f t="shared" si="6"/>
        <v>38000.299993200002</v>
      </c>
      <c r="S43" s="138">
        <f t="shared" si="6"/>
        <v>34969.720000000008</v>
      </c>
      <c r="T43" s="138">
        <f t="shared" si="6"/>
        <v>37603.620000000003</v>
      </c>
      <c r="U43" s="138">
        <f t="shared" si="6"/>
        <v>41428.700000000004</v>
      </c>
      <c r="V43" s="138">
        <f>SUM(V21,V30,V34,V42)</f>
        <v>139582.40749530002</v>
      </c>
      <c r="W43" s="138">
        <f t="shared" ref="W43:Y43" si="7">SUM(W21,W30,W34,W42)</f>
        <v>117527.75</v>
      </c>
      <c r="X43" s="138">
        <f t="shared" si="7"/>
        <v>141336</v>
      </c>
      <c r="Y43" s="138">
        <f t="shared" si="7"/>
        <v>159887.66</v>
      </c>
    </row>
    <row r="44" spans="1:25" ht="15" thickTop="1">
      <c r="A44" s="94" t="s">
        <v>164</v>
      </c>
      <c r="B44" s="95"/>
      <c r="C44" s="48"/>
      <c r="D44" s="48"/>
      <c r="E44" s="48"/>
      <c r="F44" s="95"/>
      <c r="G44" s="48"/>
      <c r="H44" s="48"/>
      <c r="I44" s="48"/>
      <c r="J44" s="95"/>
      <c r="K44" s="48"/>
      <c r="L44" s="48"/>
      <c r="M44" s="48"/>
      <c r="N44" s="95"/>
      <c r="O44" s="48"/>
      <c r="P44" s="48"/>
      <c r="Q44" s="48"/>
      <c r="R44" s="95"/>
      <c r="S44" s="48"/>
      <c r="T44" s="48"/>
      <c r="U44" s="48"/>
      <c r="V44" s="95"/>
      <c r="W44" s="48"/>
      <c r="X44" s="48"/>
      <c r="Y44" s="48"/>
    </row>
    <row r="45" spans="1:25" hidden="1" outlineLevel="1">
      <c r="A45" s="126" t="s">
        <v>165</v>
      </c>
      <c r="B45" s="141">
        <v>0</v>
      </c>
      <c r="C45" s="128">
        <v>0</v>
      </c>
      <c r="D45" s="231">
        <v>0</v>
      </c>
      <c r="E45" s="227">
        <v>0</v>
      </c>
      <c r="F45" s="129">
        <v>0</v>
      </c>
      <c r="G45" s="128">
        <v>0</v>
      </c>
      <c r="H45" s="231">
        <v>0</v>
      </c>
      <c r="I45" s="227">
        <v>0</v>
      </c>
      <c r="J45" s="129">
        <v>0</v>
      </c>
      <c r="K45" s="128">
        <v>0</v>
      </c>
      <c r="L45" s="231">
        <v>0</v>
      </c>
      <c r="M45" s="227">
        <v>0</v>
      </c>
      <c r="N45" s="129">
        <v>0</v>
      </c>
      <c r="O45" s="128">
        <v>0</v>
      </c>
      <c r="P45" s="231">
        <v>0</v>
      </c>
      <c r="Q45" s="227">
        <v>0</v>
      </c>
      <c r="R45" s="129">
        <v>73894.124384700001</v>
      </c>
      <c r="S45" s="142">
        <v>100166.25</v>
      </c>
      <c r="T45" s="224">
        <v>72566</v>
      </c>
      <c r="U45" s="219">
        <v>48952.34</v>
      </c>
      <c r="V45" s="141">
        <f>SUM(F45,J45,N45,R45)</f>
        <v>73894.124384700001</v>
      </c>
      <c r="W45" s="142">
        <f>SUM(G45,K45,O45,S45)</f>
        <v>100166.25</v>
      </c>
      <c r="X45" s="224">
        <f>SUM(H45,L45,P45,T45)</f>
        <v>72566</v>
      </c>
      <c r="Y45" s="219">
        <f>SUM(I45,M45,Q45,U45)</f>
        <v>48952.34</v>
      </c>
    </row>
    <row r="46" spans="1:25" hidden="1" outlineLevel="1">
      <c r="A46" s="134" t="s">
        <v>166</v>
      </c>
      <c r="B46" s="135">
        <v>0</v>
      </c>
      <c r="C46" s="147">
        <v>0</v>
      </c>
      <c r="D46" s="234">
        <v>0</v>
      </c>
      <c r="E46" s="230">
        <v>0</v>
      </c>
      <c r="F46" s="136">
        <v>0</v>
      </c>
      <c r="G46" s="147">
        <v>0</v>
      </c>
      <c r="H46" s="234">
        <v>0</v>
      </c>
      <c r="I46" s="230">
        <v>0</v>
      </c>
      <c r="J46" s="136">
        <v>0</v>
      </c>
      <c r="K46" s="147">
        <v>0</v>
      </c>
      <c r="L46" s="234">
        <v>0</v>
      </c>
      <c r="M46" s="230">
        <v>0</v>
      </c>
      <c r="N46" s="136">
        <v>0</v>
      </c>
      <c r="O46" s="147">
        <v>0</v>
      </c>
      <c r="P46" s="234">
        <v>0</v>
      </c>
      <c r="Q46" s="230">
        <v>0</v>
      </c>
      <c r="R46" s="136">
        <v>0</v>
      </c>
      <c r="S46" s="148">
        <v>0</v>
      </c>
      <c r="T46" s="226">
        <v>0</v>
      </c>
      <c r="U46" s="221">
        <v>0</v>
      </c>
      <c r="V46" s="135">
        <f>SUM(F46,J46,N46,R46)</f>
        <v>0</v>
      </c>
      <c r="W46" s="148">
        <f>SUM(G46,K46,O46,S46)</f>
        <v>0</v>
      </c>
      <c r="X46" s="226">
        <f>SUM(H46,L46,P46,T46)</f>
        <v>0</v>
      </c>
      <c r="Y46" s="221">
        <f>SUM(I46,M46,Q46,U46)</f>
        <v>0</v>
      </c>
    </row>
    <row r="47" spans="1:25" collapsed="1">
      <c r="A47" s="99" t="s">
        <v>167</v>
      </c>
      <c r="B47" s="153">
        <f t="shared" ref="B47:Y47" si="8">SUM(B45:B46)</f>
        <v>0</v>
      </c>
      <c r="C47" s="91">
        <f t="shared" si="8"/>
        <v>0</v>
      </c>
      <c r="D47" s="91">
        <f t="shared" si="8"/>
        <v>0</v>
      </c>
      <c r="E47" s="91">
        <f t="shared" si="8"/>
        <v>0</v>
      </c>
      <c r="F47" s="78">
        <f t="shared" si="8"/>
        <v>0</v>
      </c>
      <c r="G47" s="91">
        <f t="shared" si="8"/>
        <v>0</v>
      </c>
      <c r="H47" s="91">
        <f t="shared" si="8"/>
        <v>0</v>
      </c>
      <c r="I47" s="91">
        <f t="shared" si="8"/>
        <v>0</v>
      </c>
      <c r="J47" s="78">
        <f t="shared" si="8"/>
        <v>0</v>
      </c>
      <c r="K47" s="91">
        <f t="shared" si="8"/>
        <v>0</v>
      </c>
      <c r="L47" s="91">
        <f t="shared" si="8"/>
        <v>0</v>
      </c>
      <c r="M47" s="91">
        <f t="shared" si="8"/>
        <v>0</v>
      </c>
      <c r="N47" s="78">
        <f t="shared" si="8"/>
        <v>0</v>
      </c>
      <c r="O47" s="91">
        <f t="shared" si="8"/>
        <v>0</v>
      </c>
      <c r="P47" s="91">
        <f t="shared" si="8"/>
        <v>0</v>
      </c>
      <c r="Q47" s="91">
        <f t="shared" si="8"/>
        <v>0</v>
      </c>
      <c r="R47" s="78">
        <f t="shared" si="8"/>
        <v>73894.124384700001</v>
      </c>
      <c r="S47" s="150">
        <f t="shared" si="8"/>
        <v>100166.25</v>
      </c>
      <c r="T47" s="150">
        <f t="shared" si="8"/>
        <v>72566</v>
      </c>
      <c r="U47" s="150">
        <f t="shared" si="8"/>
        <v>48952.34</v>
      </c>
      <c r="V47" s="153">
        <f t="shared" si="8"/>
        <v>73894.124384700001</v>
      </c>
      <c r="W47" s="150">
        <f t="shared" si="8"/>
        <v>100166.25</v>
      </c>
      <c r="X47" s="150">
        <f t="shared" si="8"/>
        <v>72566</v>
      </c>
      <c r="Y47" s="150">
        <f t="shared" si="8"/>
        <v>48952.34</v>
      </c>
    </row>
    <row r="48" spans="1:25" ht="16.2" thickBot="1">
      <c r="A48" s="137" t="s">
        <v>168</v>
      </c>
      <c r="B48" s="138">
        <f>SUM(B12,B43,B47)</f>
        <v>0</v>
      </c>
      <c r="C48" s="139">
        <f t="shared" ref="C48:U48" si="9">SUM(C12,C43,C47)</f>
        <v>1</v>
      </c>
      <c r="D48" s="139">
        <f t="shared" si="9"/>
        <v>0</v>
      </c>
      <c r="E48" s="139">
        <f t="shared" si="9"/>
        <v>0</v>
      </c>
      <c r="F48" s="138">
        <f t="shared" si="9"/>
        <v>-72294.093718499993</v>
      </c>
      <c r="G48" s="139">
        <f t="shared" si="9"/>
        <v>-80418.12</v>
      </c>
      <c r="H48" s="139">
        <f t="shared" si="9"/>
        <v>-72665.239999999991</v>
      </c>
      <c r="I48" s="139">
        <f t="shared" si="9"/>
        <v>-63801.090000000004</v>
      </c>
      <c r="J48" s="138">
        <f t="shared" si="9"/>
        <v>34972.753602299999</v>
      </c>
      <c r="K48" s="139">
        <f t="shared" si="9"/>
        <v>29094.17</v>
      </c>
      <c r="L48" s="139">
        <f t="shared" si="9"/>
        <v>36812.729999999996</v>
      </c>
      <c r="M48" s="139">
        <f t="shared" si="9"/>
        <v>39012.410000000003</v>
      </c>
      <c r="N48" s="138">
        <f t="shared" si="9"/>
        <v>-74573.084261700002</v>
      </c>
      <c r="O48" s="139">
        <f t="shared" si="9"/>
        <v>-83812.02</v>
      </c>
      <c r="P48" s="139">
        <f t="shared" si="9"/>
        <v>-74317.11</v>
      </c>
      <c r="Q48" s="139">
        <f t="shared" si="9"/>
        <v>-65592.36</v>
      </c>
      <c r="R48" s="138">
        <f t="shared" si="9"/>
        <v>111894.4243779</v>
      </c>
      <c r="S48" s="138">
        <f t="shared" si="9"/>
        <v>135135.97</v>
      </c>
      <c r="T48" s="138">
        <f t="shared" si="9"/>
        <v>110169.62</v>
      </c>
      <c r="U48" s="138">
        <f t="shared" si="9"/>
        <v>90381.040000000008</v>
      </c>
      <c r="V48" s="138">
        <f>SUM(V12,V43,V47)</f>
        <v>0</v>
      </c>
      <c r="W48" s="138">
        <f t="shared" ref="W48:Y48" si="10">SUM(W12,W43,W47)</f>
        <v>0</v>
      </c>
      <c r="X48" s="138">
        <f t="shared" si="10"/>
        <v>0</v>
      </c>
      <c r="Y48" s="138">
        <f t="shared" si="10"/>
        <v>0</v>
      </c>
    </row>
    <row r="49" spans="1:25" ht="15" thickTop="1">
      <c r="A49" s="104"/>
      <c r="B49" s="42"/>
      <c r="C49" s="43"/>
      <c r="D49" s="43"/>
      <c r="E49" s="43"/>
      <c r="F49" s="42"/>
      <c r="G49" s="43"/>
      <c r="H49" s="43"/>
      <c r="I49" s="43"/>
      <c r="J49" s="42"/>
      <c r="K49" s="43"/>
      <c r="L49" s="43"/>
      <c r="M49" s="43"/>
      <c r="N49" s="42"/>
      <c r="O49" s="43"/>
      <c r="P49" s="43"/>
      <c r="Q49" s="43"/>
      <c r="R49" s="42"/>
      <c r="S49" s="43"/>
      <c r="T49" s="43"/>
      <c r="U49" s="43"/>
      <c r="V49" s="42"/>
      <c r="W49" s="43"/>
      <c r="X49" s="43"/>
      <c r="Y49" s="43"/>
    </row>
  </sheetData>
  <conditionalFormatting sqref="B15:C21 B23:C30 B32:C34 B36:C43 V36:W43 V32:W34 V23:W30 V15:W21 R36:S43 R32:S34 R23:S30 R15:S21 N36:O43 N32:O34 N23:O30 N15:O21 J36:K43 J32:K34 J23:K30 J15:K21 F36:G43 F32:G34 F23:G30 F15:G21">
    <cfRule type="cellIs" dxfId="12" priority="13" operator="lessThan">
      <formula>-0.01</formula>
    </cfRule>
  </conditionalFormatting>
  <conditionalFormatting sqref="Y15:Y21 Y23:Y30 Y32:Y34 Y36:Y43">
    <cfRule type="cellIs" dxfId="11" priority="12" operator="lessThan">
      <formula>-0.01</formula>
    </cfRule>
  </conditionalFormatting>
  <conditionalFormatting sqref="X15:X21 X23:X30 X32:X34 X36:X43">
    <cfRule type="cellIs" dxfId="10" priority="11" operator="lessThan">
      <formula>-0.01</formula>
    </cfRule>
  </conditionalFormatting>
  <conditionalFormatting sqref="U15:U21 U23:U30 U32:U34 U36:U43">
    <cfRule type="cellIs" dxfId="9" priority="10" operator="lessThan">
      <formula>-0.01</formula>
    </cfRule>
  </conditionalFormatting>
  <conditionalFormatting sqref="T15:T21 T23:T30 T32:T34 T36:T43">
    <cfRule type="cellIs" dxfId="8" priority="9" operator="lessThan">
      <formula>-0.01</formula>
    </cfRule>
  </conditionalFormatting>
  <conditionalFormatting sqref="Q15:Q21 Q23:Q30 Q32:Q34 Q36:Q43">
    <cfRule type="cellIs" dxfId="7" priority="8" operator="lessThan">
      <formula>-0.01</formula>
    </cfRule>
  </conditionalFormatting>
  <conditionalFormatting sqref="P15:P21 P23:P30 P32:P34 P36:P43">
    <cfRule type="cellIs" dxfId="6" priority="7" operator="lessThan">
      <formula>-0.01</formula>
    </cfRule>
  </conditionalFormatting>
  <conditionalFormatting sqref="M15:M21 M23:M30 M32:M34 M36:M43">
    <cfRule type="cellIs" dxfId="5" priority="6" operator="lessThan">
      <formula>-0.01</formula>
    </cfRule>
  </conditionalFormatting>
  <conditionalFormatting sqref="L15:L21 L23:L30 L32:L34 L36:L43">
    <cfRule type="cellIs" dxfId="4" priority="5" operator="lessThan">
      <formula>-0.01</formula>
    </cfRule>
  </conditionalFormatting>
  <conditionalFormatting sqref="I15:I21 I23:I30 I32:I34 I36:I43">
    <cfRule type="cellIs" dxfId="3" priority="4" operator="lessThan">
      <formula>-0.01</formula>
    </cfRule>
  </conditionalFormatting>
  <conditionalFormatting sqref="H15:H21 H23:H30 H32:H34 H36:H43">
    <cfRule type="cellIs" dxfId="2" priority="3" operator="lessThan">
      <formula>-0.01</formula>
    </cfRule>
  </conditionalFormatting>
  <conditionalFormatting sqref="E15:E21 E23:E30 E32:E34 E36:E43">
    <cfRule type="cellIs" dxfId="1" priority="2" operator="lessThan">
      <formula>-0.01</formula>
    </cfRule>
  </conditionalFormatting>
  <conditionalFormatting sqref="D15:D21 D23:D30 D32:D34 D36:D43">
    <cfRule type="cellIs" dxfId="0" priority="1" operator="lessThan">
      <formula>-0.01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5</vt:i4>
      </vt:variant>
    </vt:vector>
  </HeadingPairs>
  <TitlesOfParts>
    <vt:vector size="35" baseType="lpstr">
      <vt:lpstr>Create Report</vt:lpstr>
      <vt:lpstr>Data</vt:lpstr>
      <vt:lpstr>Account Codes</vt:lpstr>
      <vt:lpstr>Consolidation Lists</vt:lpstr>
      <vt:lpstr>QR Draft</vt:lpstr>
      <vt:lpstr>SB Draft</vt:lpstr>
      <vt:lpstr>Fund Balance</vt:lpstr>
      <vt:lpstr>Rev.Exp All Pgms</vt:lpstr>
      <vt:lpstr>Roll Up</vt:lpstr>
      <vt:lpstr>Appellate Court</vt:lpstr>
      <vt:lpstr>CCS - Leg</vt:lpstr>
      <vt:lpstr>CCS Fund Balance</vt:lpstr>
      <vt:lpstr>CUSG Elections</vt:lpstr>
      <vt:lpstr>CUSG Fund Balance</vt:lpstr>
      <vt:lpstr>CUSG Travel</vt:lpstr>
      <vt:lpstr>Finance Board</vt:lpstr>
      <vt:lpstr>Homecoming</vt:lpstr>
      <vt:lpstr>Incident Response</vt:lpstr>
      <vt:lpstr>Intern Program</vt:lpstr>
      <vt:lpstr>LAC</vt:lpstr>
      <vt:lpstr>Leg Cncl Staff</vt:lpstr>
      <vt:lpstr>Leg Council Disc </vt:lpstr>
      <vt:lpstr>Operations</vt:lpstr>
      <vt:lpstr>Payroll</vt:lpstr>
      <vt:lpstr>Payroll Suspense</vt:lpstr>
      <vt:lpstr>Programming</vt:lpstr>
      <vt:lpstr>Public Relations</vt:lpstr>
      <vt:lpstr>Rep Council</vt:lpstr>
      <vt:lpstr>Rep Council Fund Balance</vt:lpstr>
      <vt:lpstr>Staff Support</vt:lpstr>
      <vt:lpstr>rngACCTs</vt:lpstr>
      <vt:lpstr>rngArray</vt:lpstr>
      <vt:lpstr>rngFBs</vt:lpstr>
      <vt:lpstr>rngSKIP</vt:lpstr>
      <vt:lpstr>rngWeights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grega</dc:creator>
  <cp:lastModifiedBy>grega</cp:lastModifiedBy>
  <dcterms:created xsi:type="dcterms:W3CDTF">2020-08-02T19:34:08Z</dcterms:created>
  <dcterms:modified xsi:type="dcterms:W3CDTF">2020-08-21T23:59:42Z</dcterms:modified>
</cp:coreProperties>
</file>